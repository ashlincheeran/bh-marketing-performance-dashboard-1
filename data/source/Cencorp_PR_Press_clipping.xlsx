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2026" sheetId="2" r:id="rId6"/>
    <sheet state="visible" name="2026 Overview" sheetId="3" r:id="rId7"/>
    <sheet state="visible" name="2025" sheetId="4" r:id="rId8"/>
    <sheet state="visible" name="Pivot Table 2" sheetId="5" r:id="rId9"/>
    <sheet state="visible" name="2023" sheetId="6" r:id="rId10"/>
    <sheet state="visible" name="2022" sheetId="7" r:id="rId11"/>
    <sheet state="visible" name="2021" sheetId="8" r:id="rId12"/>
    <sheet state="visible" name="2024" sheetId="9" r:id="rId13"/>
    <sheet state="visible" name="2020" sheetId="10" r:id="rId14"/>
    <sheet state="visible" name="Concat" sheetId="11" r:id="rId15"/>
    <sheet state="visible" name="Charts" sheetId="12" r:id="rId16"/>
    <sheet state="visible" name="Combined for PBi" sheetId="13" r:id="rId17"/>
    <sheet state="visible" name="Media Costs" sheetId="14" r:id="rId18"/>
    <sheet state="visible" name="Leasing Clips" sheetId="15" r:id="rId19"/>
    <sheet state="visible" name="Sheet13" sheetId="16" r:id="rId20"/>
  </sheets>
  <definedNames>
    <definedName hidden="1" localSheetId="1" name="_xlnm._FilterDatabase">'2026'!$A$1:$I$252</definedName>
    <definedName hidden="1" localSheetId="3" name="_xlnm._FilterDatabase">'2025'!$B$1:$J$239</definedName>
    <definedName hidden="1" localSheetId="5" name="_xlnm._FilterDatabase">'2023'!$A$1:$F$286</definedName>
    <definedName hidden="1" localSheetId="6" name="_xlnm._FilterDatabase">'2022'!$A$1:$F$947</definedName>
    <definedName hidden="1" localSheetId="7" name="_xlnm._FilterDatabase">'2021'!$B$1:$F$39</definedName>
    <definedName hidden="1" localSheetId="8" name="_xlnm._FilterDatabase">'2024'!$A$1:$H$967</definedName>
    <definedName hidden="1" localSheetId="9" name="_xlnm._FilterDatabase">'2020'!$C$1:$F$15</definedName>
    <definedName hidden="1" localSheetId="5" name="Z_FE01F81F_4FA6_4C2A_B62E_D0BF75DCC44B_.wvu.FilterData">'2023'!$A$1:$F$286</definedName>
  </definedNames>
  <calcPr/>
  <customWorkbookViews>
    <customWorkbookView activeSheetId="0" maximized="1" windowHeight="0" windowWidth="0" guid="{FE01F81F-4FA6-4C2A-B62E-D0BF75DCC44B}" name="Filter 1"/>
  </customWorkbookViews>
  <pivotCaches>
    <pivotCache cacheId="0" r:id="rId21"/>
  </pivotCaches>
</workbook>
</file>

<file path=xl/sharedStrings.xml><?xml version="1.0" encoding="utf-8"?>
<sst xmlns="http://schemas.openxmlformats.org/spreadsheetml/2006/main" count="6175" uniqueCount="2787">
  <si>
    <t>ccc</t>
  </si>
  <si>
    <t>Key</t>
  </si>
  <si>
    <t>Example</t>
  </si>
  <si>
    <t>Key Focus</t>
  </si>
  <si>
    <t>KPI (Monthly)</t>
  </si>
  <si>
    <t>Tier 1</t>
  </si>
  <si>
    <t>Top International Media Outlets</t>
  </si>
  <si>
    <t>Forbes, Bloomberg etc.</t>
  </si>
  <si>
    <t xml:space="preserve">Shoaib </t>
  </si>
  <si>
    <t xml:space="preserve">Target Tier 1 Media with macro news </t>
  </si>
  <si>
    <t>2 Micro-papers + 5 Tier 1 mentions</t>
  </si>
  <si>
    <t>Tier 2</t>
  </si>
  <si>
    <t>Regional Media Outlets</t>
  </si>
  <si>
    <t>The National, Khaleej</t>
  </si>
  <si>
    <t xml:space="preserve">Ameerah </t>
  </si>
  <si>
    <t>Lifestyle + Reach outs (Radio/Podcast/Lunches)</t>
  </si>
  <si>
    <t>2 Top 50 Mentions + 4radio/podcast appearances</t>
  </si>
  <si>
    <t>Tier 3</t>
  </si>
  <si>
    <t>International mentions from small outlets</t>
  </si>
  <si>
    <t xml:space="preserve">Jade </t>
  </si>
  <si>
    <t>Real estate general content</t>
  </si>
  <si>
    <t xml:space="preserve">30 mentiones + Beat our competitors </t>
  </si>
  <si>
    <t>Period</t>
  </si>
  <si>
    <t xml:space="preserve">Total Mentions </t>
  </si>
  <si>
    <t>-</t>
  </si>
  <si>
    <t>2024 - 210</t>
  </si>
  <si>
    <t xml:space="preserve">2025 - Nov - </t>
  </si>
  <si>
    <t>2022 H1</t>
  </si>
  <si>
    <t>2023 H1</t>
  </si>
  <si>
    <t>Change</t>
  </si>
  <si>
    <t>Core</t>
  </si>
  <si>
    <t>Prime</t>
  </si>
  <si>
    <t>Total Mentions</t>
  </si>
  <si>
    <t>January</t>
  </si>
  <si>
    <t>February</t>
  </si>
  <si>
    <t>March</t>
  </si>
  <si>
    <t>April</t>
  </si>
  <si>
    <t>May</t>
  </si>
  <si>
    <t>June</t>
  </si>
  <si>
    <t>July</t>
  </si>
  <si>
    <t>August</t>
  </si>
  <si>
    <t>September</t>
  </si>
  <si>
    <t>October</t>
  </si>
  <si>
    <t>November</t>
  </si>
  <si>
    <t>December</t>
  </si>
  <si>
    <t xml:space="preserve">Key points </t>
  </si>
  <si>
    <t>We are just half way through the year and I already have more mentions from Tier one outlets than the whole of last year</t>
  </si>
  <si>
    <t xml:space="preserve">Reached nearly 70% of the total mentions thats were reached last year </t>
  </si>
  <si>
    <t>Initial and only KPI ever set was to reach 16 mentions per month, even with the event this was still attained</t>
  </si>
  <si>
    <t>cc</t>
  </si>
  <si>
    <t>Media Tier</t>
  </si>
  <si>
    <t>Media</t>
  </si>
  <si>
    <t>Cost</t>
  </si>
  <si>
    <t>Reach</t>
  </si>
  <si>
    <t>Title</t>
  </si>
  <si>
    <t>Link</t>
  </si>
  <si>
    <t>Brand</t>
  </si>
  <si>
    <t>Tier 1 Local</t>
  </si>
  <si>
    <t>Khaleej Times</t>
  </si>
  <si>
    <t>Dubai South to draw more end-users as DWC expansion creates more jobs</t>
  </si>
  <si>
    <t>https://www.khaleejtimes.com/uae/dubai-south-properties-dwc-expansion</t>
  </si>
  <si>
    <t>Dubai real estate outlook 2026: steady demand, selective cooling, and a tech‑driven turn</t>
  </si>
  <si>
    <t>https://www.khaleejtimes.com/business/property/dubai-real-estate-outlook-2026-steady-demand-selective-cooling-and-a-techdriven-turn</t>
  </si>
  <si>
    <t>betterhomes</t>
  </si>
  <si>
    <t>Why Dubai’s property boom is built to last for a long time</t>
  </si>
  <si>
    <t>https://www.khaleejtimes.com/business/property/why-dubais-property-boom-is-built-to-last-for-a-long-time</t>
  </si>
  <si>
    <t>Press Reader</t>
  </si>
  <si>
    <t>https://www.pressreader.com/uae/khaleej-times/20260112/281788520445913</t>
  </si>
  <si>
    <t>Construction Week</t>
  </si>
  <si>
    <t>What’s next for Dubai’s real estate landscape?</t>
  </si>
  <si>
    <t>https://www.constructionweekonline.com/business/insights/dubai-real-estate-2026-2</t>
  </si>
  <si>
    <t>Zawya</t>
  </si>
  <si>
    <t>The 3rd edition of Dubai's Top 50 Homes revealed - ZAWYA</t>
  </si>
  <si>
    <r>
      <rPr>
        <rFont val="Roboto, sans-serif"/>
        <color rgb="FF1155CC"/>
        <u/>
      </rPr>
      <t>The 3rd edition of</t>
    </r>
    <r>
      <rPr>
        <rFont val="Roboto, sans-serif"/>
        <color rgb="FF333333"/>
      </rPr>
      <t xml:space="preserve"> Dubai's Top 50 Homes revealed - ZAWYA</t>
    </r>
  </si>
  <si>
    <t>15 Januaury 2026</t>
  </si>
  <si>
    <t>Dubai records strongest residential year in 2025; nets $149bln in sales</t>
  </si>
  <si>
    <t>https://www.tradingview.com/news/reuters.com,2026-01-15:newsml_Zaw6LVJmF:0-zawya-sng-dubai-records-strongest-residential-year-in-2025-nets-149bln-in-sales/</t>
  </si>
  <si>
    <t>Arabian Business</t>
  </si>
  <si>
    <t>Dubai property market hits record $149bn in 2025 as demand and prices strengthen</t>
  </si>
  <si>
    <t>https://www.arabianbusiness.com/industries/real-estate/dubai-property-market-hits-record-149bn-in-2025-as-demand-and-prices-strengthen</t>
  </si>
  <si>
    <t>Dubai closes 2025 with a record Dh547b property market</t>
  </si>
  <si>
    <t>https://www.khaleejtimes.com/business/property/dubai-closes-2025-with-a-record-dh547b-property-market?amp=1</t>
  </si>
  <si>
    <t>The off-plan segment will not only continue to dominate, but also increase its share in the Dubai property market</t>
  </si>
  <si>
    <t>https://www.khaleejtimes.com/business/property/dubai-properties-buying-off-plan-2026</t>
  </si>
  <si>
    <r>
      <rPr>
        <rFont val="Arial"/>
        <b/>
        <color rgb="FF93C47D"/>
        <u/>
      </rPr>
      <t>Duba</t>
    </r>
    <r>
      <rPr>
        <rFont val="Arial"/>
        <color rgb="FF93C47D"/>
        <u/>
      </rPr>
      <t>i property market 2026: Where are smart investors looking next</t>
    </r>
    <r>
      <rPr>
        <rFont val="Arial"/>
        <color rgb="FF93C47D"/>
      </rPr>
      <t>?</t>
    </r>
  </si>
  <si>
    <r>
      <rPr>
        <rFont val="Arial"/>
        <b/>
        <color rgb="FF1155CC"/>
        <u/>
      </rPr>
      <t>Duba</t>
    </r>
    <r>
      <rPr>
        <rFont val="Arial"/>
        <color rgb="FF1155CC"/>
        <u/>
      </rPr>
      <t>i</t>
    </r>
    <r>
      <rPr>
        <rFont val="Arial"/>
        <color rgb="FF1155CC"/>
        <u/>
      </rPr>
      <t xml:space="preserve"> property market 2026: Where are smart investors looking next</t>
    </r>
    <r>
      <rPr>
        <rFont val="Arial"/>
      </rPr>
      <t>?</t>
    </r>
  </si>
  <si>
    <t>Dubai property market 2025-26: Questions global investors are asking right now</t>
  </si>
  <si>
    <t>https://www.constructionweekonline.com/analysis/dubai-property-market-2026</t>
  </si>
  <si>
    <t>betterhomes appoints Alex Leigh as Director of Operations</t>
  </si>
  <si>
    <t>https://www.constructionweekonline.com/people/appointments/betterhomes-alex-leigh</t>
  </si>
  <si>
    <t>The Economic Times</t>
  </si>
  <si>
    <t>Indians, Britons top Dubai property buys in 2025 as rupee falls</t>
  </si>
  <si>
    <t>https://economictimes.indiatimes.com/nri/invest/indians-britons-top-dubai-property-buys-in-2025-as-rupee-falls/articleshow/127730830.cms?from=mdr&amp;utm_source=contentofinterest&amp;utm_medium=text&amp;utm_campaign=cppstt</t>
  </si>
  <si>
    <t>Dubai rental boom defies inflation as demand surges but rents stay flat</t>
  </si>
  <si>
    <t>https://www.tradingview.com/news/reuters.com,2026-01-29:newsml_Zaw4HPJHJ:0-zawya-pressr-dubai-rental-boom-defies-inflation-as-demand-surges-but-rents-stay-flat/</t>
  </si>
  <si>
    <r>
      <rPr>
        <b/>
        <color rgb="FF1155CC"/>
        <u/>
      </rPr>
      <t>Dubai</t>
    </r>
    <r>
      <rPr>
        <color rgb="FF1155CC"/>
        <u/>
      </rPr>
      <t xml:space="preserve"> </t>
    </r>
    <r>
      <rPr>
        <color rgb="FF1155CC"/>
        <u/>
      </rPr>
      <t>rents hold steady as families reshape demand in record‑setting 2025 | Khaleej Times</t>
    </r>
  </si>
  <si>
    <r>
      <rPr>
        <b/>
        <color rgb="FF1155CC"/>
        <u/>
      </rPr>
      <t>Dubai</t>
    </r>
    <r>
      <rPr>
        <color rgb="FF1155CC"/>
        <u/>
      </rPr>
      <t xml:space="preserve"> </t>
    </r>
    <r>
      <rPr>
        <color rgb="FF1155CC"/>
        <u/>
      </rPr>
      <t>rents hold steady as families reshape demand in record‑setting 2025 | Khaleej Times</t>
    </r>
  </si>
  <si>
    <t>Dubai off-plan homes dominate property market with record 65% of transactions</t>
  </si>
  <si>
    <r>
      <rPr>
        <rFont val="&quot;Google Sans&quot;, Arial, sans-serif"/>
        <color rgb="FF1155CC"/>
        <sz val="9.0"/>
        <u/>
      </rPr>
      <t>Dubai off-plan homes dominate property market with record 65% of transactions</t>
    </r>
  </si>
  <si>
    <t>132,000 homes sold: Dubai’s off-plan sales reach $78 bn in 2025</t>
  </si>
  <si>
    <r>
      <rPr>
        <rFont val="&quot;Google Sans&quot;, Arial, sans-serif"/>
        <color rgb="FF1155CC"/>
        <sz val="9.0"/>
        <u/>
      </rPr>
      <t>132,000 homes sold: Dubai’s off-plan sales reach $78 bn in 2025</t>
    </r>
  </si>
  <si>
    <t>Trade Arabia</t>
  </si>
  <si>
    <t xml:space="preserve">	
Dubai off-plan sales hit 130,000 homes; value touches $77.88bn - TradeArabia</t>
  </si>
  <si>
    <r>
      <rPr>
        <rFont val="Arial"/>
        <b/>
        <color rgb="FF1155CC"/>
        <u/>
      </rPr>
      <t>Duba</t>
    </r>
    <r>
      <rPr>
        <rFont val="Arial"/>
        <color rgb="FF1155CC"/>
        <u/>
      </rPr>
      <t>i</t>
    </r>
    <r>
      <rPr>
        <rFont val="Arial"/>
        <color rgb="FF1155CC"/>
        <u/>
      </rPr>
      <t xml:space="preserve"> off-plan sales hit 130,000 homes; value touches $77.88bn - TradeArabi</t>
    </r>
    <r>
      <rPr>
        <rFont val="Arial"/>
      </rPr>
      <t>a</t>
    </r>
  </si>
  <si>
    <t>Money Control</t>
  </si>
  <si>
    <t xml:space="preserve">Why Indian investors are increasingly buying property in Dubai
</t>
  </si>
  <si>
    <t>https://www.moneycontrol.com/news/business/personal-finance/why-indian-investors-are-increasingly-buying-property-in-dubai-13774469.html</t>
  </si>
  <si>
    <t>Dubai’s January property sales hit AED55 bn</t>
  </si>
  <si>
    <t>https://www.constructionweekonline.com/analysis/dubai-january-property-sales</t>
  </si>
  <si>
    <t>Dubai residential sales hit AED55.2bn in January as transactions rise</t>
  </si>
  <si>
    <t>https://www.arabianbusiness.com/industries/real-estate/dubai-residential-sales-hit-aed55-2bn-in-january-as-transactions-rise</t>
  </si>
  <si>
    <t>Abu Dhabi property market records $3.2bln in January sales</t>
  </si>
  <si>
    <r>
      <rPr>
        <rFont val="&quot;Google Sans&quot;, Arial, sans-serif"/>
        <color rgb="FF1155CC"/>
        <sz val="9.0"/>
        <u/>
      </rPr>
      <t>Abu Dhabi property market records $3.2bln in January sales</t>
    </r>
  </si>
  <si>
    <t>Abu Dhabi property market hits $3.27bn in January sales as off-plan dominates 83 per cent of deals</t>
  </si>
  <si>
    <r>
      <rPr>
        <rFont val="Arial"/>
        <color rgb="FF1155CC"/>
        <u/>
      </rPr>
      <t>Abu Dhabi property market hits $3.27bn in January sales as off-plan dominates 83 per cent of deal</t>
    </r>
    <r>
      <rPr>
        <rFont val="Arial"/>
      </rPr>
      <t>s</t>
    </r>
  </si>
  <si>
    <t>Ellington Properties unveils The Meriva Collection on Dubai Islands</t>
  </si>
  <si>
    <t>https://www.constructionweekonline.com/projects-tenders/ellington-properties-the-meriva</t>
  </si>
  <si>
    <t>ZAWYA-PRESSR: Ellington Properties unveils The Meriva Collection, a hospitality-led beachfront destination on Dubai Islands</t>
  </si>
  <si>
    <t>https://www.tradingview.com/news/reuters.com,2026-02-10:newsml_ZawPnl2M:0-zawya-pressr-ellington-properties-unveils-the-meriva-collection-a-hospitality-led-beachfront-destination-on-dubai-islands/</t>
  </si>
  <si>
    <t>Abu Dhabi property market kicks off 2026 with $3.2bn sales surge - Construction Week</t>
  </si>
  <si>
    <r>
      <rPr>
        <rFont val="Arial"/>
        <color rgb="FF1155CC"/>
        <u/>
      </rPr>
      <t>Abu Dhabi property market kicks off 2026 with $3.2bn sales surge - Construction Wee</t>
    </r>
    <r>
      <rPr>
        <rFont val="Arial"/>
      </rPr>
      <t>k</t>
    </r>
  </si>
  <si>
    <t>Dubai property sales hit $10.6bn during Ramadan 2025 as betterhomes forecasts up 12% growth in 2026</t>
  </si>
  <si>
    <t>https://www.arabianbusiness.com/real-estate/dubai-property-sales-hit-10-6bn-during-ramadan-2025-as-betterhomes-forecasts-up-12-growth-in-2026</t>
  </si>
  <si>
    <t>One Ville News</t>
  </si>
  <si>
    <t>Blue Square Development: A trusted regional partner bringing decades of expertise to Dubai’s residential landscape</t>
  </si>
  <si>
    <t>https://onevillenews.com/2026/02/23/blue-square-development-a-trusted-regional-partner-bringing-decades-of-expertise-to-dubais-residential-landscape/</t>
  </si>
  <si>
    <t>Dubai real estate activity to rise 8–12% during Ramadan 2026</t>
  </si>
  <si>
    <t>https://www.khaleejtimes.com/business/dubai-real-estate-activity-to-rise-812-during-ramadan-2026</t>
  </si>
  <si>
    <t>Tier 1 International</t>
  </si>
  <si>
    <t>Reuters</t>
  </si>
  <si>
    <t>UAE's property sector faces reckoning after Iran strikes</t>
  </si>
  <si>
    <t>https://www.reuters.com/world/middle-east/uaes-property-sector-faces-reckoning-after-iran-strikes-2026-03-05/</t>
  </si>
  <si>
    <t>Dubai property market remains active despite dip in enquiries: betterhomes</t>
  </si>
  <si>
    <t>https://www.arabianbusiness.com/real-estate/dubai-property-market-active</t>
  </si>
  <si>
    <t>MENAFN</t>
  </si>
  <si>
    <r>
      <rPr>
        <rFont val="Arial"/>
        <color rgb="FF1155CC"/>
        <u/>
      </rPr>
      <t>Dubai Property Market Continues To Move Despite Quieter Conditions, Says Betterhome</t>
    </r>
    <r>
      <rPr>
        <rFont val="Arial"/>
      </rPr>
      <t>s</t>
    </r>
  </si>
  <si>
    <r>
      <rPr>
        <rFont val="Arial"/>
        <color rgb="FF1155CC"/>
        <u/>
      </rPr>
      <t>Dubai Property Market Continues To Move Despite Quieter Conditions, Says Betterhome</t>
    </r>
    <r>
      <rPr>
        <rFont val="Arial"/>
      </rPr>
      <t>s</t>
    </r>
  </si>
  <si>
    <t>The National News</t>
  </si>
  <si>
    <r>
      <rPr>
        <color rgb="FF1155CC"/>
        <u/>
      </rPr>
      <t>Stability, not panic': Dubai real estate companies have faith despite Iran war | The National</t>
    </r>
  </si>
  <si>
    <r>
      <rPr>
        <color rgb="FF1155CC"/>
        <u/>
      </rPr>
      <t>Stability, not panic': Dubai real estate companies have faith despite Iran war | The National</t>
    </r>
  </si>
  <si>
    <t>Gulf Business Daily</t>
  </si>
  <si>
    <r>
      <rPr>
        <rFont val="Arial"/>
        <color rgb="FF1155CC"/>
        <u/>
      </rPr>
      <t>UAE Business</t>
    </r>
    <r>
      <rPr>
        <rFont val="Arial"/>
      </rPr>
      <t>: Dubai's leasing market continues to move despite regional uncertainty, says expert</t>
    </r>
  </si>
  <si>
    <r>
      <rPr>
        <rFont val="Arial"/>
        <color rgb="FF1155CC"/>
        <u/>
      </rPr>
      <t>UAE Business</t>
    </r>
    <r>
      <rPr>
        <rFont val="Arial"/>
      </rPr>
      <t>: Dubai's leasing market continues to move despite regional uncertainty, says expert</t>
    </r>
  </si>
  <si>
    <r>
      <rPr>
        <b/>
        <color rgb="FF1155CC"/>
        <u/>
      </rPr>
      <t>Dubai</t>
    </r>
    <r>
      <rPr>
        <color rgb="FF1155CC"/>
        <u/>
      </rPr>
      <t xml:space="preserve"> </t>
    </r>
    <r>
      <rPr>
        <color rgb="FF1155CC"/>
        <u/>
      </rPr>
      <t>property defies uncertainty: Investors prioritise stability - Khaleej Times</t>
    </r>
  </si>
  <si>
    <r>
      <rPr>
        <b/>
        <color rgb="FF1155CC"/>
        <u/>
      </rPr>
      <t>Dubai</t>
    </r>
    <r>
      <rPr>
        <color rgb="FF1155CC"/>
        <u/>
      </rPr>
      <t xml:space="preserve"> </t>
    </r>
    <r>
      <rPr>
        <color rgb="FF1155CC"/>
        <u/>
      </rPr>
      <t>property defies uncertainty: Investors prioritise stability - Khaleej Times</t>
    </r>
  </si>
  <si>
    <t>MSN</t>
  </si>
  <si>
    <r>
      <rPr>
        <rFont val="Arial"/>
        <b/>
        <color rgb="FF1155CC"/>
        <u/>
      </rPr>
      <t>Duba</t>
    </r>
    <r>
      <rPr>
        <rFont val="Arial"/>
        <color rgb="FF1155CC"/>
        <u/>
      </rPr>
      <t>i</t>
    </r>
    <r>
      <rPr>
        <rFont val="Arial"/>
        <color rgb="FF1155CC"/>
        <u/>
      </rPr>
      <t xml:space="preserve"> rental market weathers regional tensions with flexible payment plans - MS</t>
    </r>
    <r>
      <rPr>
        <rFont val="Arial"/>
      </rPr>
      <t>N</t>
    </r>
  </si>
  <si>
    <r>
      <rPr>
        <rFont val="Arial"/>
        <b/>
        <color rgb="FF1155CC"/>
        <u/>
      </rPr>
      <t>Duba</t>
    </r>
    <r>
      <rPr>
        <rFont val="Arial"/>
        <color rgb="FF1155CC"/>
        <u/>
      </rPr>
      <t>i</t>
    </r>
    <r>
      <rPr>
        <rFont val="Arial"/>
        <color rgb="FF1155CC"/>
        <u/>
      </rPr>
      <t xml:space="preserve"> rental market weathers regional tensions with flexible payment plans - MS</t>
    </r>
    <r>
      <rPr>
        <rFont val="Arial"/>
      </rPr>
      <t>N</t>
    </r>
  </si>
  <si>
    <r>
      <rPr>
        <rFont val="Roboto, sans-serif"/>
        <b/>
        <color rgb="FF1155CC"/>
        <u/>
      </rPr>
      <t>Dubai</t>
    </r>
    <r>
      <rPr>
        <rFont val="Roboto, sans-serif"/>
        <color rgb="FF1155CC"/>
        <u/>
      </rPr>
      <t xml:space="preserve"> </t>
    </r>
    <r>
      <rPr>
        <rFont val="Roboto, sans-serif"/>
        <color rgb="FF1155CC"/>
        <u/>
      </rPr>
      <t>rental market weathers regional tensions with flexible payment plans - Khaleej Times</t>
    </r>
  </si>
  <si>
    <r>
      <rPr>
        <rFont val="Roboto, sans-serif"/>
        <b/>
        <color rgb="FF1155CC"/>
        <u/>
      </rPr>
      <t>Dubai</t>
    </r>
    <r>
      <rPr>
        <rFont val="Roboto, sans-serif"/>
        <color rgb="FF1155CC"/>
        <u/>
      </rPr>
      <t xml:space="preserve"> </t>
    </r>
    <r>
      <rPr>
        <rFont val="Roboto, sans-serif"/>
        <color rgb="FF1155CC"/>
        <u/>
      </rPr>
      <t>rental market weathers regional tensions with flexible payment plans - Khaleej Times</t>
    </r>
  </si>
  <si>
    <t>Mid-eastinfo</t>
  </si>
  <si>
    <r>
      <rPr>
        <rFont val="Roboto, sans-serif"/>
        <b/>
        <color rgb="FF1155CC"/>
        <u/>
      </rPr>
      <t>Dubai</t>
    </r>
    <r>
      <rPr>
        <rFont val="Roboto, sans-serif"/>
        <color rgb="FF1155CC"/>
        <u/>
      </rPr>
      <t xml:space="preserve"> </t>
    </r>
    <r>
      <rPr>
        <rFont val="Roboto, sans-serif"/>
        <color rgb="FF1155CC"/>
        <u/>
      </rPr>
      <t>property market continues to move despite quieter conditions, says</t>
    </r>
    <r>
      <rPr>
        <rFont val="Roboto, sans-serif"/>
        <color rgb="FF333333"/>
      </rPr>
      <t xml:space="preserve"> betterhomes</t>
    </r>
  </si>
  <si>
    <r>
      <rPr>
        <rFont val="Roboto, sans-serif"/>
        <b/>
        <color rgb="FF1155CC"/>
        <u/>
      </rPr>
      <t>Dubai</t>
    </r>
    <r>
      <rPr>
        <rFont val="Roboto, sans-serif"/>
        <color rgb="FF1155CC"/>
        <u/>
      </rPr>
      <t xml:space="preserve"> </t>
    </r>
    <r>
      <rPr>
        <rFont val="Roboto, sans-serif"/>
        <color rgb="FF1155CC"/>
        <u/>
      </rPr>
      <t>property market continues to move despite quieter conditions, says</t>
    </r>
    <r>
      <rPr>
        <rFont val="Roboto, sans-serif"/>
        <color rgb="FF333333"/>
      </rPr>
      <t xml:space="preserve"> betterhomes</t>
    </r>
  </si>
  <si>
    <t>India news</t>
  </si>
  <si>
    <t>Iran conflict rattles Dubai and Abu Dhabi real estate</t>
  </si>
  <si>
    <r>
      <rPr>
        <rFont val="Roboto, sans-serif"/>
        <color rgb="FF1155CC"/>
        <u/>
      </rPr>
      <t>Iran conflict rattles</t>
    </r>
    <r>
      <rPr>
        <rFont val="Roboto, sans-serif"/>
        <color rgb="FF333333"/>
      </rPr>
      <t xml:space="preserve"> Dubai and Abu Dhabi real estate - India's News</t>
    </r>
  </si>
  <si>
    <t>Big news network</t>
  </si>
  <si>
    <r>
      <rPr/>
      <t xml:space="preserve">Iran strikes threaten UAE property boom built on foreign money - Big News </t>
    </r>
    <r>
      <rPr>
        <color rgb="FF1155CC"/>
        <u/>
      </rPr>
      <t>Network.com</t>
    </r>
  </si>
  <si>
    <r>
      <rPr>
        <rFont val="Roboto, sans-serif"/>
        <color rgb="FF1155CC"/>
        <u/>
      </rPr>
      <t>Iran strikes threaten UAE property boom built on foreign money - Big News Network.com</t>
    </r>
  </si>
  <si>
    <t>Greatandhra</t>
  </si>
  <si>
    <r>
      <rPr>
        <rFont val="Roboto, sans-serif"/>
        <color rgb="FF1155CC"/>
        <u/>
      </rPr>
      <t>Iran Strikes Shake UAE Property Boom, Investors Turn Cautious - Greatandhra.com</t>
    </r>
  </si>
  <si>
    <r>
      <rPr>
        <rFont val="Roboto, sans-serif"/>
        <color rgb="FF1155CC"/>
        <u/>
      </rPr>
      <t>Iran Strikes Shake UAE Property Boom, Investors Turn Cautious - Greatandhra.com</t>
    </r>
  </si>
  <si>
    <r>
      <rPr>
        <rFont val="Roboto, sans-serif"/>
        <color rgb="FF1155CC"/>
        <u/>
      </rPr>
      <t>Are</t>
    </r>
    <r>
      <rPr>
        <rFont val="Roboto, sans-serif"/>
        <color rgb="FF333333"/>
      </rPr>
      <t xml:space="preserve"> Dubai property prices about to drop? - Construction Week Online</t>
    </r>
  </si>
  <si>
    <r>
      <rPr>
        <rFont val="Roboto, sans-serif"/>
        <color rgb="FF1155CC"/>
        <u/>
      </rPr>
      <t>Are</t>
    </r>
    <r>
      <rPr>
        <rFont val="Roboto, sans-serif"/>
        <color rgb="FF333333"/>
      </rPr>
      <t xml:space="preserve"> Dubai property prices about to drop? - Construction Week Online</t>
    </r>
  </si>
  <si>
    <t>RBC Ukraine</t>
  </si>
  <si>
    <r>
      <rPr>
        <rFont val="Roboto, sans-serif"/>
        <color rgb="FF1155CC"/>
        <u/>
      </rPr>
      <t>UAE property market tumbles after Iranian attacks - RBC-Ukraine</t>
    </r>
  </si>
  <si>
    <r>
      <rPr>
        <rFont val="Roboto, sans-serif"/>
        <color rgb="FF1155CC"/>
        <u/>
      </rPr>
      <t>UAE property market tumbles after Iranian attacks - RBC-Ukraine</t>
    </r>
  </si>
  <si>
    <t>International Business Times, Singapore Edition</t>
  </si>
  <si>
    <r>
      <rPr>
        <rFont val="Roboto, sans-serif"/>
        <color rgb="FF1155CC"/>
        <u/>
      </rPr>
      <t>UAE's Top Property Stocks Face 5% Erosion After Iranian Strikes Rattle Investor Confidence</t>
    </r>
  </si>
  <si>
    <r>
      <rPr>
        <rFont val="Roboto, sans-serif"/>
        <color rgb="FF1155CC"/>
        <u/>
      </rPr>
      <t>UAE's Top Property Stocks Face 5% Erosion After Iranian Strikes Rattle Investor Confidence</t>
    </r>
  </si>
  <si>
    <t>ET Realty</t>
  </si>
  <si>
    <r>
      <rPr>
        <rFont val="Roboto, sans-serif"/>
        <color rgb="FF1155CC"/>
        <u/>
      </rPr>
      <t>UAE's property sector faces reckoning after Iran strikes - ET Realty</t>
    </r>
  </si>
  <si>
    <r>
      <rPr>
        <rFont val="Roboto, sans-serif"/>
        <color rgb="FF1155CC"/>
        <u/>
      </rPr>
      <t>UAE's property sector faces reckoning after Iran strikes - ET Realty</t>
    </r>
  </si>
  <si>
    <t>Dawn.com</t>
  </si>
  <si>
    <r>
      <rPr>
        <rFont val="Roboto, sans-serif"/>
        <color rgb="FF1155CC"/>
        <u/>
      </rPr>
      <t>UAE's property sector faces reckoning after Iran strikes - DAWN.COM</t>
    </r>
  </si>
  <si>
    <r>
      <rPr>
        <rFont val="Roboto, sans-serif"/>
        <color rgb="FF1155CC"/>
        <u/>
      </rPr>
      <t>UAE's property sector faces reckoning after Iran strikes - DAWN.COM</t>
    </r>
  </si>
  <si>
    <t>The Times of India</t>
  </si>
  <si>
    <r>
      <rPr>
        <rFont val="Roboto, sans-serif"/>
        <color rgb="FF1155CC"/>
        <u/>
      </rPr>
      <t>UAE property boom faces first major test after Iran strikes shake investor confidence</t>
    </r>
  </si>
  <si>
    <r>
      <rPr>
        <rFont val="Roboto, sans-serif"/>
        <color rgb="FF1155CC"/>
        <u/>
      </rPr>
      <t>UAE property boom faces first major test after Iran strikes shake investor confidence</t>
    </r>
  </si>
  <si>
    <t>News18</t>
  </si>
  <si>
    <r>
      <rPr>
        <rFont val="Roboto, sans-serif"/>
        <color rgb="FF1155CC"/>
        <u/>
      </rPr>
      <t>Will Gulf Tensions Dent</t>
    </r>
    <r>
      <rPr>
        <rFont val="Roboto, sans-serif"/>
        <color rgb="FF333333"/>
      </rPr>
      <t xml:space="preserve"> Dubai's Luxury Property Market? Experts Weigh In - News18</t>
    </r>
  </si>
  <si>
    <r>
      <rPr>
        <rFont val="Roboto, sans-serif"/>
        <color rgb="FF1155CC"/>
        <u/>
      </rPr>
      <t>Will Gulf Tensions Dent</t>
    </r>
    <r>
      <rPr>
        <rFont val="Roboto, sans-serif"/>
        <color rgb="FF333333"/>
      </rPr>
      <t xml:space="preserve"> Dubai's Luxury Property Market? Experts Weigh In - News18</t>
    </r>
  </si>
  <si>
    <t>Dubai property enquiries jump 38% as buyers take ‘measured approach’ despite softer market activity</t>
  </si>
  <si>
    <t>https://www.arabianbusiness.com/real-estate/dubai-property-enquiries-jump-38-as-buyers-take-measured-approach-despite-softer-market-activity</t>
  </si>
  <si>
    <t>Prop­erty buy­ers take a meas­ured approach as mar­ket holds steady</t>
  </si>
  <si>
    <t>https://www.pressreader.com/uae/khaleej-times/20260324/281818585360450</t>
  </si>
  <si>
    <t>Dubai property buyers take a more 'measured approach' as market holds steady</t>
  </si>
  <si>
    <t>https://www.khaleejtimes.com/business/property/dubai-property-buyers-take-a-more-measured-approach-as-market-holds-steady?amp=1</t>
  </si>
  <si>
    <t>Dubai off-plan property market holds steady as investors eye long-term gains, transactions hit $6.26bn</t>
  </si>
  <si>
    <t>https://www.arabianbusiness.com/real-estate/dubai-off-plan-property-market-holds-steady-as-investors-eye-long-term-gains-transactions-hit-6-26bn</t>
  </si>
  <si>
    <t>Dubai rental listings rise as tenants seek better pricing and flexibility</t>
  </si>
  <si>
    <t>https://www.thenationalnews.com/business/property/2026/03/30/dubai-rental-listings-rise-as-tenants-seek-better-pricing-and-flexibility/</t>
  </si>
  <si>
    <t>https://www.msn.com/en-ae/money/news/dubai-rental-listings-rise-as-tenants-seek-better-pricing-and-flexibility/ar-AA1ZJItn?ocid=finance-verthp-feeds</t>
  </si>
  <si>
    <t>Gulf Daily News</t>
  </si>
  <si>
    <t>Dubai leasing market adjusts as rental listings increase: report</t>
  </si>
  <si>
    <t>https://www.gdnonline.com/Details/1379971/Dubai-leasing-market-adjusts-as-rental-listings-increase-report</t>
  </si>
  <si>
    <t>Dubai’s commercial property prices jump 28% in March despite regional conflict</t>
  </si>
  <si>
    <t>https://www.msn.com/en-ae/money/news/dubai-s-commercial-property-prices-jump-28-in-march-despite-regional-conflict/ar-AA1ZZ8qy?ocid=finance-verthp-feeds</t>
  </si>
  <si>
    <t>While tenant enquiries have softened compared with last year’s exceptionally strong cycle, analysts say the market is adjusting rather than weakening</t>
  </si>
  <si>
    <t>https://www.khaleejtimes.com/business/property/dubai-rentals-steady-as-landlords-hold-firm-despite-tensions</t>
  </si>
  <si>
    <t>Several communities saw growth in per-square-meter prices with Dubai Investment Park Second witnessing 323% increase YoY, while Al Safouh was up by 286% during February 28 and March 19</t>
  </si>
  <si>
    <t>https://www.khaleejtimes.com/business/property/dubais-commercial-property-prices-jump-28-in-march-despite-regional-conflict</t>
  </si>
  <si>
    <t>Dubai real estate steadies as fundamentals stay strong</t>
  </si>
  <si>
    <t>https://www.khaleejtimes.com/business/property/dubai-real-estate-steadies-as-fundamentals-stay-strong</t>
  </si>
  <si>
    <t>Dubai’s off-plan market 'more selective now, but long-term confidence remains'</t>
  </si>
  <si>
    <t>https://www.zawya.com/en/business/real-estate/dubais-off-plan-market-more-selective-now-but-long-term-confidence-remains-l1gcgfft</t>
  </si>
  <si>
    <t>Tier 2 International</t>
  </si>
  <si>
    <t>Republica.com</t>
  </si>
  <si>
    <t>Betterhomes: el mercado inmobiliario de Dubái se enfría sin caer en pánico</t>
  </si>
  <si>
    <t>https://republica.com/inmobiliaria/betterhomes-el-mercado-inmobiliario-de-dubai-se-enfria-sin-caer-en-panico-20264712304</t>
  </si>
  <si>
    <t>Dubai property prices may soften, but segment variation likely: expert</t>
  </si>
  <si>
    <t>https://www.zawya.com/en/business/real-estate/dubai-property-prices-may-soften-but-segment-variation-likely-expert-w1thh8mh</t>
  </si>
  <si>
    <t>Dubai property prices unlikely to soften across every segment</t>
  </si>
  <si>
    <t>https://www.khaleejtimes.com/business/property/dubai-property-prices-unlikely-to-soften-across-every-segment</t>
  </si>
  <si>
    <t>https://www.gdnonline.com/Details/1381057/Dubai-property-prices-may-soften,-but-segment-variation-likely-expert</t>
  </si>
  <si>
    <t>17/04/2026</t>
  </si>
  <si>
    <t>Arqam.news</t>
  </si>
  <si>
    <t>Dubai Commercial Real Estate Enters Value-Driven Growth Phase in Q1 2026 with AED 37.9 Billion Sales</t>
  </si>
  <si>
    <t>https://arqam.news/555926/</t>
  </si>
  <si>
    <t>Dubai commercial property market sales value tops $10bln in Q1, up 30%</t>
  </si>
  <si>
    <t>https://www.zawya.com/en/business/real-estate/dubai-commercial-property-market-sales-value-tops-10bln-in-q1-up-30-au8nk1vm</t>
  </si>
  <si>
    <t>20/04/2026</t>
  </si>
  <si>
    <t>Dubai rents 12.5% below March 2025 levels as leasing market becomes more competitive</t>
  </si>
  <si>
    <t>https://www.arabianbusiness.com/real-estate/dubai-rents-12-5-below-march-2025-levels-as-leasing-market-becomes-more-competitive</t>
  </si>
  <si>
    <t>19/04/2026</t>
  </si>
  <si>
    <t>Dubai rents defy regional tensions as first quarter values reach $8.8bn</t>
  </si>
  <si>
    <t>https://www.thenationalnews.com/business/property/2026/04/19/dubai-rents-war-property/</t>
  </si>
  <si>
    <t>22/04/2026</t>
  </si>
  <si>
    <t>Rents in Dubai: Landlords pricing units correctly are able to let as market softens</t>
  </si>
  <si>
    <t>https://www.khaleejtimes.com/business/property/rents-in-dubai-landlords-pricing-units-correctly-are-able-to-let-as-market-softens</t>
  </si>
  <si>
    <t>23/04/2026</t>
  </si>
  <si>
    <t>Dubai home prices record first decline after post-pandemic boom</t>
  </si>
  <si>
    <t>https://economictimes.indiatimes.com/nri/invest/dubai-home-prices-record-first-decline-after-post-pandemic-boom/articleshow/130460937.cms?from=mdr</t>
  </si>
  <si>
    <t>Bloomberg</t>
  </si>
  <si>
    <t>Dubai home prices drop for first time since post-pandemic boom</t>
  </si>
  <si>
    <t>https://www.bloomberg.com/news/articles/2026-04-23/dubai-home-prices-post-first-declines-after-post-pandemic-boom?utm_source=website&amp;utm_medium=share&amp;utm_campaign=linkedin?sref=FLEECBjF</t>
  </si>
  <si>
    <t>betterhomes: DIFC’s AI-native expansion reinforces long-term appeal of central Dubai living</t>
  </si>
  <si>
    <t>https://arqam.news/557688/</t>
  </si>
  <si>
    <t>Info Nasional</t>
  </si>
  <si>
    <t>Dubai Home Prices Experience First Decline Since 2020 Amid Regional Conflict</t>
  </si>
  <si>
    <t>https://world.infonasional.com/dubai-property-prices-fall-regional-conflict</t>
  </si>
  <si>
    <t>https://www.msn.com/en-in/money/topstories/dubai-home-prices-record-first-decline-after-post-pandemic-boom/ar-AA21x7ld?apiversion=v2&amp;domshim=1&amp;noservercache=1&amp;noservertelemetry=1&amp;batchservertelemetry=1&amp;renderwebcomponents=1&amp;wcseo=1&amp;bundles=feat-es2020-c</t>
  </si>
  <si>
    <t xml:space="preserve">The Business Times </t>
  </si>
  <si>
    <t>https://www.businesstimes.com.sg/international/dubai-home-prices-drop-first-time-post-pandemic-boom</t>
  </si>
  <si>
    <t>News Karnataka</t>
  </si>
  <si>
    <t>Dubai property prices fall after pandemic boom</t>
  </si>
  <si>
    <t>https://newskarnataka.com/business/dubai-property-prices-fall-after-pandemic-boom/23042026</t>
  </si>
  <si>
    <t>24/04/2026</t>
  </si>
  <si>
    <t>Business Today</t>
  </si>
  <si>
    <t>Dubai home prices fall for first time since the pandemic boom: Report</t>
  </si>
  <si>
    <t>https://www.businesstoday.in/personal-finance/real-estate/story/dubai-home-prices-fall-for-first-time-since-the-pandemic-boom-report-527128-2026-04-24</t>
  </si>
  <si>
    <t>Business Standard</t>
  </si>
  <si>
    <t>After 70% surge, Dubai housing sees first price drop since the pandemic</t>
  </si>
  <si>
    <t>https://www.business-standard.com/finance/personal-finance/after-70-surge-dubai-housing-sees-first-price-drop-since-the-pandemic-126042400181_1.html</t>
  </si>
  <si>
    <r>
      <rPr>
        <color rgb="FF1155CC"/>
        <u/>
      </rPr>
      <t>Realty.com</t>
    </r>
    <r>
      <rPr/>
      <t xml:space="preserve"> (Economic Times)</t>
    </r>
  </si>
  <si>
    <t>https://realty.economictimes.indiatimes.com/news/international/dubai-home-prices-decline-post-pandemic-boom-faces-geopolitical-challenges/130482529</t>
  </si>
  <si>
    <t>MENA FM</t>
  </si>
  <si>
    <t>Betterhomes: DIFC's AI-Native Expansion Reinforces Long-Term Appeal Of Central Dubai Living</t>
  </si>
  <si>
    <t>https://menafn.com/1111021770/Betterhomes-DIFCs-AI-Native-Expansion-Reinforces-Long-Term-Appeal-Of-Central-Dubai-Living</t>
  </si>
  <si>
    <t>ZAWYA: Rently: Tackling the challenges of modern rentals</t>
  </si>
  <si>
    <t>https://www.tradingview.com/news/reuters.com,2026-04-23:newsml_Zaw9l1kxN:0-zawya-rently-tackling-the-challenges-of-modern-rentals/</t>
  </si>
  <si>
    <t>25/04/2026</t>
  </si>
  <si>
    <t>No pause button: The UAE’s real estate machine</t>
  </si>
  <si>
    <t>https://www.khaleejtimes.com/supplements/no-pause-button-the-uaes-real-estate-machine?amp=1</t>
  </si>
  <si>
    <t>Dubai plotting a comeback as Iran war hammers its hottest market</t>
  </si>
  <si>
    <t>https://economictimes.indiatimes.com/nri/dubai-real-estate-plotting-a-comeback-as-us-iran-war-hammers-its-hottest-property-market/articleshow/130672295.cms?from=mdr</t>
  </si>
  <si>
    <t>27th April 2026</t>
  </si>
  <si>
    <t>Lovin Dubai</t>
  </si>
  <si>
    <t>Dubai’s property market is starting to cool off 🏙️📉 After years of rapid growth, prices dipped for the first time in 6 years!⁠</t>
  </si>
  <si>
    <t>https://www.instagram.com/p/DXoRnx3oMlB/?img_index=4&amp;hl=fr</t>
  </si>
  <si>
    <t>4th May 2026</t>
  </si>
  <si>
    <t>betterhomes exclusively launches City Tower, redefining long-term leasing in Central Dubai</t>
  </si>
  <si>
    <t>https://onevillenews.com/2026/05/04/betterhomes-exclusively-launches-city-tower-redefining-long-term-leasing-in-central-dubai/</t>
  </si>
  <si>
    <t xml:space="preserve">Gulf Daily News </t>
  </si>
  <si>
    <t>betterhomes announces exclusive launch of 93-storey Dubai tower</t>
  </si>
  <si>
    <t>https://www.gdnonline.com/Details/1393610/betterhomes-announces-exclusive-launch-of-93-storey-Dubai-tower</t>
  </si>
  <si>
    <t>Betterhomes exclusively launches City Tower, redefining long-term leasing in Central Dubai</t>
  </si>
  <si>
    <t>https://www.zawya.com/en/press-release/companies-news/betterhomes-exclusively-launches-city-tower-redefining-long-term-leasing-in-central-dubai-tnioca7e</t>
  </si>
  <si>
    <t>https://www.tradearabia.com/News/462096/betterhomes-announces-exclusive-launch-of-93-storey-Dubai-tower</t>
  </si>
  <si>
    <t>5th May 2026</t>
  </si>
  <si>
    <t>Mechanical Electrical Plumbing</t>
  </si>
  <si>
    <t>Betterhomes Announces Exclusive Launch Of 93-Storey Dubai Tower</t>
  </si>
  <si>
    <t>https://www.mepmiddleeast.com/news/betterhomes-announces-exclusive-launch-of-93-storey-dubai-tower</t>
  </si>
  <si>
    <t>Dubai residential transactions hit Dh139.2 billion in Q1</t>
  </si>
  <si>
    <t>https://www.khaleejtimes.com/business/dubai-residential-transactions-hit-dh1392-billion-in-q1</t>
  </si>
  <si>
    <t>https://www.msn.com/en-ae/money/news/dubai-residential-transactions-hit-dh139-2-billion-in-q1/ar-AA22rd30?ocid=finance-verthp-feeds</t>
  </si>
  <si>
    <t>Dubai real estate: Residential transactions records $37.9bn in Q1 2026</t>
  </si>
  <si>
    <t>https://www.arabianbusiness.com/real-estate/dubai-real-estate-residential-transactions-records-37-9bn-in-q1-2026</t>
  </si>
  <si>
    <t>6th May 2026</t>
  </si>
  <si>
    <t>Jamal Living announces new Al Barsha residential launch</t>
  </si>
  <si>
    <t>https://www.tradearabia.com/News/462193/Jamal-Living-announces-new-Al-Barsha-residential-launch</t>
  </si>
  <si>
    <t>7th May 2026</t>
  </si>
  <si>
    <t>International Business Magazine</t>
  </si>
  <si>
    <t>Jamal Living to launch Al Barsha residential in Dubai</t>
  </si>
  <si>
    <t>https://intlbm.com/2026/05/07/jamal-living-to-launch-al-barsha-residential-in-dubai/</t>
  </si>
  <si>
    <t>8th May 2026</t>
  </si>
  <si>
    <t>Dubai property market 'shows signs of stabilisation'</t>
  </si>
  <si>
    <t>https://www.tradearabia.com/News/462272/Dubai-property-market-'shows-signs-of-stabilisation'-</t>
  </si>
  <si>
    <t>10th May 2026</t>
  </si>
  <si>
    <t>New visa rules, metro gold line cushion Dubai property market amid regional war</t>
  </si>
  <si>
    <t>https://www.msn.com/en-ae/money/news/new-visa-rules-metro-gold-line-cushion-dubai-property-market-amid-regional-war/ar-AA22P2Sq?ocid=finance-verthp-feeds</t>
  </si>
  <si>
    <t>1st May 2026</t>
  </si>
  <si>
    <t>https://www.msn.com/en-in/money/markets/dubai-plotting-a-comeback-as-iran-war-hammers-its-hottest-market/ar-AA229qDh?gemSnapshotKey=GM5CF2AC1C-snapshot-1&amp;uxmode=ruby</t>
  </si>
  <si>
    <t>11th May 2026</t>
  </si>
  <si>
    <t>PRIME by betterhomes unveils the winners of Dubai's Top 50 Homes third edition</t>
  </si>
  <si>
    <t>https://www.zawya.com/en/press-release/companies-news/prime-by-betterhomes-unveils-the-winners-of-dubais-top-50-homes-third-edition-me3mnk56</t>
  </si>
  <si>
    <t>https://www.khaleejtimes.com/business/property/dubai-property-market-stabilises-despite-regional-tensions?amp=1</t>
  </si>
  <si>
    <t>UAE property buyers stay in the market despite regional tensions</t>
  </si>
  <si>
    <t>https://gulfnews.com/business/property/uae-property-buyers-stay-in-the-market-despite-regional-tensions-1.500531056</t>
  </si>
  <si>
    <t>12th May 2026</t>
  </si>
  <si>
    <t>Deyaar Development handed over 1,425 units across three major projects, including the residential tower Regalia in Business Bay, the final phase of Jannat in Midtown, and Talia Residences in Al Furjan</t>
  </si>
  <si>
    <t>https://www.khaleejtimes.com/business/property/deyaar-posts-dh4471-million-in-revenue-despite-downturn-in-hospitality</t>
  </si>
  <si>
    <t>13th May 2026</t>
  </si>
  <si>
    <t>Deyaar posts Dh447.1 million revenue despite hospitality downturn</t>
  </si>
  <si>
    <t>https://www.msn.com/en-ae/money/news/deyaar-posts-dh447-1-million-revenue-despite-hospitality-downturn/ar-AA230fWw</t>
  </si>
  <si>
    <t>15th May 2026</t>
  </si>
  <si>
    <t>Dubai property market shows early signs of recovery, rental demand rebounds 40% in April</t>
  </si>
  <si>
    <t>https://www.arabianbusiness.com/real-estate/dubai-property-market-shows-early-signs-of-recovery-rental-demand-rebounds-40-in-april</t>
  </si>
  <si>
    <t>17th May 2026</t>
  </si>
  <si>
    <t>Dubai realty regains momentum as buyers, tenants return</t>
  </si>
  <si>
    <t>https://www.khaleejtimes.com/business/property/dubai-realty-regains-momentum-as-buyers-tenants-return</t>
  </si>
  <si>
    <t>Thousands of real estate agencies in Dubai may disappear in coming months – EXCLUSIVE</t>
  </si>
  <si>
    <t>https://www.arabianbusiness.com/real-estate/dubai-real-estate-agencies-disappear</t>
  </si>
  <si>
    <t>1st June 2026</t>
  </si>
  <si>
    <t>Arabian Gulf Business Insight</t>
  </si>
  <si>
    <t>The bubbles of Dubai real estate and where they are</t>
  </si>
  <si>
    <t>https://www.agbi.com/analysis/real-estate/2026/06/the-bubbles-of-dubai-real-estate-and-where-they-are/</t>
  </si>
  <si>
    <t>BH</t>
  </si>
  <si>
    <t>Tier 1 Intl</t>
  </si>
  <si>
    <t>Grand Total</t>
  </si>
  <si>
    <t>Competitor Press Mentions</t>
  </si>
  <si>
    <t>Allsopp&amp;Allsopp</t>
  </si>
  <si>
    <t>Haus&amp;Haus</t>
  </si>
  <si>
    <t>Engel&amp;Volkers</t>
  </si>
  <si>
    <t>Month</t>
  </si>
  <si>
    <t xml:space="preserve"> Date</t>
  </si>
  <si>
    <t>AGBI</t>
  </si>
  <si>
    <t>Burj Khalifa at 15: Ups and downs of the world's tallest skyscraper</t>
  </si>
  <si>
    <t>https://www.agbi.com/real-estate/2025/01/burj-khalifa-at-15-ups-and-downs-of-the-worlds-tallest-skyscraper/</t>
  </si>
  <si>
    <t>Betterhomes</t>
  </si>
  <si>
    <t>Burj Khalifa turns 15: How much it costs to rent a home at the world's tallest building in Dubai</t>
  </si>
  <si>
    <t>https://www.khaleejtimes.com/uae/burj-khalifa-turns-15-how-much-it-costs-to-rent-a-home-at-the-worlds-tallest-building-in-dubai</t>
  </si>
  <si>
    <t>Dubai's Burj Khalifa charges Rs 70061 per sq ft in annual rent; here's how much it costs to rent a 1-bedroom flat in world's tallest building</t>
  </si>
  <si>
    <t>https://www.msn.com/en-in/money/topstories/dubai-s-burj-khalifa-charges-rs-70061-per-sq-ft-in-annual-rent-here-s-how-much-it-costs-to-rent-a-1-bedroom-flat-in-world-s-tallest-building/ar-AA1wXCUw?ocid=finance-verthp-feeds</t>
  </si>
  <si>
    <t>Betterhomes CEO steps down, takes over as Cencorp boss</t>
  </si>
  <si>
    <t>https://www.constructionweekonline.com/news/betterhomes-ceo-steps-down-takes-over-as-cencorp-boss</t>
  </si>
  <si>
    <t>Betterhomes/Cencorp</t>
  </si>
  <si>
    <t>Dubai real estate firm Betterhomes announces two major leadership changes</t>
  </si>
  <si>
    <t>https://www.arabianbusiness.com/jobs/dubai-real-estate-firm-betterhomes-announces-two-major-leadership-changes</t>
  </si>
  <si>
    <t>The Arabian Marketer</t>
  </si>
  <si>
    <t>Betterhomes Has Announced Two Major Leadership Changes</t>
  </si>
  <si>
    <t>https://arabianmarketer.ae/betterhomes-has-announced-two-major-leadership-changes/</t>
  </si>
  <si>
    <t>Betterhomes has announced two major leadership changes</t>
  </si>
  <si>
    <t>https://www.zawya.com/en/press-release/people-in-the-news/betterhomes-has-announced-two-major-leadership-changes-eul65s4o</t>
  </si>
  <si>
    <t>The Globe and Mail</t>
  </si>
  <si>
    <t>Betterhomes Reveals Dubai as the World’s Premier Property Investment Destination</t>
  </si>
  <si>
    <t>https://www.theglobeandmail.com/investing/markets/markets-news/Plentisoft/30388136/betterhomes-reveals-dubai-as-the-worlds-premier-property-investment-destination/</t>
  </si>
  <si>
    <t>Travel and Tour World</t>
  </si>
  <si>
    <t>Richard Waind Becomes CEO of Cencorp, While Louis Harding Takes Over as Betterhomes CEO to Drive Dubai Real Estate Growth</t>
  </si>
  <si>
    <t>https://www.travelandtourworld.com/news/article/richard-waind-becomes-ceo-of-cencorp-while-louis-harding-takes-over-as-betterhomes-ceo-to-drive-dubai-real-estate-growth/</t>
  </si>
  <si>
    <t>Markets Insider</t>
  </si>
  <si>
    <t>https://markets.businessinsider.com/news/stocks/betterhomes-reveals-dubai-as-the-world-s-premier-property-investment-destination-1034215635</t>
  </si>
  <si>
    <t>Street Insider</t>
  </si>
  <si>
    <t>https://www.streetinsider.com/Evertise+Financial/Betterhomes+Reveals+Dubai+as+the+World%E2%80%99s+Premier+Property+Investment+Destination/24196773.html</t>
  </si>
  <si>
    <t>Digital Journal</t>
  </si>
  <si>
    <t>https://www.digitaljournal.com/pr/news/vehement-media/betterhomes-reveals-dubai-world-s-premier-1912448123.html</t>
  </si>
  <si>
    <t>Dubai real estate sets record breaking transaction record with $115bn of sales in 2024; $65.5m villa and $74.8m apartment top charts</t>
  </si>
  <si>
    <t>https://www.arabianbusiness.com/industries/real-estate/dubai-real-estate-sets-record-breaking-transaction-record-with-115bn-of-sales-in-2024-65-5m-villa-and-74-8m-apartment-top-charts</t>
  </si>
  <si>
    <t>Price surge may moderate as Dubai set to add 72,000 housing units</t>
  </si>
  <si>
    <t>https://www.khaleejtimes.com/business/realty/price-surge-may-moderate-as-dubai-set-to-add-72000-housing-units</t>
  </si>
  <si>
    <t>FY2024 Dubai real estate market highlights: A year of growth and transition</t>
  </si>
  <si>
    <t>https://www.zawya.com/en/press-release/research-and-studies/fy2024-dubai-real-estate-market-highlights-a-year-of-growth-and-transition-esni838i</t>
  </si>
  <si>
    <t>Price Surge May Moderate As Dubai Set To Add 72,000 Housing Units</t>
  </si>
  <si>
    <t>https://menafn.com/1109100000/Price-Surge-May-Moderate-As-Dubai-Set-To-Add-72000-Housing-Units</t>
  </si>
  <si>
    <t>Gulf News</t>
  </si>
  <si>
    <t>Buying freehold property in Dubai: Your guide to securing full ownership</t>
  </si>
  <si>
    <t>https://gulfnews.com/living-in-uae/housing/how-to-buy-freehold-property-in-dubai-how-to-secure-full-ownership-1.500019993</t>
  </si>
  <si>
    <t>Dubai villa rent prices surge 52%, Palm Jumeirah sees biggest spike in 2024: Report</t>
  </si>
  <si>
    <t>https://www.arabianbusiness.com/industries/real-estate/dubai-villa-rent-prices-surge-52-palm-jumeirah-sees-biggest-spike-in-2024-report</t>
  </si>
  <si>
    <t>Dubai commercial property market records 24% jump in growth, rakes in $24.5bn in value in 2024</t>
  </si>
  <si>
    <t>https://www.arabianbusiness.com/industries/real-estate/dubai-commercial-property-market-records-24-jump-in-growth-rakes-in-24-5bn-in-value-in-2024</t>
  </si>
  <si>
    <t>Betterhomes/CRC</t>
  </si>
  <si>
    <t>mid east info</t>
  </si>
  <si>
    <t>FY2024 Dubai Real Estate Market Highlights: A Year of Growth and Transition</t>
  </si>
  <si>
    <t>https://mid-east.info/fy2024-dubai-real-estate-market-highlights-a-year-of-growth-and-transition/</t>
  </si>
  <si>
    <t>FY2024 Dubai Real Estate Market Highlights: A Year Of Growth And Transition</t>
  </si>
  <si>
    <t>https://menafn.com/1109122274/FY2024-Dubai-Real-Estate-Market-Highlights-A-Year-Of-Growth-And-Transition</t>
  </si>
  <si>
    <t>A 23% Rise in Tenant Demand at Betterhomes</t>
  </si>
  <si>
    <t>https://menafn.com/1109127970/A-23-Rise-in-Tenant-Demand-at-Betterhomes</t>
  </si>
  <si>
    <t>Dubai: Tenants move to cheaper areas, lock long-term leases before commercial rental index rollout</t>
  </si>
  <si>
    <t>https://www.khaleejtimes.com/uae/dubai-tenants-relocating-to-cheaper-areas-securing-long-term-leases-ahead-of-commercial-rental-ind?amp=1</t>
  </si>
  <si>
    <t>Dubai real estate: DLD opens freehold property conversion for Sheikh Zayed Road, Al Jaddaf – everything you need to know</t>
  </si>
  <si>
    <t>https://www.arabianbusiness.com/industries/real-estate/dubai-real-estate-dld-opens-freehold-property-conversion-for-sheikh-zayed-road-al-jaddaf-everything-you-need-to-know?utm_medium=email&amp;utm_medium=email&amp;utm_campaign=UK%20millionaires%20head%20for%20Dubai%20Abu%20Dhabi%20DLD%20freehold%20property%20conversion%20explainer%20UAE%20BNPL%20platforms%20set%20new%20limit%20081603%20AM&amp;utm_content=UK%20millionaires%20head%20for%20Dubai%20Abu%20Dhabi%20DLD%20freehold%20property%20conversion%20explainer%20UAE%20BNPL%20platforms%20set%20new%20limit%20081603%20AM+CID_1576cdc239b534957231a5f1f1d0dd95&amp;utm_source=Newsletters&amp;utm_term=Dubai%20real%20estate%20DLD%20opens%20freehold%20property%20conversion%20for%20Sheikh%20Zayed%20Road%20Al%20Jaddaf%20%20everything%20you%20need%20to%20know</t>
  </si>
  <si>
    <t>Dubai rent hikes to slow down in 2025 as property market set for record supply</t>
  </si>
  <si>
    <t>https://www.khaleejtimes.com/business/realty/dubai-rent-hikes-to-slow-down-in-2025-as-property-market-set-for-record-supply</t>
  </si>
  <si>
    <t>Dubai Rent Hikes To Slow Down In 2025 As Property Market Set For Record Supply</t>
  </si>
  <si>
    <t>https://menafn.com/1109137391/Dubai-Rent-Hikes-To-Slow-Down-In-2025-As-Property-Market-Set-For-Record-Supply</t>
  </si>
  <si>
    <t>Tenants shifting to cheaper areas as commercial rental index looms</t>
  </si>
  <si>
    <t>https://www.pressreader.com/uae/khaleej-times/20250128/281651080785914</t>
  </si>
  <si>
    <t>2024 Sees Supply Delays as Developers Set Sights on Record-Breaking 2025 Completions</t>
  </si>
  <si>
    <t>https://menafn.com/1109138635/2024-Sees-Supply-Delays-as-Developers-Set-Sights-on-Record-Breaking-2025-Completions</t>
  </si>
  <si>
    <t>Record supply likely to ease Dubai rents in ’25</t>
  </si>
  <si>
    <t>https://www.pressreader.com/uae/khaleej-times/20250129/281638195886222</t>
  </si>
  <si>
    <t>Investor Confidence Soars as Off-Plan Dominates Dubai’s Residential Real Estate Market in 2024</t>
  </si>
  <si>
    <t>https://www.google.com/url?rct=j&amp;sa=t&amp;url=https://menafn.com/1109155855/Investor-Confidence-Soars-as-Off-Plan-Dominates-Dubais-Residential-Real-Estate-Market-in-2024&amp;ct=ga&amp;cd=CAEYACoUMTU5MzQwNzI3MjY2NzM5MzgzOTkyGmYxMGNhMzlmN2NmNGIzNmM6Y29tOmVuOlVT&amp;usg=AOvVaw2_sIONQqVXBX_dd-Hp5QSc</t>
  </si>
  <si>
    <t>Dubai real estate: High-end villas, luxury apartments to lead city’s rental price gains in 2025</t>
  </si>
  <si>
    <t>https://www.arabianbusiness.com/industries/real-estate/dubai-real-estate-high-end-villas-luxury-apartments-to-lead-citys-rental-price-gains-in-2025</t>
  </si>
  <si>
    <t>Dubai: Most tenants renew leases due to high rents, but this could change; here’s why</t>
  </si>
  <si>
    <t>https://www.khaleejtimes.com/uae/dubai-most-tenants-renew-leases-due-to-high-rents-but-this-could-change-heres-why</t>
  </si>
  <si>
    <t>Property News Time</t>
  </si>
  <si>
    <t>Dubai Real Estate Market sets new records in 2024 with AED 423.36 Billion in sales</t>
  </si>
  <si>
    <t>https://www.propnewstime.com/getdetailsStories/MTQ3MTI=/dubai-real-estate-market-sets-new-records-in-2024-with-aed-423-36-billion-in-sales</t>
  </si>
  <si>
    <t>PressReader.com</t>
  </si>
  <si>
    <t xml:space="preserve">
Tenants prefer lease renewals as new contracts prove costlier</t>
  </si>
  <si>
    <t>https://www.pressreader.com/uae/khaleej-times/20250205/281522231784879</t>
  </si>
  <si>
    <t xml:space="preserve">Dubai's property market set for 171% rise in completions in
2025
</t>
  </si>
  <si>
    <t>https://www.propnewstime.com/getdetailsStories/MTQ3MTY=/dubai-s-property-market-set-for-171-rise-in-completions-in-2025</t>
  </si>
  <si>
    <t>Dubai’s property market kicks off 2025 with a bang: AED 35bln in sales</t>
  </si>
  <si>
    <t>https://www.zawya.com/en/press-release/research-and-studies/dubais-property-market-kicks-off-2025-with-a-bang-aed-35bln-in-sales-ydbkolcn</t>
  </si>
  <si>
    <t>The Guardian</t>
  </si>
  <si>
    <t>Dubai: Buying the Dream</t>
  </si>
  <si>
    <t>https://www.theguardian.com/tv-and-radio/2025/feb/05/tv-tonight-the-hilarious-spin-off-from-sharon-horgans-motherland</t>
  </si>
  <si>
    <t>Dubai real estate: Average prices for apartments, townhouses and villas revealed as sales hit $9.5bn in January</t>
  </si>
  <si>
    <t>https://www.arabianbusiness.com/industries/real-estate/dubai-real-estate-average-prices-for-apartments-townhouses-and-villas-revealed-as-sales-hit-9-5bn-in-january</t>
  </si>
  <si>
    <t>Dubai’s realty off to strong start with Dh35b first month sales</t>
  </si>
  <si>
    <t>https://www.khaleejtimes.com/business/dubais-realty-off-to-strong-start-with-dh35b-first-month-sales</t>
  </si>
  <si>
    <t>Dubai's Property Market Kicks Off 2025 With A Bang: AED 35 Billion In Sales</t>
  </si>
  <si>
    <t>https://menafn.com/1109186794/Dubais-Property-Market-Kicks-Off-2025-With-A-Bang-AED-35-Billion-In-Sales#gsc.tab=0</t>
  </si>
  <si>
    <t>Dubai's Realty Off To Strong Start With Dh35b First Month Sales</t>
  </si>
  <si>
    <t>https://menafn.com/1109186085/Dubais-Realty-Off-To-Strong-Start-With-Dh35b-First-Month-Sales</t>
  </si>
  <si>
    <t>Dubai's property market begins 2025 with strong sales
worth AED 35 billion</t>
  </si>
  <si>
    <t>https://www.google.com/url?rct=j&amp;sa=t&amp;url=https://propnewstime.com/getdetailsStories/MTQ5ODg%3D/dubai-s-property-market-begins-2025-with-strong-sales-worth-aed-35-billion&amp;ct=ga&amp;cd=CAEYACoUMTA3MjIxOTA0NjEzOTMzMzA1NTQyGmYxMGNhMzlmN2NmNGIzNmM6Y29tOmVuOlVT&amp;usg=AOvVaw321PS3MyvkITJPO_rh2ga8</t>
  </si>
  <si>
    <t>Economy Middle East</t>
  </si>
  <si>
    <t>Dubai’s Danube Properties launches game-changing convertible 1BHK apartment at the price of a studio</t>
  </si>
  <si>
    <t>https://economymiddleeast.com/news/dubai-danube-properties-launches-game-changing-convertible-1bhk-apartment-at-the-price-of-a-studio/</t>
  </si>
  <si>
    <t>Dubai villa rented out for Dh15.5 million a year in emirate's largest leasing deal</t>
  </si>
  <si>
    <t>https://www.msn.com/en-ae/news/featured/dubai-villa-rented-out-for-dh155-million-a-year-in-emirates-largest-leasing-deal/ar-AA1smMdm?apiversion=v2&amp;noservercache=1&amp;domshim=1&amp;renderwebcomponents=1&amp;wcseo=1&amp;batchservertelemetry=1&amp;noservertelemetry=1</t>
  </si>
  <si>
    <t>GlobalNewsWire</t>
  </si>
  <si>
    <t>https://www.globenewswire.com/news-release/2025/02/18/3028195/0/en/FY2024-Dubai-Real-Estate-Market-Highlights-A-Year-of-Growth-and-Transition.html</t>
  </si>
  <si>
    <t>Market Insider</t>
  </si>
  <si>
    <t>https://markets.businessinsider.com/news/stocks/fy2024-dubai-real-estate-market-highlights-a-year-of-growth-and-transition-1034372522</t>
  </si>
  <si>
    <t>Dubai properties: Developers dismiss concerns around market slowdown in 2025</t>
  </si>
  <si>
    <t>https://www.khaleejtimes.com/business/property/dubai-properties-developers-dismiss-concerns-around-market-slowdown-in-2025?amp=1</t>
  </si>
  <si>
    <t>Dubai real estate: Ramadan ‘a golden window’ for property market investment, says new report</t>
  </si>
  <si>
    <t>https://www.arabianbusiness.com/industries/real-estate/dubai-real-estate-ramadan-a-golden-window-for-property-market-investment-says-new-report?utm_medium=email&amp;utm_medium=email&amp;utm_campaign=Ramadan%20a%20golden%20window%20for%20Dubai%20property%20market%20Dubais%20most%20expensive%20schools%20Bitcoin%20plunges%20below%2090000%20094646%20AM&amp;utm_content=Ramadan%20a%20golden%20window%20for%20Dubai%20property%20market%20Dubais%20most%20expensive%20schools%20Bitcoin%20plunges%20below%2090000%20094646%20AM+CID_c10e95892f4d0890707e37add1328e31&amp;utm_source=Newsletters&amp;utm_term=Dubai%20real%20estate%20Ramadan%20a%20golden%20window%20for%20property%20market%20investment%20says%20new%20report</t>
  </si>
  <si>
    <t>Betterhomes awarded Best Real Estate Agency in Arabia at the International Property Awards</t>
  </si>
  <si>
    <t>https://www.zawya.com/en/press-release/companies-news/betterhomes-awarded-best-real-estate-agency-in-arabia-at-the-international-property-awards-t6ekdgob</t>
  </si>
  <si>
    <t>Thinking of buying a property in Dubai? Consider FEMA limits, hidden costs, developers and zone-type before taking a call</t>
  </si>
  <si>
    <t>https://economictimes.indiatimes.com/wealth/real-estate/thinking-of-buying-a-property-in-dubai-consider-fema-limits-hidden-costs-developers-and-zone-type-before-taking-a-call/articleshow/118642147.cms?from=mdr</t>
  </si>
  <si>
    <t>Meet the owner of Dubai's Burj Khalifa, world's tallest building? Not Sultan of UAE, Dubai king, the name is...</t>
  </si>
  <si>
    <t>https://www.msn.com/en-in/money/real-estate/meet-the-owner-of-dubai-s-burj-khalifa-world-s-tallest-building-not-sultan-of-uae-dubai-king-the-name-is/ar-AA1zQCjB?ocid=BingNewsVerp&amp;apiversion=v2&amp;noservercache=1&amp;domshim=1&amp;renderwebcomponents=1&amp;wcseo=1&amp;batchservertelemetry=1&amp;noservertelemetry=1</t>
  </si>
  <si>
    <t>Business Recorder</t>
  </si>
  <si>
    <t>2024: Pakistanis among top 5 buyers of real estate in Dubai, Indians top list</t>
  </si>
  <si>
    <t>https://www.brecorder.com/news/40351232/pakistanis-among-top-5-buyers-of-real-estate-in-dubai-indians-top-list</t>
  </si>
  <si>
    <t>DG 129 now exclusively managed by Betterhomes</t>
  </si>
  <si>
    <t>https://www.zawya.com/en/press-release/companies-news/dg-129-now-exclusively-managed-by-betterhomes-sfrxelru</t>
  </si>
  <si>
    <t>Dubai real estate: Betterhomes takes over management of DG 129 in Discovery Gardens</t>
  </si>
  <si>
    <t>https://www.arabianbusiness.com/industries/real-estate/dubai-real-estate-betterhomes-takes-over-management-of-dg-129-in-discovery-gardens</t>
  </si>
  <si>
    <t>Egyptians show sudden interest in Dubai property</t>
  </si>
  <si>
    <t>https://www.agbi.com/real-estate/2025/03/egyptians-show-sudden-interest-in-dubai-property/</t>
  </si>
  <si>
    <t>Dubai’s Real Estate Boom During Ramadan: Why the Market Surges Instead of Slowing</t>
  </si>
  <si>
    <t>https://menafn.com/1109300107/Dubais-Real-Estate-Boom-During-Ramadan-Why-the-Market-Surges-Instead-of-Slowing</t>
  </si>
  <si>
    <t>Dubai: Rent increases slow down as more inventory comes online</t>
  </si>
  <si>
    <t>https://www.khaleejtimes.com/uae/dubai-rent-rise-slow-down-2025</t>
  </si>
  <si>
    <t>Aaj TV News</t>
  </si>
  <si>
    <t>Pakistan ranks fifth among top property buyers in Dubai</t>
  </si>
  <si>
    <t>https://english.aaj.tv/news/330406793/pakistan-ranks-fifth-among-top-property-buyers-in-dubai</t>
  </si>
  <si>
    <t>Pro Pakistani</t>
  </si>
  <si>
    <t>Pakistan Ranks Fifth Among Top Property Buyers in Dubai</t>
  </si>
  <si>
    <t>https://propakistani.pk/2025/03/12/pakistan-ranks-fifth-among-top-property-buyers-in-dubai/#google_vignette</t>
  </si>
  <si>
    <t>Dubai rents: More signs emerge of rent increases slowing down</t>
  </si>
  <si>
    <t>https://gulfnews.com/business/property/dubai-rents-more-signs-emerge-of-rent-increases-slowing-down-1.500058309</t>
  </si>
  <si>
    <t>https://www.theglobeandmail.com/investing/markets/markets-news/GetNews/31397304/fy2024-dubai-real-estate-market-highlights-a-year-of-growth-and-transition/</t>
  </si>
  <si>
    <t>Open PR</t>
  </si>
  <si>
    <t>https://www.openpr.com/news/3915763/fy2024-dubai-real-estate-market-highlights-a-year-of-growth</t>
  </si>
  <si>
    <t>MEED</t>
  </si>
  <si>
    <t>Dubai property market rebounds in February</t>
  </si>
  <si>
    <t>https://www.meed.com/dubai-property-market-rebounds-in-february</t>
  </si>
  <si>
    <t>Business Outreach</t>
  </si>
  <si>
    <t>Dubai Real Estate Market Surges to AED 41 Billion in February Sales</t>
  </si>
  <si>
    <t>https://www.businessoutreach.in/dubai-real-estate-market-surges-to-aed-41-billion-in-february-sales/</t>
  </si>
  <si>
    <t>Dubai real estate: Property sales surge 17% to $11.16bn in February 2025</t>
  </si>
  <si>
    <t>https://www.arabianbusiness.com/industries/real-estate/dubai-real-estate-property-sales-surge-17-to-11-16bn-in-february-2025</t>
  </si>
  <si>
    <t>Dubai: New affordable housing project to serve residents across income levels, says top official</t>
  </si>
  <si>
    <t>https://www.khaleejtimes.com/uae/dubai-affordable-housing-residents-income</t>
  </si>
  <si>
    <t>Dubai realty shatters records as prices hit new highs</t>
  </si>
  <si>
    <t>https://www.khaleejtimes.com/business/property/dubai-realty-shatters-records-as-prices-hit-new-highs</t>
  </si>
  <si>
    <t>Dubai real estate market maintains strong momentum with record prices and rising sales volumes</t>
  </si>
  <si>
    <t>https://propnewstime.com/getdetailsStories/MTYwNDM=/dubai-real-estate-market-maintains-strong-momentum-with-record-prices-and-rising-sales-volumes</t>
  </si>
  <si>
    <t>Egyptians emerge as a rising force in Dubai’s real estate</t>
  </si>
  <si>
    <t>https://www.khaleejtimes.com/business/property/egyptians-emerge-as-a-rising-force-in-dubais-real-estate</t>
  </si>
  <si>
    <t>Dubai real estate: Indians, British and Italians lead property purchases as Egyptian numbers surge</t>
  </si>
  <si>
    <t>https://www.arabianbusiness.com/industries/real-estate/dubai-real-estate-indians-british-and-italians-lead-property-purchases-as-egyptian-numbers-surge</t>
  </si>
  <si>
    <t>Big Fed rate cut needed for ‘noticeable’ changes in UAE mortgage borrowing costs</t>
  </si>
  <si>
    <t>https://www.thenationalnews.com/business/money/2025/03/20/fed-rate-cut-uae-mortgages/</t>
  </si>
  <si>
    <t>Dubai’s Rental Market Stabilises as Tenant Choices Expand</t>
  </si>
  <si>
    <t>https://menafn.com/1109342229/Dubais-Rental-Market-Stabilises-as-Tenant-Choices-Expand</t>
  </si>
  <si>
    <t>How can we decode the relentless property boom in Dubai?</t>
  </si>
  <si>
    <t>https://www.khaleejtimes.com/business/property/how-can-we-decode-the-relentless-property-boom-in-dubai</t>
  </si>
  <si>
    <t>Cencorp/Betterhomes</t>
  </si>
  <si>
    <t>Dubai real estate: Mortgage transactions rise 4.76% as fed holds rates steady</t>
  </si>
  <si>
    <t>https://www.arabianbusiness.com/industries/real-estate/dubai-real-estate-mortgage-transactions-rise-4-76-as-fed-holds-rates-steady</t>
  </si>
  <si>
    <t>Betterhomes/Lomond</t>
  </si>
  <si>
    <t>Dubai real estate: Property market records 35.5% surge transactions as off-plan market draws global investors</t>
  </si>
  <si>
    <t>https://www.arabianbusiness.com/industries/real-estate/dubai-real-estate-property-market-records-35-5-surge-transactions-as-off-plan-market-draws-global-investors</t>
  </si>
  <si>
    <t>Mortgage landscape in Dubai remains resilient as Fed holds rates steady</t>
  </si>
  <si>
    <t>https://www.khaleejtimes.com/business/mortgage-landscape-in-dubai-remains-resilient-as-fed-holds-rates-steady</t>
  </si>
  <si>
    <t>Chart of the week: Dubai properties deliver more for your million</t>
  </si>
  <si>
    <t>https://www.thenationalnews.com/news/2025/04/01/chart-of-the-week-dubai-properties-deliver-more-for-your-million/</t>
  </si>
  <si>
    <t>Dubai's mortgage market remains strong in 2025 amid stable interest rates and high demand</t>
  </si>
  <si>
    <t>https://propnewstime.com/getdetailsStories/MTY1MDc=/dubai-s-mortgage-market-remains-strong-in-2025-amid-stable-interest-rates-and-high-demand</t>
  </si>
  <si>
    <t>Here's what Dh1 million gets you today in Dubai's boom town property market</t>
  </si>
  <si>
    <t>https://www.thenationalnews.com/news/uae/2025/04/07/dubai-dh1-million-property-market/</t>
  </si>
  <si>
    <t>ARTICLELINK</t>
  </si>
  <si>
    <t>Dubai: Why global investors are buying more plots of land</t>
  </si>
  <si>
    <t>https://www.khaleejtimes.com/business/why-are-global-investors-in-dubai-shifting-their-focus-to-plots</t>
  </si>
  <si>
    <t>New real estate trend: Foreign investors in Dubai shift focus from apartments to plots</t>
  </si>
  <si>
    <t>https://www.zawya.com/en/press-release/research-and-studies/new-real-estate-trend-foreign-investors-in-dubai-shift-focus-from-apartments-to-plots-pgkh4ij0</t>
  </si>
  <si>
    <t>Global investors shifting focus to plots in Dubai</t>
  </si>
  <si>
    <t>https://www.pressreader.com/uae/khaleej-times/20250411/281629606101470</t>
  </si>
  <si>
    <t xml:space="preserve">Foreign investors in Dubai shift gears as land plots outshine apartments
</t>
  </si>
  <si>
    <t>https://propnewstime.com/getdetailsStories/MTcwNzk=/foreign-investors-in-dubai-shift-gears-as-land-plots-outshine-apartments</t>
  </si>
  <si>
    <t>Dubai real estate: Property transactions surge 35.5% as off-plan market thrives in 2025</t>
  </si>
  <si>
    <t>https://www.arabianbusiness.com/industries/real-estate/dubai-property-2025</t>
  </si>
  <si>
    <t>Offplan transactions drive Dubai real estate growth in first quarter</t>
  </si>
  <si>
    <t>https://www.khaleejtimes.com/business/offplan-transactions-drive-dubai-real-estate-growth-in-first-quarter</t>
  </si>
  <si>
    <t>Expats boosted Dubai’s 70% property rally, now Trump's tariffs threaten to undo all gains</t>
  </si>
  <si>
    <t>https://economictimes.indiatimes.com/nri/invest/dubais-70-property-rally-faces-threat-from-tariff-turmoil/articleshow/120278896.cms?from=mdr</t>
  </si>
  <si>
    <t>Bloomberg Middle East</t>
  </si>
  <si>
    <t>Dubai’s 70% Property Rally Faces Threat From Tariff Turmoil</t>
  </si>
  <si>
    <t>https://www.bloomberg.com/news/articles/2025-04-14/dubai-property-boom-faces-pressure-as-oil-falls-trump-tariffs-test-demand</t>
  </si>
  <si>
    <t>Dubai: Are rents dropping in some communities after double-digit hikes?</t>
  </si>
  <si>
    <t>https://www.khaleejtimes.com/uae/dubai-rents-drop-post-pandemic-plateau?fbclid=IwY2xjawJuwkBleHRuA2FlbQIxMQABHuMDwAQR3ZZyW3oqSAoTN2PVh_N4ia64InteRYxHTzU_PR_udOCOMoRXNaOD_aem_v6i6qaBtaZ8lRHmBNNTOTg</t>
  </si>
  <si>
    <t>Forbes Middle East</t>
  </si>
  <si>
    <t>Exclusive: Talal Moafaq Al Gaddah On MAG’s $13.6B Push Into Wellness Real Estate</t>
  </si>
  <si>
    <t>https://www.forbesmiddleeast.com/industry/real-estate/talal-moafaq-al-gaddah</t>
  </si>
  <si>
    <t>Dubai real estate: Is it the right time to invest in the property market? Experts weigh in</t>
  </si>
  <si>
    <t>https://www.arabianbusiness.com/industries/real-estate/dubai-real-estate-is-it-the-right-time-to-invest-in-the-property-market-experts-weigh-in</t>
  </si>
  <si>
    <t>Dubai real estate market grows 23% in Q1 2025 as villa sales lead surge: Report</t>
  </si>
  <si>
    <t>https://www.arabianbusiness.com/industries/real-estate/dubai-real-estate-market-grows-23-in-q1-2025-as-villa-sales-lead-surge-report?utm_medium=email&amp;utm_medium=email&amp;utm_campaign=Dubai%20real%20estate%20market%20up%2023%20Emaar%20invests%201bn%20in%20Dubais%20global%20identity%20Metallica%20in%20Abu%20Dhabi%20081304%20AM&amp;utm_content=Dubai%20real%20estate%20market%20up%2023%20Emaar%20invests%201bn%20in%20Dubais%20global%20identity%20Metallica%20in%20Abu%20Dhabi%20081304%20AM+CID_e7b2d6ef60047341d0b0bf63cf3e4273&amp;utm_source=Newsletters&amp;utm_term=Dubai%20real%20estate%20market%20grows%2023%20in%20Q1%202025%20as%20villa%20sales%20lead%20surge</t>
  </si>
  <si>
    <t>Villa market outshines as Dubai realty posts big Q1 sales surge</t>
  </si>
  <si>
    <t>https://www.khaleejtimes.com/business/villa-market-outshines-as-dubai-realty-posts-big-q1-sales-surge</t>
  </si>
  <si>
    <t>Web Release</t>
  </si>
  <si>
    <t>Inside Dubai’s Property Surge: Betterhomes Q1 2025 Real Estate Market Insights</t>
  </si>
  <si>
    <t>https://web-release.com/inside-dubais-property-surge-betterhomes-q1-2025-real-estate-market-insights/</t>
  </si>
  <si>
    <t>Yahoo Finance</t>
  </si>
  <si>
    <t>Betterhomes - Record-Breaking Start to 2025 for Dubai Real Estate: Transactions Surge 23% in Q1</t>
  </si>
  <si>
    <t>https://finance.yahoo.com/news/betterhomes-record-breaking-start-2025-100800890.html?guccounter=1&amp;guce_referrer=aHR0cHM6Ly93d3cuZ29vZ2xlLmNvbS8&amp;guce_referrer_sig=AQAAAK9ItZrecG5iJiJwnXylExjxK0YMewpPAFuiI7U-C0RgaEOVwdpFnPXekdt5pgHKtCGPTgXwQcrSbfNOV074KfUQ9J-CpkPhHqobtt8s9GOJUOlWHYuxDh3aeNr5PDKjjjFKvl1df2LDFRdYeFdlAVLrKtA1titfIBL1bYoje8oP</t>
  </si>
  <si>
    <t>Betterhomes Cements Its Position as UAE’s Leading Property Management Company with IPS 2025 Win</t>
  </si>
  <si>
    <t>https://onevillenews.com/2025/04/23/betterhomes-cements-its-position-as-uaes-leading-property-management-company-with-ips-2025-win/</t>
  </si>
  <si>
    <t>Betterhomes PMGT</t>
  </si>
  <si>
    <t>The Brew News</t>
  </si>
  <si>
    <t>Dubai property market sees AED 114 billion boom in Q1 2025</t>
  </si>
  <si>
    <t>https://thebrewnews.com/thebrew-news/uae/dubai-property-market-q1-2025/</t>
  </si>
  <si>
    <t>Gulf Business</t>
  </si>
  <si>
    <t>Dubai property is booming: What every investor should know</t>
  </si>
  <si>
    <t>https://gulfbusiness.com/dubai-property-is-booming-what-every-investor-should-know/</t>
  </si>
  <si>
    <t>https://web-release.com/betterhomes-cements-its-position-as-uaes-leading-property-management-company-with-ips-2025-win/</t>
  </si>
  <si>
    <t>Betterhomes Reports Strong Start to 2025 as Dubai Real Estate Transactions Rise Sharply in First Quarter</t>
  </si>
  <si>
    <t>https://markets.businessinsider.com/news/stocks/betterhomes-reports-strong-start-to-2025-as-dubai-real-estate-transactions-rise-sharply-in-first-quarter-1034629417</t>
  </si>
  <si>
    <t>https://dreamproperties.ae/betterhomes-reports-strong-start-to-2025-as-dubai-real-estate-transactions-rise-sharply-in-first-quarter-streetinsider-22/</t>
  </si>
  <si>
    <t>Rents in Dubai Face Sudden Double-Digit Hike</t>
  </si>
  <si>
    <t>https://propakistani.pk/2025/04/30/rents-in-dubai-face-sudden-double-digit-hike/</t>
  </si>
  <si>
    <t>DHB Holding has announced its first residential project in Abu Dhabi, partnering exclusively with UAE real estate agency Betterhomes for the sales and marketing of ‘Opula’ in Yas Bay.</t>
  </si>
  <si>
    <t>https://www.arabianbusiness.com/industries/real-estate/uae-real-estate-dhb-holding-betterhomes-launches-first-abu-dhabi-project</t>
  </si>
  <si>
    <t>Betterhomes and DHB Holding announce exclusive partnership in Yas Bay</t>
  </si>
  <si>
    <t>https://www.zawya.com/en/press-release/companies-news/betterhomes-and-dhb-holding-announce-exclusive-partnership-in-yas-bay-u9g76tkr</t>
  </si>
  <si>
    <t>Construction Business News ME</t>
  </si>
  <si>
    <t>Betterhomes Partners With DHB Holding To Launch First Residential Project In Yas Bay</t>
  </si>
  <si>
    <t>https://www.cbnme.com/news/betterhomes-partners-with-dhb-holding-to-launch-first-residential-project-in-yas-bay/</t>
  </si>
  <si>
    <t>Arqam News</t>
  </si>
  <si>
    <t>https://arqam.news/446966/</t>
  </si>
  <si>
    <t>Abu Dhabi property prices to surge following Disney theme park announcement</t>
  </si>
  <si>
    <t>https://www.arabianbusiness.com/industries/real-estate/abu-dhabi-property-prices-to-surge-following-disney-theme-park-announcement?utm_medium=email&amp;utm_medium=email&amp;utm_campaign=Al%20Maktoum%20International%20Airport%20update%203%20new%20hospitals%20in%20Dubai%20AED100m%20divorce%20in%20UAE%20051007%20AM&amp;utm_content=Al%20Maktoum%20International%20Airport%20update%203%20new%20hospitals%20in%20Dubai%20AED100m%20divorce%20in%20UAE%20051007%20AM+CID_5663614f6207e9e7123efdc83bb5f3dd&amp;utm_source=Newsletters&amp;utm_term=Abu%20Dhabi%20property%20prices%20to%20surge%20following%20Disney%20theme%20park%20announcement</t>
  </si>
  <si>
    <t>Dubai real estate: Tenants want professionally managed properties, Betterhomes study reveals</t>
  </si>
  <si>
    <t>https://www.arabianbusiness.com/industries/real-estate/dubai-real-estate-tenants-want-professionally-managed-properties-betterhomes-study-reveals?utm_medium=email&amp;utm_medium=email&amp;utm_campaign=Dubai%20real%20estate%20study%20Primark%20in%20the%20Middle%20East%20Dubai%20real%20estate%20sales%20up%2061%20110046%20AM&amp;utm_content=Dubai%20real%20estate%20study%20Primark%20in%20the%20Middle%20East%20Dubai%20real%20estate%20sales%20up%2061%20110046%20AM+CID_47a28fd968f41ccbcbfd9bbc593fc5f7&amp;utm_source=Newsletters&amp;utm_term=Dubai%20real%20estate%20Tenants%20want%20professionally%20managed%20properties</t>
  </si>
  <si>
    <t>Abu Dhabi's Disney theme park 'good news for home owners and landlords', experts say</t>
  </si>
  <si>
    <t>https://www.thenationalnews.com/news/uae/2025/05/09/disneyland-abu-dhabi-theme-park-yas-island-property-prices/</t>
  </si>
  <si>
    <t>Dubai rents: Tenants show strong preference for professionally managed units</t>
  </si>
  <si>
    <t>https://www.khaleejtimes.com/business/dubai-rents-tenants-show-strong-preference-for-professionally-managed-units</t>
  </si>
  <si>
    <t>Disneyland Abu Dhabi: Rents to increase; hotel rates to rise by up to 25%</t>
  </si>
  <si>
    <t>https://www.khaleejtimes.com/uae/disneyland-abu-dhabi-higher-rents-property</t>
  </si>
  <si>
    <t>https://www.msn.com/en-ae/money/news/dubai-rents-tenants-show-strong-preference-for-professionally-managed-units/ar-AA1Ez3Pc?ocid=finance-verthp-feeds</t>
  </si>
  <si>
    <t>Dubai real estate: Property sales jump 23% in April, says Betterhomes report</t>
  </si>
  <si>
    <t>https://www.arabianbusiness.com/industries/real-estate/dubai-real-estate-property-sales-jump-23-in-april-says-betterhomes-report?utm_medium=email&amp;utm_medium=email&amp;utm_campaign=AED46bn%20in%20Dubai%20property%20sales%20BlackRock%20Lunates%2010bn%20reinsurance%20firm%20with%20IHC%20Massive%20Dubai%20road%20project%20complete%20072533%20AM&amp;utm_content=AED46bn%20in%20Dubai%20property%20sales%20BlackRock%20Lunates%2010bn%20reinsurance%20firm%20with%20IHC%20Massive%20Dubai%20road%20project%20complete%20072533%20AM+CID_e1d2b6ff5815f23f99312f4e47688f9c&amp;utm_source=Newsletters&amp;utm_term=Dubai%20property%20sales%20jump%2023%20in%20April</t>
  </si>
  <si>
    <t>Dubai Tenants Demand Professionally Managed Properties, Betterhomes Survey Finds</t>
  </si>
  <si>
    <t>https://menafn.com/1109535652/Dubai-Tenants-Demand-Professionally-Managed-Properties-Betterhomes-Survey-Finds</t>
  </si>
  <si>
    <t>Dubai’s property sales, rents surge in April on sustained demand</t>
  </si>
  <si>
    <t>https://www.msn.com/en-ae/money/news/dubai-s-property-sales-rents-surge-in-april-on-sustained-demand/ar-AA1EDnck?ocid=finance-verthp-feeds</t>
  </si>
  <si>
    <t>What sold in April? Dubai's hottest property picks revealed</t>
  </si>
  <si>
    <t>https://gulfnews.com/your-money/saving-investment/what-sold-in-april-dubais-hottest-property-picks-revealed-1.500124061</t>
  </si>
  <si>
    <t xml:space="preserve">Dubai’s property sales, rents surge in April on sustained demand </t>
  </si>
  <si>
    <t>https://www.khaleejtimes.com/business/dubais-property-sales-rents-surge-in-april-on-sustained-demand</t>
  </si>
  <si>
    <t>Construction Week Middle East</t>
  </si>
  <si>
    <t>Disneyland Abu Dhabi announced: What it means for the real estate market</t>
  </si>
  <si>
    <t>https://www.constructionweekonline.com/business/insights/disneyland-abu-dhabi-announced-what-it-means-for-the-real-estate-market</t>
  </si>
  <si>
    <t>Tycoon Story</t>
  </si>
  <si>
    <t>Top 10 Real Estate Brokers in Dubai for 2025</t>
  </si>
  <si>
    <t>https://www.tycoonstory.com/top-10-real-estate-brokers-in-dubai-for-2025/</t>
  </si>
  <si>
    <t>builtenvironmentme</t>
  </si>
  <si>
    <t>Dubai Sales Soar in April: Off-Plan Leads, But Ready Homes Make a Strong Comeback</t>
  </si>
  <si>
    <t>https://www.builtenvironmentme.com/dubai-sales-soar-in-april-off-plan-leads-but-ready-homes-make-a-strong-comeback</t>
  </si>
  <si>
    <t>Millionaire influx in 2025: Dubai to welcome wealth wave worth over Dh25 billion</t>
  </si>
  <si>
    <t>https://gulfnews.com/business/markets/millionaire-influx-in-2025-dubai-to-welcome-wealth-wave-worth-over-dh25-billion-1.500127150</t>
  </si>
  <si>
    <t>6,700 millionaires relocated to the UAE in 2024, reports reveals</t>
  </si>
  <si>
    <t>https://gulfbusiness.com/6700-millionaires-relocated-to-the-uae-in-2024/</t>
  </si>
  <si>
    <t>Dubai Poised For A Wealth Surge In 2025, New Betterhomes Report Reveals</t>
  </si>
  <si>
    <t>https://menafn.com/1109548456/Dubai-Poised-For-A-Wealth-Surge-In-2025-New-Betterhomes-Report-Reveals</t>
  </si>
  <si>
    <t>Why millionaires are migrating to Dubai and what it signals</t>
  </si>
  <si>
    <t>https://www.khaleejtimes.com/business/why-millionaires-are-migrating-to-dubai-and-what-it-signals</t>
  </si>
  <si>
    <t>Dubai emerges as premier destination for global millionaire migration: Report</t>
  </si>
  <si>
    <t>https://www.arabianbusiness.com/money/wealth/dubai-emerges-as-premier-destination-for-global-millionaire-migration-report?utm_medium=email&amp;utm_medium=email&amp;utm_campaign=Dubai%20premier%20destination%20for%20millionaire%20migration%20Qatar%20Airways%20to%20become%20regions%20largest%20787%20operator%20New%20Dubai%20real%20estate%20project%20105856%20AM&amp;utm_content=Dubai%20premier%20destination%20for%20millionaire%20migration%20Qatar%20Airways%20to%20become%20regions%20largest%20787%20operator%20New%20Dubai%20real%20estate%20project%20105856%20AM+CID_e4f0637047e1fc4ea9d700a505e4bf97&amp;utm_source=Newsletters&amp;utm_term=Dubai%20emerges%20as%20premier%20destination%20for%20global%20millionaire%20migration%20Report</t>
  </si>
  <si>
    <t>Uppersetup</t>
  </si>
  <si>
    <t>6 700 Millionaires Relocate to the UAE in 2024, New Report Reveals</t>
  </si>
  <si>
    <t>https://news.uppersetup.com/tag/betterhomes/</t>
  </si>
  <si>
    <t>Dubai marked as premier destination for global wealth migration</t>
  </si>
  <si>
    <t>https://www.brecorder.com/news/40362926/dubai-marked-as-premier-destination-for-global-wealth-migration</t>
  </si>
  <si>
    <t>Palm Jebel Ali drives remarkable beachfront property surge</t>
  </si>
  <si>
    <t>https://www.msn.com/en-ae/money/news/palm-jebel-ali-drives-remarkable-beachfront-property-surge/ar-AA1EPncn?ocid=finance-verthp-feeds</t>
  </si>
  <si>
    <t>Revealed: Why Dubai is the hottest global destination for the super-rich</t>
  </si>
  <si>
    <t>https://gulfbusiness.com/revealed-why-dubai-is-the-hottest-global-destination-for-the-super-rich/</t>
  </si>
  <si>
    <t>Opula : Positioned for strong ROI in Abu Dhabi’s fastest-rising district</t>
  </si>
  <si>
    <t>https://www.zawya.com/en/press-release/companies-news/opula-positioned-for-strong-roi-in-abu-dhabis-fastest-rising-district-il9ubg9x</t>
  </si>
  <si>
    <t>DHB, Betterhomes unveil premium residential project in Abu Dhabi</t>
  </si>
  <si>
    <t>https://www.zawya.com/en/business/real-estate/dhb-betterhomes-unveil-premium-residential-project-in-abu-dhabi-gmqtm77o</t>
  </si>
  <si>
    <t>REM TImes</t>
  </si>
  <si>
    <t>Disneyland Arrival to Fuel Real Estate Surge in Yas Island</t>
  </si>
  <si>
    <t>https://www.remtimes.com/blogs/real-estate-news/disneyland-arrival-to-fuel-real-estate-surge-in-yas-island.php</t>
  </si>
  <si>
    <t>Shifting Tides: What US Tariffs Mean for UAE Real Estate</t>
  </si>
  <si>
    <t>https://arqam.news/454839/</t>
  </si>
  <si>
    <t>Dubai property market shows resilience</t>
  </si>
  <si>
    <t>https://gulfnews.com/business/property/dubai-property-damac-scores-perfect-goal-with-chelsea-1.500144361</t>
  </si>
  <si>
    <t>Dubai property prices expected to fall by 15% on supply glut this year, Fitch says</t>
  </si>
  <si>
    <t>https://www.thenationalnews.com/business/2025/05/29/dubai-property-prices-expected-to-fall-by-15-on-supply-glut-this-year-fitch-says/</t>
  </si>
  <si>
    <t>What’s next for Dubai real estate? Property Finder gathers a who’s who of industry leaders to discuss what is shaping 2025</t>
  </si>
  <si>
    <t>https://www.zawya.com/en/press-release/events-and-conferences/whats-next-for-dubai-real-estate-property-finder-gathers-a-whos-who-of-industry-leaders-to-discuss-what-is-shaping-2025-brsjwilr</t>
  </si>
  <si>
    <t>Full coverage:  Dubai real estate: Trump tariffs drive 40% surge in US, Chinese investment interest</t>
  </si>
  <si>
    <t>https://www.arabianbusiness.com/industries/real-estate/dubai-real-estate-trump-tariffs-drive-40-surge-in-us-chinese-investment-interest</t>
  </si>
  <si>
    <t>technical review middles east</t>
  </si>
  <si>
    <t>Analysis: UAE largely shielded from US tariffs on steel and aluminium</t>
  </si>
  <si>
    <t>https://technicalreviewmiddleeast.com/manufacturing/analysis-uae-largely-shielded-from-us-tariffs-on-steel-and-aluminium</t>
  </si>
  <si>
    <t>Dubai: Will Rents Continue Increase This Year? Industry Insiders Explain</t>
  </si>
  <si>
    <t>https://menafn.com/1109614940/Dubai-Will-Rents-Continue-Increase-This-Year-Industry-Insiders-Explain</t>
  </si>
  <si>
    <t>With Chelsea Residences, Damac scores a ‘perfect goal’ in sales</t>
  </si>
  <si>
    <t>https://www.pressreader.com/uae/gulf-news/20250530/281754160251608</t>
  </si>
  <si>
    <t>Builtenvironmentme</t>
  </si>
  <si>
    <t>Dubai Real Estate Proves Resilient Amid Shifting US Tariff Policies and Trade Tensions</t>
  </si>
  <si>
    <t>https://www.builtenvironmentme.com/dubai-real-estate-proves-resilient-amid-shifting-us-tariff-policies-and-trade-tensions</t>
  </si>
  <si>
    <t>Which School Advisor</t>
  </si>
  <si>
    <t>Moving Your Family to Dubai: Why Finding a School Should Be Your First Step</t>
  </si>
  <si>
    <t>https://whichschooladvisor.com/uae/guides/moving-your-family-to-dubai-why-finding-a-school-should-be-your-first-step</t>
  </si>
  <si>
    <t>How $35bn Al Maktoum International Airport expansion is driving major Dubai South real estate investment boom as property prices tipped to grow 20%</t>
  </si>
  <si>
    <t>https://www.arabianbusiness.com/industries/real-estate/how-35bn-al-maktoum-international-airport-expansion-is-driving-major-dubai-south-real-estate-investment-boom-as-property-prices-tipped-to-grow-20?utm_medium=email&amp;utm_medium=email&amp;utm_campaign=AB%20Espresso%20How%20Al%20Maktoum%20International%20Airport%20expansion%20is%20driving%20property%20investments%20110006%20PM&amp;utm_content=AB%20Espresso%20How%20Al%20Maktoum%20International%20Airport%20expansion%20is%20driving%20property%20investments%20110006%20PM+CID_bf2cdbcd687d80cea4411b9ae0c3a9ac&amp;utm_source=Newsletters&amp;utm_term=Property%20transactions%20around%20Al%20Maktoum%20International%20Airport%20surpassed%20AED15bn%20in%20the%20first%20five%20months%20of%202025</t>
  </si>
  <si>
    <t>Dubai South real estate surges as Al Maktoum Airport expansion fuels demand</t>
  </si>
  <si>
    <t>https://gulfnews.com/business/property/dubai-south-real-estate-surges-as-al-maktoum-airport-expansion-fuels-demand-1.500158633</t>
  </si>
  <si>
    <t>Aviation Business ME</t>
  </si>
  <si>
    <t>Dubai South property rises as Al Maktoum expansion gains pace</t>
  </si>
  <si>
    <t>https://www.aviationbusinessme.com/airports/dubai-south-property-rises-as-al-maktoum-expansion-gains-pace</t>
  </si>
  <si>
    <t>Dubai real estate: Property sales jump 15% in May 2025 as market value hits $14.8bn</t>
  </si>
  <si>
    <t>https://www.arabianbusiness.com/industries/real-estate/dubai-real-estate-property-sales-jump-15-in-may-2025-as-market-value-hits-14-8bn</t>
  </si>
  <si>
    <t>Dubai real estate delivers AED 54.5bln in May sales with 15% growth across sales and leasing</t>
  </si>
  <si>
    <t>https://www.zawya.com/en/press-release/research-and-studies/dubai-real-estate-delivers-aed-545bln-in-may-sales-with-15-growth-across-sales-and-leasing-jsb2i90m</t>
  </si>
  <si>
    <t>One Arabia</t>
  </si>
  <si>
    <t>Al Maktoum International Airport Expansion Worth AED 128 Billion Fuels Dubai South's Real Estate Growth</t>
  </si>
  <si>
    <t>https://www.onearabia.me/business/aed-128-billion-al-maktoum-project-real-estate-dubai-south-011-112991.html</t>
  </si>
  <si>
    <t>Dubai Real Estate Delivers AED 54.5B in May Sales with 15% Growth Across Sales and Leasing</t>
  </si>
  <si>
    <t>https://onevillenews.com/2025/06/13/dubai-real-estate-delivers-aed-54-5b-in-may-sales-with-15-growth-across-sales-and-leasing/</t>
  </si>
  <si>
    <t>Dh128b Al Maktoum International Airport project fuels real estate boom in Dubai South</t>
  </si>
  <si>
    <t>https://www.khaleejtimes.com/business/dh128b-al-maktoum-international-airport-project-fuels-real-estate-boom-in-dubai-south</t>
  </si>
  <si>
    <t>Dubai South property prices to rise 15-20 percent amid $35 billion Al Maktoum Airport expansion</t>
  </si>
  <si>
    <t>https://www.google.com/url?rct=j&amp;sa=t&amp;url=https://economymiddleeast.com/news/dubai-south-property-prices-to-rise-15-20-percent-amid-35-billion-al-maktoum-airport-expansion/&amp;ct=ga&amp;cd=CAEYASoTODE1MTcyNDc3NTAzMjc4NzM1NjIaZjEwY2EzOWY3Y2Y0YjM2Yzpjb206ZW46VVM&amp;usg=AOvVaw2H0BPVjMwVwoGTadTD9wIg</t>
  </si>
  <si>
    <t>Nabd-alhadath</t>
  </si>
  <si>
    <t>Jumeirah Bay Leads Dubai’s Luxury Waterfront with 24% Price Growth YoY</t>
  </si>
  <si>
    <t>https://nabd-alhadath.com/archives/105500</t>
  </si>
  <si>
    <t>Business Lobbies</t>
  </si>
  <si>
    <t>HomeRealEstateInvestment
Dubai Real Estate Delivers AED 54.5B in May Sales with 15% Growth Across Sales and Leasing</t>
  </si>
  <si>
    <t>https://businesslobbies.com/realestate/investment/dubai-real-estate-delivers-aed-545b-in-may-sales-with-15-growth-across-sales-and-leasing</t>
  </si>
  <si>
    <t>Jumeirah Bay Island Leads Dubai’s Coastal Luxury Boom</t>
  </si>
  <si>
    <t>https://www.cbnme.com/analysis/jumeirah-bay-island-leads-dubais-coastal-luxury-boom/</t>
  </si>
  <si>
    <t>Mid East Info</t>
  </si>
  <si>
    <t>https://mid-east.info/jumeirah-bay-leads-dubais-luxury-waterfront-with-24-price-growth-yoy/</t>
  </si>
  <si>
    <r>
      <rPr>
        <rFont val="Arial"/>
        <color rgb="FF1155CC"/>
        <u/>
      </rPr>
      <t>Dubai real estate: Jumeirah Bay Island property prices jump 24%, says new repor</t>
    </r>
    <r>
      <rPr>
        <rFont val="Arial"/>
      </rPr>
      <t>t</t>
    </r>
  </si>
  <si>
    <r>
      <rPr>
        <rFont val="Arial"/>
        <color rgb="FF1155CC"/>
        <u/>
      </rPr>
      <t>Dubai real estate: Jumeirah Bay Island property prices jump 24%, says new repor</t>
    </r>
    <r>
      <rPr>
        <rFont val="Arial"/>
      </rPr>
      <t>t</t>
    </r>
  </si>
  <si>
    <t>AED 128B Al Maktoum Project Fuels Real Estate Boom In Dubai South</t>
  </si>
  <si>
    <t>https://menafn.com/1109678192/AED-128B-Al-Maktoum-Project-Fuels-Real-Estate-Boom-In-Dubai-South</t>
  </si>
  <si>
    <r>
      <rPr>
        <rFont val="Arial"/>
        <b/>
        <color rgb="FF1155CC"/>
        <u/>
      </rPr>
      <t>Dubai'</t>
    </r>
    <r>
      <rPr>
        <rFont val="Arial"/>
        <color rgb="FF1155CC"/>
        <u/>
      </rPr>
      <t>s</t>
    </r>
    <r>
      <rPr>
        <rFont val="Arial"/>
        <color rgb="FF1155CC"/>
        <u/>
      </rPr>
      <t xml:space="preserve"> Jumeira Bay leads the way in priciest waterfront homes - Gulf New</t>
    </r>
    <r>
      <rPr>
        <rFont val="Arial"/>
      </rPr>
      <t>s</t>
    </r>
  </si>
  <si>
    <r>
      <rPr>
        <rFont val="Arial"/>
        <b/>
        <color rgb="FF1155CC"/>
        <u/>
      </rPr>
      <t>Dubai'</t>
    </r>
    <r>
      <rPr>
        <rFont val="Arial"/>
        <color rgb="FF1155CC"/>
        <u/>
      </rPr>
      <t>s</t>
    </r>
    <r>
      <rPr>
        <rFont val="Arial"/>
        <color rgb="FF1155CC"/>
        <u/>
      </rPr>
      <t xml:space="preserve"> Jumeira Bay leads the way in priciest waterfront homes - Gulf New</t>
    </r>
    <r>
      <rPr>
        <rFont val="Arial"/>
      </rPr>
      <t>s</t>
    </r>
  </si>
  <si>
    <r>
      <rPr>
        <rFont val="Arial"/>
        <color rgb="FF1155CC"/>
        <u/>
      </rPr>
      <t>Jumeirah Bay Island leads surge i</t>
    </r>
    <r>
      <rPr>
        <rFont val="Arial"/>
      </rPr>
      <t>n Dubai luxury property values - Khaleej Times</t>
    </r>
  </si>
  <si>
    <r>
      <rPr>
        <rFont val="Arial"/>
        <color rgb="FF1155CC"/>
        <u/>
      </rPr>
      <t>Jumeirah Bay Island leads surge i</t>
    </r>
    <r>
      <rPr>
        <rFont val="Arial"/>
      </rPr>
      <t>n Dubai luxury property values - Khaleej Times</t>
    </r>
  </si>
  <si>
    <t>Jumeirah Bay Leads Dubai’s Luxury Waterfront with 24% YoY Price Growth</t>
  </si>
  <si>
    <t>https://businesslobbies.com/realestate/investment/jumeirah-bay-leads-dubais-luxury-waterfront-with-24-price-growth-yoy</t>
  </si>
  <si>
    <r>
      <rPr>
        <rFont val="Arial"/>
        <b/>
        <color rgb="FF1155CC"/>
        <u/>
      </rPr>
      <t>Duba</t>
    </r>
    <r>
      <rPr>
        <rFont val="Arial"/>
        <color rgb="FF1155CC"/>
        <u/>
      </rPr>
      <t>i</t>
    </r>
    <r>
      <rPr>
        <rFont val="Arial"/>
        <color rgb="FF1155CC"/>
        <u/>
      </rPr>
      <t xml:space="preserve"> homeowners prepared to 'play the long game' if property values fall | The Nationa</t>
    </r>
    <r>
      <rPr>
        <rFont val="Arial"/>
      </rPr>
      <t>l</t>
    </r>
  </si>
  <si>
    <r>
      <rPr>
        <rFont val="Arial"/>
        <b/>
        <color rgb="FF1155CC"/>
        <u/>
      </rPr>
      <t>Duba</t>
    </r>
    <r>
      <rPr>
        <rFont val="Arial"/>
        <color rgb="FF1155CC"/>
        <u/>
      </rPr>
      <t>i</t>
    </r>
    <r>
      <rPr>
        <rFont val="Arial"/>
        <color rgb="FF1155CC"/>
        <u/>
      </rPr>
      <t xml:space="preserve"> homeowners prepared to 'play the long game' if property values fall | The Nationa</t>
    </r>
    <r>
      <rPr>
        <rFont val="Arial"/>
      </rPr>
      <t>l</t>
    </r>
  </si>
  <si>
    <r>
      <rPr>
        <rFont val="Arial"/>
        <b/>
        <color rgb="FF1155CC"/>
        <u/>
      </rPr>
      <t>Duba</t>
    </r>
    <r>
      <rPr>
        <rFont val="Arial"/>
        <color rgb="FF1155CC"/>
        <u/>
      </rPr>
      <t>i</t>
    </r>
    <r>
      <rPr>
        <rFont val="Arial"/>
        <color rgb="FF1155CC"/>
        <u/>
      </rPr>
      <t xml:space="preserve"> Metro Blue Line causes rents to jump in 9 communities - Khaleej Time</t>
    </r>
    <r>
      <rPr>
        <rFont val="Arial"/>
      </rPr>
      <t>s</t>
    </r>
  </si>
  <si>
    <r>
      <rPr>
        <rFont val="Arial"/>
        <b/>
        <color rgb="FF1155CC"/>
        <u/>
      </rPr>
      <t>Duba</t>
    </r>
    <r>
      <rPr>
        <rFont val="Arial"/>
        <color rgb="FF1155CC"/>
        <u/>
      </rPr>
      <t>i</t>
    </r>
    <r>
      <rPr>
        <rFont val="Arial"/>
        <color rgb="FF1155CC"/>
        <u/>
      </rPr>
      <t xml:space="preserve"> Metro Blue Line causes rents to jump in 9 communities - Khaleej Time</t>
    </r>
    <r>
      <rPr>
        <rFont val="Arial"/>
      </rPr>
      <t>s</t>
    </r>
  </si>
  <si>
    <t>Developer expects $1bn Trump Tower in Dubai to sell out by end of summer</t>
  </si>
  <si>
    <t>https://www.msn.com/en-ae/money/news/developer-expects-1bn-trump-tower-in-dubai-to-sell-out-by-end-of-summer/ar-AA1GVdRW?ocid=finance-verthp-feeds</t>
  </si>
  <si>
    <t>https://www.thenationalnews.com/business/property/2025/06/18/developer-expects-1bn-trump-tower-in-dubai-to-sell-out-by-end-of-summer/</t>
  </si>
  <si>
    <t>The great wealth migration: How Dubai became the world’s top millionaire magnet</t>
  </si>
  <si>
    <t>https://www.arabianbusiness.com/politics-economics/the-great-wealth-migration-how-dubai-became-the-worlds-top-millionaire-magnet?utm_medium=email&amp;utm_medium=email&amp;utm_campaign=How%20Dubai%20became%20a%20millionaire%20magnet%20Dubai%20Airport%20extension%20LA%20Lakers%20to%20sell%20for%2010bn%20084828%20AM&amp;utm_content=How%20Dubai%20became%20a%20millionaire%20magnet%20Dubai%20Airport%20extension%20LA%20Lakers%20to%20sell%20for%2010bn%20084828%20AM+CID_7dd3729fa111a8ae7e7542513d5fcaad&amp;utm_source=Newsletters&amp;utm_term=The%20great%20wealth%20migration%20How%20Dubai%20became%20the%20worlds%20top%20millionaire%20magnet</t>
  </si>
  <si>
    <t>Marketers Media Room</t>
  </si>
  <si>
    <t>Dubai Set to Attract Billions in Global Wealth in 2025, According to New Betterhomes Report</t>
  </si>
  <si>
    <t>https://news.marketersmedia.com/dubai-set-to-attract-billions-in-global-wealth-in-2025-according-to-new-betterhomes-report/89162798</t>
  </si>
  <si>
    <t>https://www.streetinsider.com/Press+Releases/Dubai+Set+to+Attract+Billions+in+Global+Wealth+in+2025%2C+According+to+New+Betterhomes+Report/24973276.html</t>
  </si>
  <si>
    <t>Dubai real estate: Branded residences sales surge 43% to generate $16.3bn in 2024</t>
  </si>
  <si>
    <t>https://www.arabianbusiness.com/industries/real-estate/dubai-real-estate-branded-residences-sales-surge-43-to-generate-16-3bn-in-2024</t>
  </si>
  <si>
    <t>Dubai Dominates Global Luxury Real Estate Market With 140 Branded Residences By 2031</t>
  </si>
  <si>
    <t>https://www.onearabia.me/lifestyle/dubai-branded-residences-projects-delivery-2031-011-115085.html</t>
  </si>
  <si>
    <t>Dubai Tops Global Charts with 140 Branded Projects Set for Delivery by 2031</t>
  </si>
  <si>
    <t>https://arqam.news/464035/</t>
  </si>
  <si>
    <t>Dubai tops global charts with 140 branded projects set for delivery by 2031</t>
  </si>
  <si>
    <t>https://www.zawya.com/en/press-release/research-and-studies/dubai-tops-global-charts-with-140-branded-projects-set-for-delivery-by-2031-cp9x6vnn</t>
  </si>
  <si>
    <t>Dubai leads the world in branded residences with 160% growth</t>
  </si>
  <si>
    <t>https://www.khaleejtimes.com/business/dubai-leads-the-world-in-branded-residences-with-160-growth</t>
  </si>
  <si>
    <t>ANI News</t>
  </si>
  <si>
    <t>Dubai emerges as global centre of branded residences</t>
  </si>
  <si>
    <t>https://www.aninews.in/news/business/dubai-emerges-as-global-centre-of-branded-residences20250704125653/</t>
  </si>
  <si>
    <t>Luxury real estate boom: Dubai outshines London, Miami, Phuket</t>
  </si>
  <si>
    <t>https://gulfnews.com/business/property/luxury-real-estate-boom-dubai-outshines-london-miami-phuket-1.500186404</t>
  </si>
  <si>
    <t>Branded residences: Why Dubai dominates region’s market</t>
  </si>
  <si>
    <t>https://gulfbusiness.com/why-dubai-dominates-regions-market/</t>
  </si>
  <si>
    <t>https://www.msn.com/en-gb/money/other/luxury-real-estate-boom-dubai-outshines-london-miami-phuket/ar-AA1HUZVK</t>
  </si>
  <si>
    <t>First-time buyers get help in pricey Dubai housing market</t>
  </si>
  <si>
    <t>https://www.agbi.com/construction/2025/07/first-time-buyers-get-help-in-pricey-dubai-housing-market/</t>
  </si>
  <si>
    <t>Retail reinvented: AED 587mln in Q2 sales reflects Dubai’s appetite for immersive, tech-led experiences</t>
  </si>
  <si>
    <t>https://www.zawya.com/en/press-release/research-and-studies/retail-reinvented-aed-587mln-in-q2-sales-reflects-dubais-appetite-for-immersive-tech-led-experiences-qa235an3</t>
  </si>
  <si>
    <t>CRC</t>
  </si>
  <si>
    <t>Tech-driven, experiential shopping redefines Dubai retail</t>
  </si>
  <si>
    <t>https://www.khaleejtimes.com/business/tech-driven-experiential-shopping-redefines-dubai-retail</t>
  </si>
  <si>
    <t>Abu Dhabi real estate: New property laws explained</t>
  </si>
  <si>
    <t>https://www.arabianbusiness.com/industries/real-estate/abu-dhabi-real-estate-new-property-laws-explained</t>
  </si>
  <si>
    <t>Dubai real estate market hit $41.3bn in H1 2025 as prime sales surge 113 per cent</t>
  </si>
  <si>
    <t>https://www.arabianbusiness.com/industries/real-estate/dubai-real-estate-market-hit-41-3bn-in-h1-2025-as-prime-sales-surge-113-per-cent</t>
  </si>
  <si>
    <t>Dubai real estate: Property market sales surge 46% as market value hits $41.3bn in Q2 2025</t>
  </si>
  <si>
    <t>https://www.arabianbusiness.com/industries/real-estate/dubai-real-estate-property-market-sales-surge-46-as-market-value-hits-41-3bn-in-q2-2025</t>
  </si>
  <si>
    <t>Dubai Residential Property Market Remains a Global Magnet in the First Half of 2025 with Total Sales Reaching AED 151.8 Billion</t>
  </si>
  <si>
    <t>https://onevillenews.com/2025/07/18/dubai-residential-property-market-remains-a-global-magnet-in-the-first-half-of-2025-with-total-sales-reaching-aed-151-8-billion/</t>
  </si>
  <si>
    <t>Dubai property: UK buyers start to overtake Indians as overseas investors, says Betterhomes</t>
  </si>
  <si>
    <t>https://gulfnews.com/business/property/dubai-property-uk-buyers-start-to-overtake-indians-as-overseas-investors-says-betterhomes-1.500204486</t>
  </si>
  <si>
    <t>Average Dubai property prices rise 3% quarter on quarter</t>
  </si>
  <si>
    <t>https://www.khaleejtimes.com/business/property/average-dubai-property-prices-rise-3-quarter-on-quarter</t>
  </si>
  <si>
    <t>Dubai residential property market sales exceed $41 billion in H1 2025</t>
  </si>
  <si>
    <t>https://www.constructionweekonline.com/business/insights/dubai-property-market-h1-2025</t>
  </si>
  <si>
    <t>Socials</t>
  </si>
  <si>
    <t>Construction Week Middle East - Dubai residential property market sales exceed $41 billion in H1 2025</t>
  </si>
  <si>
    <t>https://x.com/CWMiddleEast/status/1947215514813558943</t>
  </si>
  <si>
    <t>Dubai property deals hit Dh431b in first half, a 25% jump on 2024</t>
  </si>
  <si>
    <t>https://www.pressreader.com/uae/gulf-news/20250721/281487872385511</t>
  </si>
  <si>
    <t>Advance Financial Network UK</t>
  </si>
  <si>
    <t>Betterhomes Reports Dubai Residential Property Market Remains a Global Magnet in H1 2025 with Sales Surging</t>
  </si>
  <si>
    <t>https://uk.advfn.com/stock-market/share-news/Betterhomes-Reports-Dubai-Residential-Property-Mar/96479505#google_vignette</t>
  </si>
  <si>
    <t>https://finance.yahoo.com/news/betterhomes-reports-dubai-residential-property-072100351.html?guccounter=1&amp;guce_referrer=aHR0cHM6Ly93d3cuZ29vZ2xlLmNvbS8&amp;guce_referrer_sig=AQAAAK9ItZrecG5iJiJwnXylExjxK0YMewpPAFuiI7U-C0RgaEOVwdpFnPXekdt5pgHKtCGPTgXwQcrSbfNOV074KfUQ9J-CpkPhHqobtt8s9GOJUOlWHYuxDh3aeNr5PDKjjjFKvl1df2LDFRdYeFdlAVLrKtA1titfIBL1bYoje8oP</t>
  </si>
  <si>
    <t>Property News International</t>
  </si>
  <si>
    <t>Dubai Property Sales Surge 46% to $41.3B in Q2 2025</t>
  </si>
  <si>
    <t>https://www.propertynewsint.com/news/dubai-property-sales-surge-46-to-41-3-b-in-q2-2025</t>
  </si>
  <si>
    <t>Dubai real estate: Property market soars 46% in Q2 2025, says Betterhomes report</t>
  </si>
  <si>
    <t>https://www.arabianbusiness.com/industries/real-estate/dubai-real-estate-property-market-soars-46-in-q2-2025-says-betterhomes-report</t>
  </si>
  <si>
    <t>Demand for ultra-luxury homes continues to surge in Dubai</t>
  </si>
  <si>
    <t>https://www.khaleejtimes.com/business/property/demand-for-ultra-luxury-homes-continues-to-surge-in-dubai?_refresh=true</t>
  </si>
  <si>
    <t>Dubai’s most wanted property features: Revealed by today’s buyers</t>
  </si>
  <si>
    <t>https://gulfbusiness.com/dubais-most-wanted-property-features-revealed-by-todays-buyers/</t>
  </si>
  <si>
    <t>Are Sharjah’s rent hikes easing? New Rental Index starts to cool renewal rates</t>
  </si>
  <si>
    <t>https://gulfnews.com/business/property/are-sharjahs-rent-increases-starting-to-slow-down-after-18-25-hikes-1.500211814</t>
  </si>
  <si>
    <t>Dubai’s Prime Property Market Hits Historic Highs with 1,417 Ultra‑Luxury Sales in Q2 2025, Up 113% YoY</t>
  </si>
  <si>
    <t>https://onevillenews.com/2025/07/25/dubais-prime-property-market-hits-historic-highs-with-1417-ultra%e2%80%91luxury-sales-in-q2-2025-up-113-yoy/</t>
  </si>
  <si>
    <t>latest market insights from PRIME by Betterhomes, revealing a record-breaking quarter for Dubai’s ultra-luxury residential market</t>
  </si>
  <si>
    <t>https://arqam.news/471057/</t>
  </si>
  <si>
    <t>Office sales soar 93% as Dubai’s commercial property market reaches AED 31bln</t>
  </si>
  <si>
    <t>https://www.zawya.com/en/press-release/research-and-studies/office-sales-soar-93-as-dubais-commercial-property-market-reaches-aed-31bln-sxbvdw9p</t>
  </si>
  <si>
    <t>Dubai real estate: Commercial property sales surge 50% to $8.4bn in Q2 2025</t>
  </si>
  <si>
    <t>https://www.arabianbusiness.com/industries/real-estate/dubai-real-estate-commercial-property-sales-surge-50-to-8-4bn-in-q2-2025</t>
  </si>
  <si>
    <t>Dubai real estate: Office sales soar 93 percent as commercial property market hits $8.44 billion</t>
  </si>
  <si>
    <t>https://economymiddleeast.com/news/dubai-real-estate-office-sales-soar-93-percent-commercial-property-market-hits-8-44-billion/</t>
  </si>
  <si>
    <t>Office Sales Soar 93% as Dubai’s Commercial Property Market Reaches AED 31 Billion</t>
  </si>
  <si>
    <t>https://onevillenews.com/2025/07/28/office-sales-soar-93-as-dubais-commercial-property-market-reaches-aed-31-billion/</t>
  </si>
  <si>
    <t>https://www.msn.com/en-ae/money/news/demand-for-ultra-luxury-homes-continues-to-surge-in-dubai/ar-AA1JnDyN?ocid=finance-verthp-feeds</t>
  </si>
  <si>
    <t>uaenews247</t>
  </si>
  <si>
    <t>Off-Plan Apartment Sales Surge 43% in Q2 2025 to AED 60.15 Billion, Signalling Global Confidence in City’s Growth Trajectory</t>
  </si>
  <si>
    <t>https://uaenews247.com/2025/07/29/off-plan-apartment-sales-surge-43-in-q2-2025-to-aed-60-15-billion-signalling-global-confidence-in-citys-growth-trajectory/</t>
  </si>
  <si>
    <t>Dubai off-plan apartment sales surge 43% in Q2 2025: Report</t>
  </si>
  <si>
    <t>https://www.arabianbusiness.com/industries/real-estate/dubai-off-plan-apartment-sales-surge-43-in-q2-2025-report</t>
  </si>
  <si>
    <t>Dubai real estate: Off-plan market surges 43 percent in Q2 2025 with $16.4 billion sales</t>
  </si>
  <si>
    <t>https://economymiddleeast.com/news/dubai-real-estate-off-plan-market-surges-43-percent-in-q2-2025-with-16-4-billion-sales/</t>
  </si>
  <si>
    <t>Off-plan apartment transactions in Dubai surged 43% in second quarter</t>
  </si>
  <si>
    <t>https://www.khaleejtimes.com/business/property/off-plan-apartment-transactions-in-dubai-surged-43-in-second-quarter</t>
  </si>
  <si>
    <t>Dubai’s ultra-luxury home sales record 1,417 transactions in Q2</t>
  </si>
  <si>
    <t>https://www.constructionweekonline.com/business/insights/dubai-ultra-luxury-home-sales</t>
  </si>
  <si>
    <t>Dubai real estate transactions surge to $13.52 billion in July as off-plan market dominates</t>
  </si>
  <si>
    <t>https://economymiddleeast.com/news/dubai-real-estate-transactions-surge-to-13-52-billion-in-july-as-off-plan-market-dominates/</t>
  </si>
  <si>
    <t>What's On</t>
  </si>
  <si>
    <t>With the UAE’s Etihad Rail network preparing for launch, communities near key stations are seeing a spike in buyer interest and price growth</t>
  </si>
  <si>
    <t>https://whatson.ae/2025/08/etihad-rail-and-real-estate-what-it-means-for-property-prices/</t>
  </si>
  <si>
    <t>UAE rents, property prices rise by up to 25% along Etihad Rail route</t>
  </si>
  <si>
    <t>https://www.khaleejtimes.com/business/property/rents-property-prices-rise-etihad-rail-route</t>
  </si>
  <si>
    <t>Dubai property sales hit $14bn in July as off-plan demand and rents surge, top developers revealed</t>
  </si>
  <si>
    <t>https://www.arabianbusiness.com/industries/real-estate/dubai-property-sales-hit-14bn-in-july-as-off-plan-demand-and-rents-surge-top-developers-revealed?utm_medium=email&amp;utm_medium=email&amp;utm_campaign=AB%20Espresso%20Dubai%20property%20sales%20hit%2014bn%20in%20July%20110013%20PM&amp;utm_content=AB%20Espresso%20Dubai%20property%20sales%20hit%2014bn%20in%20July%20110013%20PM+CID_488d1ee8c66466e3011f1033af3d186b&amp;utm_source=Newsletters&amp;utm_term=Dubais%20residential%20market%20saw%20higher%20sales%20and%20leasing%20activity%20in%20July</t>
  </si>
  <si>
    <t>Buy or rent in 2025? New Dubai real estate trends residents can use now</t>
  </si>
  <si>
    <t>https://gulfnews.com/business/property/buy-or-rent-in-2025-new-dubai-real-estate-trends-residents-can-use-now-1.500229592</t>
  </si>
  <si>
    <r>
      <rPr>
        <rFont val="Roboto, sans-serif"/>
        <b/>
        <color rgb="FF1155CC"/>
        <u/>
      </rPr>
      <t>Dubai</t>
    </r>
    <r>
      <rPr>
        <rFont val="Roboto, sans-serif"/>
        <color rgb="FF1155CC"/>
        <u/>
      </rPr>
      <t xml:space="preserve"> </t>
    </r>
    <r>
      <rPr>
        <rFont val="Roboto, sans-serif"/>
        <color rgb="FF1155CC"/>
        <u/>
      </rPr>
      <t>Residential Property Market Powers Ahead: July Sales Up 20%, Rentals Hold Strong</t>
    </r>
  </si>
  <si>
    <t>https://arqam.news/476538/</t>
  </si>
  <si>
    <t>https://www.msn.com/en-nz/money/homeandproperty/buy-or-rent-in-2025-new-dubai-real-estate-trends-residents-can-use-now/ar-AA1KjiNM?ocid=finance-verthp-feeds</t>
  </si>
  <si>
    <r>
      <rPr>
        <rFont val="Arial"/>
        <b/>
        <color rgb="FF1155CC"/>
        <u/>
      </rPr>
      <t>Duba</t>
    </r>
    <r>
      <rPr>
        <rFont val="Arial"/>
        <color rgb="FF1155CC"/>
        <u/>
      </rPr>
      <t>i</t>
    </r>
    <r>
      <rPr>
        <rFont val="Arial"/>
        <color rgb="FF1155CC"/>
        <u/>
      </rPr>
      <t xml:space="preserve"> Smart Rental Index bears fruit as landlords recalibrate pricing strategie</t>
    </r>
    <r>
      <rPr>
        <rFont val="Arial"/>
      </rPr>
      <t>s</t>
    </r>
  </si>
  <si>
    <t>https://www.arabianbusiness.com/industries/real-estate/dubai-smart-rental-index-bears-fruit-as-landlords-recalibrate-pricing-strategies</t>
  </si>
  <si>
    <r>
      <rPr>
        <rFont val="Roboto, sans-serif"/>
        <color rgb="FF1155CC"/>
        <sz val="12.0"/>
        <u/>
      </rPr>
      <t>Residential Sales Surge 20% in July; Rentals Remain Strong</t>
    </r>
  </si>
  <si>
    <t>https://businesslobbies.com/realestate/residential/residential-sales-surge-20-in-july-rentals-remain-strong</t>
  </si>
  <si>
    <t>Dubai Residential Property Market Powers Ahead: July Sales Up 20%, Rentals Hold Strong</t>
  </si>
  <si>
    <t>https://www.builtenvironmentme.com/dubai-residential-property-market-powers-ahead-july-sales-up-20-rentals-hold-strong</t>
  </si>
  <si>
    <r>
      <rPr>
        <color rgb="FF1155CC"/>
        <u/>
      </rPr>
      <t>Moving Your Family To</t>
    </r>
    <r>
      <rPr/>
      <t xml:space="preserve"> Dubai? 9 Best Areas For Top Schools - Menafn</t>
    </r>
  </si>
  <si>
    <t>https://menafn.com/1109921822/Moving-Your-Family-To-Dubai-9-Best-Areas-For-Top-Schools</t>
  </si>
  <si>
    <t>Moving Your Family To Dubai? 9 Best Areas For Top Schools</t>
  </si>
  <si>
    <t>https://www.khaleejtimes.com/uae/schools-and-parents/dubai9best-areasfortopschools</t>
  </si>
  <si>
    <r>
      <rPr>
        <rFont val="Arial"/>
        <color rgb="FF1155CC"/>
        <u/>
      </rPr>
      <t>Why it's easier now fo</t>
    </r>
    <r>
      <rPr>
        <rFont val="Arial"/>
      </rPr>
      <t>r Dubai tenants to become homeowners - MSN</t>
    </r>
  </si>
  <si>
    <r>
      <rPr>
        <rFont val="Arial"/>
        <color rgb="FF1155CC"/>
        <u/>
      </rPr>
      <t>Why it's easier now fo</t>
    </r>
    <r>
      <rPr>
        <rFont val="Arial"/>
      </rPr>
      <t>r Dubai tenants to become homeowners - MSN</t>
    </r>
  </si>
  <si>
    <t>Why it’s easier now for Dubai tenants to become homeowners</t>
  </si>
  <si>
    <t>https://www.thenationalnews.com/business/money/2025/08/13/property-dubai-home-buy-rent/#:~:text=There%20are%20no%20property%20taxes,has%20further%20enhanced%20Dubai's%20appeal.</t>
  </si>
  <si>
    <t>Betterhomes Reports Dubai's Prime Property Market Hits Historic Highs with 1,417 Ultra ...</t>
  </si>
  <si>
    <r>
      <rPr>
        <b/>
        <color rgb="FF1155CC"/>
        <u/>
      </rPr>
      <t>Betterhomes</t>
    </r>
    <r>
      <rPr>
        <color rgb="FF1155CC"/>
        <u/>
      </rPr>
      <t xml:space="preserve"> </t>
    </r>
    <r>
      <rPr>
        <color rgb="FF1155CC"/>
        <u/>
      </rPr>
      <t>Reports</t>
    </r>
    <r>
      <rPr/>
      <t xml:space="preserve"> Dubai's Prime Property Market Hits Historic Highs with 1,417 Ultra ...</t>
    </r>
  </si>
  <si>
    <t>Etihad Rail, Dubai Metro Blue Line will soon make these properties hot-selling</t>
  </si>
  <si>
    <t>https://gulfnews.com/business/property/etihad-rail-metro-blue-line-boost-where-property-prices-will-rise-in-dubai-1.500231814</t>
  </si>
  <si>
    <t>Dubai rental market cooling but not crashing, experts say</t>
  </si>
  <si>
    <t>https://www.agbi.com/analysis/real-estate/2025/08/dubai-rental-market-cooling-but-not-crashing-experts-say/</t>
  </si>
  <si>
    <r>
      <rPr>
        <rFont val="Roboto, sans-serif"/>
        <color rgb="FF1155CC"/>
        <u/>
      </rPr>
      <t>Strong demand fuels rentals, sales in</t>
    </r>
    <r>
      <rPr>
        <rFont val="Roboto, sans-serif"/>
        <color rgb="FF333333"/>
      </rPr>
      <t xml:space="preserve"> Dubai - PressReader</t>
    </r>
  </si>
  <si>
    <t>https://www.pressreader.com/uae/gulf-news/20250813/281736980534764</t>
  </si>
  <si>
    <t>Betterhomes Reports Dubai’s Prime Property Market Hits Historic Highs with 1,417 Ultra‑Luxury Sales in Q2 2025</t>
  </si>
  <si>
    <t>https://www.digitaljournal.com/pr/news/vehement-media/betterhomes-reports-dubai-s-prime-property-1841881304.html</t>
  </si>
  <si>
    <r>
      <rPr>
        <color rgb="FF1155CC"/>
        <u/>
      </rPr>
      <t>UAE: Shopping for new home? Pick up your VR goggles for virtual tours | Khaleej Times</t>
    </r>
  </si>
  <si>
    <t>https://www.khaleejtimes.com/business/property/buying-home-trends-uae</t>
  </si>
  <si>
    <r>
      <rPr>
        <rFont val="Arial"/>
        <b/>
        <color rgb="FF1155CC"/>
        <u/>
      </rPr>
      <t>Duba</t>
    </r>
    <r>
      <rPr>
        <rFont val="Arial"/>
        <color rgb="FF1155CC"/>
        <u/>
      </rPr>
      <t>i</t>
    </r>
    <r>
      <rPr>
        <rFont val="Arial"/>
        <color rgb="FF1155CC"/>
        <u/>
      </rPr>
      <t xml:space="preserve"> residential property prices average Dh1,893 per square foot in July | Khaleej Time</t>
    </r>
    <r>
      <rPr>
        <rFont val="Arial"/>
      </rPr>
      <t>s</t>
    </r>
  </si>
  <si>
    <t>https://www.khaleejtimes.com/business/property/dubai-residential-property-prices-average-dh1893-per-square-foot-in-july</t>
  </si>
  <si>
    <r>
      <rPr>
        <color rgb="FF1155CC"/>
        <u/>
      </rPr>
      <t>Why buying property in Dubai in 2025 is easier than ever - What's On - WhatsOn.ae</t>
    </r>
  </si>
  <si>
    <r>
      <rPr>
        <color rgb="FF1155CC"/>
        <u/>
      </rPr>
      <t>Why buying property in Dubai in 2025 is easier than ever - What's On - WhatsOn.ae</t>
    </r>
  </si>
  <si>
    <r>
      <rPr>
        <rFont val="Arial"/>
        <color rgb="FF1155CC"/>
        <u/>
      </rPr>
      <t>Wil</t>
    </r>
    <r>
      <rPr>
        <rFont val="Arial"/>
      </rPr>
      <t>l Dubai get $7.1b boost from more millionaires calling city their home? - Gulf News</t>
    </r>
  </si>
  <si>
    <r>
      <rPr>
        <rFont val="Arial"/>
        <color rgb="FF1155CC"/>
        <u/>
      </rPr>
      <t>Wil</t>
    </r>
    <r>
      <rPr>
        <rFont val="Arial"/>
      </rPr>
      <t>l Dubai get $7.1b boost from more millionaires calling city their home? - Gulf News</t>
    </r>
  </si>
  <si>
    <r>
      <rPr>
        <rFont val="Arial"/>
        <b/>
        <color rgb="FF1155CC"/>
        <u/>
      </rPr>
      <t>Duba</t>
    </r>
    <r>
      <rPr>
        <rFont val="Arial"/>
        <color rgb="FF1155CC"/>
        <u/>
      </rPr>
      <t>i</t>
    </r>
    <r>
      <rPr>
        <rFont val="Arial"/>
        <color rgb="FF1155CC"/>
        <u/>
      </rPr>
      <t xml:space="preserve"> set to welcome one millionaire every hour this year | Khaleej Time</t>
    </r>
    <r>
      <rPr>
        <rFont val="Arial"/>
      </rPr>
      <t>s</t>
    </r>
  </si>
  <si>
    <r>
      <rPr>
        <rFont val="Arial"/>
        <b/>
        <color rgb="FF1155CC"/>
        <u/>
      </rPr>
      <t>Duba</t>
    </r>
    <r>
      <rPr>
        <rFont val="Arial"/>
        <color rgb="FF1155CC"/>
        <u/>
      </rPr>
      <t>i</t>
    </r>
    <r>
      <rPr>
        <rFont val="Arial"/>
        <color rgb="FF1155CC"/>
        <u/>
      </rPr>
      <t xml:space="preserve"> set to welcome one millionaire every hour this year | Khaleej Time</t>
    </r>
    <r>
      <rPr>
        <rFont val="Arial"/>
      </rPr>
      <t>s</t>
    </r>
  </si>
  <si>
    <r>
      <rPr>
        <rFont val="Arial"/>
        <b/>
        <color rgb="FF1155CC"/>
        <u/>
      </rPr>
      <t>Duba</t>
    </r>
    <r>
      <rPr>
        <rFont val="Arial"/>
        <color rgb="FF1155CC"/>
        <u/>
      </rPr>
      <t>i</t>
    </r>
    <r>
      <rPr>
        <rFont val="Arial"/>
        <color rgb="FF1155CC"/>
        <u/>
      </rPr>
      <t xml:space="preserve"> set to welcome 10,000 millionaires; luxury home buys seen - TradeArabi</t>
    </r>
    <r>
      <rPr>
        <rFont val="Arial"/>
      </rPr>
      <t>a</t>
    </r>
  </si>
  <si>
    <r>
      <rPr>
        <rFont val="Arial"/>
        <b/>
        <color rgb="FF1155CC"/>
        <u/>
      </rPr>
      <t>Duba</t>
    </r>
    <r>
      <rPr>
        <rFont val="Arial"/>
        <color rgb="FF1155CC"/>
        <u/>
      </rPr>
      <t>i</t>
    </r>
    <r>
      <rPr>
        <rFont val="Arial"/>
        <color rgb="FF1155CC"/>
        <u/>
      </rPr>
      <t xml:space="preserve"> set to welcome 10,000 millionaires; luxury home buys seen - TradeArabi</t>
    </r>
    <r>
      <rPr>
        <rFont val="Arial"/>
      </rPr>
      <t>a</t>
    </r>
  </si>
  <si>
    <r>
      <rPr>
        <rFont val="Roboto, sans-serif"/>
        <b/>
        <color rgb="FF1155CC"/>
        <u/>
      </rPr>
      <t>Dubai</t>
    </r>
    <r>
      <rPr>
        <rFont val="Roboto, sans-serif"/>
        <color rgb="FF1155CC"/>
        <u/>
      </rPr>
      <t xml:space="preserve"> </t>
    </r>
    <r>
      <rPr>
        <rFont val="Roboto, sans-serif"/>
        <color rgb="FF1155CC"/>
        <u/>
      </rPr>
      <t>real estate: Demand for luxury properties grows as millionaire migration accelerates</t>
    </r>
  </si>
  <si>
    <r>
      <rPr>
        <rFont val="Roboto, sans-serif"/>
        <b/>
        <color rgb="FF1155CC"/>
        <u/>
      </rPr>
      <t>Dubai</t>
    </r>
    <r>
      <rPr>
        <rFont val="Roboto, sans-serif"/>
        <color rgb="FF1155CC"/>
        <u/>
      </rPr>
      <t xml:space="preserve"> </t>
    </r>
    <r>
      <rPr>
        <rFont val="Roboto, sans-serif"/>
        <color rgb="FF1155CC"/>
        <u/>
      </rPr>
      <t>real estate: Demand for luxury properties grows as millionaire migration accelerates</t>
    </r>
  </si>
  <si>
    <r>
      <rPr>
        <rFont val="Roboto, sans-serif"/>
        <b/>
        <color rgb="FF1155CC"/>
        <u/>
      </rPr>
      <t>Dubai</t>
    </r>
    <r>
      <rPr>
        <rFont val="Roboto, sans-serif"/>
        <color rgb="FF1155CC"/>
        <u/>
      </rPr>
      <t xml:space="preserve"> </t>
    </r>
    <r>
      <rPr>
        <rFont val="Roboto, sans-serif"/>
        <color rgb="FF1155CC"/>
        <u/>
      </rPr>
      <t>Becomes Permanent Hub For Global Wealth - Menafn</t>
    </r>
  </si>
  <si>
    <r>
      <rPr>
        <rFont val="Roboto, sans-serif"/>
        <b/>
        <color rgb="FF1155CC"/>
        <u/>
      </rPr>
      <t>Dubai</t>
    </r>
    <r>
      <rPr>
        <rFont val="Roboto, sans-serif"/>
        <color rgb="FF1155CC"/>
        <u/>
      </rPr>
      <t xml:space="preserve"> </t>
    </r>
    <r>
      <rPr>
        <rFont val="Roboto, sans-serif"/>
        <color rgb="FF1155CC"/>
        <u/>
      </rPr>
      <t>Becomes Permanent Hub For Global Wealth - Menafn</t>
    </r>
  </si>
  <si>
    <r>
      <rPr>
        <rFont val="Roboto, sans-serif"/>
        <b/>
        <color rgb="FF1155CC"/>
        <u/>
      </rPr>
      <t>Dubai</t>
    </r>
    <r>
      <rPr>
        <rFont val="Roboto, sans-serif"/>
        <color rgb="FF1155CC"/>
        <u/>
      </rPr>
      <t xml:space="preserve"> </t>
    </r>
    <r>
      <rPr>
        <rFont val="Roboto, sans-serif"/>
        <color rgb="FF1155CC"/>
        <u/>
      </rPr>
      <t>sees boom in branded residences as buyers embrace lifestyle-driven luxury</t>
    </r>
  </si>
  <si>
    <r>
      <rPr>
        <rFont val="Roboto, sans-serif"/>
        <b/>
        <color rgb="FF1155CC"/>
        <u/>
      </rPr>
      <t>Dubai</t>
    </r>
    <r>
      <rPr>
        <rFont val="Roboto, sans-serif"/>
        <color rgb="FF1155CC"/>
        <u/>
      </rPr>
      <t xml:space="preserve"> </t>
    </r>
    <r>
      <rPr>
        <rFont val="Roboto, sans-serif"/>
        <color rgb="FF1155CC"/>
        <u/>
      </rPr>
      <t>sees boom in branded residences as buyers embrace lifestyle-driven luxury</t>
    </r>
  </si>
  <si>
    <t>Dubai to welcome 1 millionaire hourly in 2025, nearly 10,000 expected</t>
  </si>
  <si>
    <t>https://thebrewnews.com/thebrew-news/dubai-millionaire-every-hour-2025/</t>
  </si>
  <si>
    <r>
      <rPr>
        <rFont val="Arial"/>
        <b/>
        <color rgb="FF1155CC"/>
        <u/>
      </rPr>
      <t>Duba</t>
    </r>
    <r>
      <rPr>
        <rFont val="Arial"/>
        <color rgb="FF1155CC"/>
        <u/>
      </rPr>
      <t>i</t>
    </r>
    <r>
      <rPr>
        <rFont val="Arial"/>
        <color rgb="FF1155CC"/>
        <u/>
      </rPr>
      <t xml:space="preserve"> reaps relocation rewards as wealthy Brits pick emirate - Arabian Gulf Business Insigh</t>
    </r>
    <r>
      <rPr>
        <rFont val="Arial"/>
      </rPr>
      <t>t</t>
    </r>
  </si>
  <si>
    <r>
      <rPr>
        <rFont val="Arial"/>
        <b/>
        <color rgb="FF1155CC"/>
        <u/>
      </rPr>
      <t>Duba</t>
    </r>
    <r>
      <rPr>
        <rFont val="Arial"/>
        <color rgb="FF1155CC"/>
        <u/>
      </rPr>
      <t>i</t>
    </r>
    <r>
      <rPr>
        <rFont val="Arial"/>
        <color rgb="FF1155CC"/>
        <u/>
      </rPr>
      <t xml:space="preserve"> reaps relocation rewards as wealthy Brits pick emirate - Arabian Gulf Business Insigh</t>
    </r>
    <r>
      <rPr>
        <rFont val="Arial"/>
      </rPr>
      <t>t</t>
    </r>
  </si>
  <si>
    <r>
      <rPr>
        <rFont val="Arial"/>
        <b/>
        <color rgb="FF1155CC"/>
        <u/>
      </rPr>
      <t>Dubai'</t>
    </r>
    <r>
      <rPr>
        <rFont val="Arial"/>
        <color rgb="FF1155CC"/>
        <u/>
      </rPr>
      <t>s</t>
    </r>
    <r>
      <rPr>
        <rFont val="Arial"/>
        <color rgb="FF1155CC"/>
        <u/>
      </rPr>
      <t xml:space="preserve"> millionaire migration: Why 7,100 more will call it home in 2025 - Gulf Busines</t>
    </r>
    <r>
      <rPr>
        <rFont val="Arial"/>
      </rPr>
      <t>s</t>
    </r>
  </si>
  <si>
    <r>
      <rPr>
        <rFont val="Arial"/>
        <b/>
        <color rgb="FF1155CC"/>
        <u/>
      </rPr>
      <t>Dubai'</t>
    </r>
    <r>
      <rPr>
        <rFont val="Arial"/>
        <color rgb="FF1155CC"/>
        <u/>
      </rPr>
      <t>s</t>
    </r>
    <r>
      <rPr>
        <rFont val="Arial"/>
        <color rgb="FF1155CC"/>
        <u/>
      </rPr>
      <t xml:space="preserve"> millionaire migration: Why 7,100 more will call it home in 2025 - Gulf Busines</t>
    </r>
    <r>
      <rPr>
        <rFont val="Arial"/>
      </rPr>
      <t>s</t>
    </r>
  </si>
  <si>
    <t>Campaign Middle East</t>
  </si>
  <si>
    <t>Dubai branded residences to triple by 2031, outpacing global rivals</t>
  </si>
  <si>
    <t>https://campaignme.com/dubai-branded-residences-to-nearly-triple-by-2031-outpacing-global-rivals/</t>
  </si>
  <si>
    <t>Dubai's branded residences to nearly triple by 2031, outpacing global rivals</t>
  </si>
  <si>
    <t>https://www.zawya.com/en/press-release/research-and-studies/dubais-branded-residences-to-nearly-triple-by-2031-outpacing-global-rivals-lv6ewbg6</t>
  </si>
  <si>
    <t>Dubai's Branded Residences Expected To Nearly Triple By 2031, Surpassing Global Competitors</t>
  </si>
  <si>
    <t>https://www.onearabia.me/lifestyle/dubais-branded-residences-nearly-triple-by-2031-011-120193.html</t>
  </si>
  <si>
    <r>
      <rPr>
        <rFont val="Roboto, sans-serif"/>
        <b/>
        <color rgb="FF1155CC"/>
        <u/>
      </rPr>
      <t>Dubai</t>
    </r>
    <r>
      <rPr>
        <rFont val="Roboto, sans-serif"/>
        <color rgb="FF1155CC"/>
        <u/>
      </rPr>
      <t xml:space="preserve"> </t>
    </r>
    <r>
      <rPr>
        <rFont val="Roboto, sans-serif"/>
        <color rgb="FF1155CC"/>
        <u/>
      </rPr>
      <t>to deliver 140 branded residence projects by 2031, leading global market</t>
    </r>
  </si>
  <si>
    <r>
      <rPr>
        <rFont val="Roboto, sans-serif"/>
        <b/>
        <color rgb="FF1155CC"/>
        <u/>
      </rPr>
      <t>Dubai</t>
    </r>
    <r>
      <rPr>
        <rFont val="Roboto, sans-serif"/>
        <color rgb="FF1155CC"/>
        <u/>
      </rPr>
      <t xml:space="preserve"> </t>
    </r>
    <r>
      <rPr>
        <rFont val="Roboto, sans-serif"/>
        <color rgb="FF1155CC"/>
        <u/>
      </rPr>
      <t>to deliver 140 branded residence projects by 2031, leading global market</t>
    </r>
  </si>
  <si>
    <r>
      <rPr>
        <rFont val="Roboto, sans-serif"/>
        <b/>
        <color rgb="FF1155CC"/>
        <u/>
      </rPr>
      <t>Dubai</t>
    </r>
    <r>
      <rPr>
        <rFont val="Roboto, sans-serif"/>
        <color rgb="FF1155CC"/>
        <u/>
      </rPr>
      <t xml:space="preserve"> </t>
    </r>
    <r>
      <rPr>
        <rFont val="Roboto, sans-serif"/>
        <color rgb="FF1155CC"/>
        <u/>
      </rPr>
      <t>leads global surge in branded residences with over 140 projects by 2031</t>
    </r>
  </si>
  <si>
    <r>
      <rPr>
        <rFont val="Roboto, sans-serif"/>
        <b/>
        <color rgb="FF1155CC"/>
        <u/>
      </rPr>
      <t>Dubai</t>
    </r>
    <r>
      <rPr>
        <rFont val="Roboto, sans-serif"/>
        <color rgb="FF1155CC"/>
        <u/>
      </rPr>
      <t xml:space="preserve"> </t>
    </r>
    <r>
      <rPr>
        <rFont val="Roboto, sans-serif"/>
        <color rgb="FF1155CC"/>
        <u/>
      </rPr>
      <t>leads global surge in branded residences with over 140 projects by 2031</t>
    </r>
  </si>
  <si>
    <r>
      <rPr>
        <rFont val="Roboto, sans-serif"/>
        <color rgb="FF1155CC"/>
        <u/>
      </rPr>
      <t>Branded homes in</t>
    </r>
    <r>
      <rPr>
        <rFont val="Roboto, sans-serif"/>
        <color rgb="FF333333"/>
      </rPr>
      <t xml:space="preserve"> Dubai: Why they're growing and what buyers should know - Gulf News</t>
    </r>
  </si>
  <si>
    <r>
      <rPr>
        <rFont val="Roboto, sans-serif"/>
        <color rgb="FF1155CC"/>
        <u/>
      </rPr>
      <t>Branded homes in</t>
    </r>
    <r>
      <rPr>
        <rFont val="Roboto, sans-serif"/>
        <color rgb="FF333333"/>
      </rPr>
      <t xml:space="preserve"> Dubai: Why they're growing and what buyers should know - Gulf News</t>
    </r>
  </si>
  <si>
    <r>
      <rPr>
        <rFont val="Arial"/>
        <color rgb="FF1155CC"/>
        <u/>
      </rPr>
      <t>Dubai's Branded Residences to Nearly Triple by 2031, Outpacing Global Rival</t>
    </r>
    <r>
      <rPr>
        <rFont val="Arial"/>
      </rPr>
      <t>s</t>
    </r>
  </si>
  <si>
    <r>
      <rPr>
        <rFont val="Arial"/>
        <color rgb="FF1155CC"/>
        <u/>
      </rPr>
      <t>Dubai's Branded Residences to Nearly Triple by 2031, Outpacing Global Rival</t>
    </r>
    <r>
      <rPr>
        <rFont val="Arial"/>
      </rPr>
      <t>s</t>
    </r>
  </si>
  <si>
    <t>Dubai Branded Residences Boom with Over 140 New Projects by 2031</t>
  </si>
  <si>
    <t>https://businesslobbies.com/realestate/residential/dubai-branded-residences-boom-with-over-140-new-projects-by-2031</t>
  </si>
  <si>
    <t>Dubai real estate: 140 branded residences coming to Dubai by 2031</t>
  </si>
  <si>
    <t>https://whatson.ae/2025/08/dubai-real-estate-140-branded-residences-coming-to-dubai-by-2031/</t>
  </si>
  <si>
    <t>Dubai sets global standard for branded residences with 140 projects by 2031, says new report</t>
  </si>
  <si>
    <t>https://www.arabianbusiness.com/industries/real-estate/dubai-real-estate-emirate-sets-global-standard-for-branded-residences-with-140-projects-by-2031-says-new-report?utm_medium=email&amp;utm_medium=email&amp;utm_campaign=Dubai%20branded%20residences%20to%20grow%20by%20140%20projects%20UAE-Vietnam%20trade%20up%2017%20Abu%20Dhabi%20issues%205000%20licences%20to%20Emirati%20women%20085642%20AM&amp;utm_content=Dubai%20branded%20residences%20to%20grow%20by%20140%20projects%20UAE-Vietnam%20trade%20up%2017%20Abu%20Dhabi%20issues%205000%20licences%20to%20Emirati%20women%20085642%20AM+CID_dbf5ce16608de0bb4caa1662df3c31d5&amp;utm_source=Newsletters&amp;utm_term=Dubai%20sets%20global%20standard%20for%20branded%20residences%20with%20140%20projects%20by%202031%20says%20new%20report</t>
  </si>
  <si>
    <r>
      <rPr>
        <rFont val="Arial"/>
        <color rgb="FF1155CC"/>
        <u/>
      </rPr>
      <t>Dubai's branded residences outperform the global market - Construction Week Onlin</t>
    </r>
    <r>
      <rPr>
        <rFont val="Arial"/>
      </rPr>
      <t>e</t>
    </r>
  </si>
  <si>
    <r>
      <rPr>
        <rFont val="Arial"/>
        <color rgb="FF1155CC"/>
        <u/>
      </rPr>
      <t>Dubai's branded residences outperform the global market - Construction Week Onlin</t>
    </r>
    <r>
      <rPr>
        <rFont val="Arial"/>
      </rPr>
      <t>e</t>
    </r>
  </si>
  <si>
    <t>https://www.arabianbusiness.com/industries/real-estate/dubai-real-estate-emirate-sets-global-standard-for-branded-residences-with-140-projects-by-2031-says-new-report</t>
  </si>
  <si>
    <t>wam.ae</t>
  </si>
  <si>
    <t>UAE real estate sector maintains strong momentum in 2025 with major projects, growing investments</t>
  </si>
  <si>
    <t>https://www.wam.ae/en/article/blhmzqw-uae-real-estate-sector-maintains-strong-momentum</t>
  </si>
  <si>
    <r>
      <rPr>
        <rFont val="Roboto, sans-serif"/>
        <color rgb="FF1155CC"/>
        <u/>
      </rPr>
      <t>UAE Real Estate Sector Shows Strong Momentum In 2025 With Major Projects - OneArabia</t>
    </r>
  </si>
  <si>
    <t>google.com/url?rct=j&amp;sa=t&amp;url=https://www.onearabia.me/local/uae-real-estate-sector-strong-momentum-2025-011-120869.html&amp;ct=ga&amp;cd=CAAYATIaZjEwY2EzOWY3Y2Y0YjM2Yzpjb206ZW46VVM&amp;usg=AOvVaw0o6fRtL7qWjqiY0l97gnbD</t>
  </si>
  <si>
    <r>
      <rPr>
        <rFont val="Roboto, sans-serif"/>
        <color rgb="FF1155CC"/>
        <u/>
      </rPr>
      <t>$13.9 billion in</t>
    </r>
    <r>
      <rPr>
        <rFont val="Roboto, sans-serif"/>
        <color rgb="FF333333"/>
      </rPr>
      <t xml:space="preserve"> Dubai property sales signals strong real estate momentum in August 2025</t>
    </r>
  </si>
  <si>
    <r>
      <rPr>
        <rFont val="Roboto, sans-serif"/>
        <color rgb="FF1155CC"/>
        <u/>
      </rPr>
      <t>$13.9 billion in</t>
    </r>
    <r>
      <rPr>
        <rFont val="Roboto, sans-serif"/>
        <color rgb="FF333333"/>
      </rPr>
      <t xml:space="preserve"> Dubai property sales signals strong real estate momentum in August 2025</t>
    </r>
  </si>
  <si>
    <r>
      <rPr>
        <rFont val="Roboto, sans-serif"/>
        <color rgb="FF1155CC"/>
        <u/>
      </rPr>
      <t>UAE real estate is the world's new hotspot: Here's why - Gulf Business</t>
    </r>
  </si>
  <si>
    <r>
      <rPr>
        <rFont val="Roboto, sans-serif"/>
        <color rgb="FF1155CC"/>
        <u/>
      </rPr>
      <t>UAE real estate is the world's new hotspot: Here's why - Gulf Business</t>
    </r>
  </si>
  <si>
    <r>
      <rPr>
        <rFont val="Roboto, sans-serif"/>
        <b/>
        <color rgb="FF1155CC"/>
        <u/>
      </rPr>
      <t>Dubai's</t>
    </r>
    <r>
      <rPr>
        <rFont val="Roboto, sans-serif"/>
        <color rgb="FF1155CC"/>
        <u/>
      </rPr>
      <t xml:space="preserve"> </t>
    </r>
    <r>
      <rPr>
        <rFont val="Roboto, sans-serif"/>
        <color rgb="FF1155CC"/>
        <u/>
      </rPr>
      <t>Zayed Housing Program issues 2,971 approvals in 2025, totaling over $544.6 ..</t>
    </r>
  </si>
  <si>
    <r>
      <rPr>
        <rFont val="Roboto, sans-serif"/>
        <b/>
        <color rgb="FF1155CC"/>
        <u/>
      </rPr>
      <t>Dubai's</t>
    </r>
    <r>
      <rPr>
        <rFont val="Roboto, sans-serif"/>
        <color rgb="FF1155CC"/>
        <u/>
      </rPr>
      <t xml:space="preserve"> </t>
    </r>
    <r>
      <rPr>
        <rFont val="Roboto, sans-serif"/>
        <color rgb="FF1155CC"/>
        <u/>
      </rPr>
      <t>Zayed Housing Program issues 2,971 approvals in 2025, totaling over $544.6 ..</t>
    </r>
  </si>
  <si>
    <t>Thomson Reuters</t>
  </si>
  <si>
    <r>
      <rPr>
        <rFont val="Roboto, sans-serif"/>
        <b/>
        <color rgb="FF1155CC"/>
        <u/>
      </rPr>
      <t>Dubai</t>
    </r>
    <r>
      <rPr>
        <rFont val="Roboto, sans-serif"/>
        <color rgb="FF1155CC"/>
        <u/>
      </rPr>
      <t xml:space="preserve"> </t>
    </r>
    <r>
      <rPr>
        <rFont val="Roboto, sans-serif"/>
        <color rgb="FF1155CC"/>
        <u/>
      </rPr>
      <t>looks to capitalise on weak dirham to lure British home buyers | Reuters</t>
    </r>
  </si>
  <si>
    <r>
      <rPr>
        <rFont val="Roboto, sans-serif"/>
        <b/>
        <color rgb="FF1155CC"/>
        <u/>
      </rPr>
      <t>Dubai</t>
    </r>
    <r>
      <rPr>
        <rFont val="Roboto, sans-serif"/>
        <color rgb="FF1155CC"/>
        <u/>
      </rPr>
      <t xml:space="preserve"> </t>
    </r>
    <r>
      <rPr>
        <rFont val="Roboto, sans-serif"/>
        <color rgb="FF1155CC"/>
        <u/>
      </rPr>
      <t>looks to capitalise on weak dirham to lure British home buyers | Reuters</t>
    </r>
  </si>
  <si>
    <r>
      <rPr>
        <rFont val="Arial"/>
        <color rgb="FF1155CC"/>
        <u/>
      </rPr>
      <t>Emirati developers eye British investors as weaker dirham boosts property affordabilit</t>
    </r>
    <r>
      <rPr>
        <rFont val="Arial"/>
      </rPr>
      <t>y</t>
    </r>
  </si>
  <si>
    <t>https://propnewstime.com/getdetailsStories/MjEwMDY=/emirati-developers-eye-british-investors-as-weaker-dirham-boosts-property-affordability</t>
  </si>
  <si>
    <t>Dubai real estate: Property market records 10% annual growth despite August dip</t>
  </si>
  <si>
    <t>https://www.arabianbusiness.com/industries/real-estate/dubai-real-estate-property-market-records-10-annual-growth-despite-august-dip</t>
  </si>
  <si>
    <t>Pressbee</t>
  </si>
  <si>
    <t>https://www.youtube.com/watch?v=Z-q_zSmFhPI</t>
  </si>
  <si>
    <t>PR Newswire</t>
  </si>
  <si>
    <r>
      <rPr>
        <rFont val="Arial"/>
        <color rgb="FF1155CC"/>
        <u/>
      </rPr>
      <t>Betterhomes: Dubai to Welcome Nearly 10000 Millionaires in 2025 - PR Newswir</t>
    </r>
    <r>
      <rPr>
        <rFont val="Arial"/>
      </rPr>
      <t>e</t>
    </r>
  </si>
  <si>
    <r>
      <rPr>
        <rFont val="Arial"/>
        <color rgb="FF1155CC"/>
        <u/>
      </rPr>
      <t>Betterhomes: Dubai to Welcome Nearly 10000 Millionaires in 2025 - PR Newswir</t>
    </r>
    <r>
      <rPr>
        <rFont val="Arial"/>
      </rPr>
      <t>e</t>
    </r>
  </si>
  <si>
    <t>Dubai property market stays strong in August as sales and rents hold firm</t>
  </si>
  <si>
    <t>https://www.khaleejtimes.com/business/property/dubai-property-market-stays-strong-august-2025</t>
  </si>
  <si>
    <t>Dubai’s residential property 'fundamentals steady despite seasonal dip'</t>
  </si>
  <si>
    <t>https://www.zawya.com/en/business/real-estate/dubais-residential-property-fundamentals-steady-despite-seasonal-dip-pt2faq5f</t>
  </si>
  <si>
    <t>Yahoo! Finance</t>
  </si>
  <si>
    <t>Betterhomes: Dubai to Welcome Nearly 10,000 Millionaires in 2025; That's More Than One New Millionaire Every Hour!</t>
  </si>
  <si>
    <t>https://finance.yahoo.com/news/betterhomes-dubai-welcome-nearly-10-083400291.html</t>
  </si>
  <si>
    <t>Dubai’s branded residences command 40 percent price premium as appeal to migrating millionaires drives demand</t>
  </si>
  <si>
    <t>https://economymiddleeast.com/news/dubais-branded-residences-command-40-percent-price-premium-as-appeal-to-migrating-millionaires-drives-demand/</t>
  </si>
  <si>
    <t>Dubai: Will soaring rents, property prices affect residents' cost of living?</t>
  </si>
  <si>
    <t>https://www.khaleejtimes.com/business/property/dubai-soaring-rents-property-prices-residents-cost-of-living</t>
  </si>
  <si>
    <t>Capacity of road leading to Dubai Silicon Oasis raised by 100%, says RTA</t>
  </si>
  <si>
    <t>https://www.khaleejtimes.com/uae/dubai-silicon-oasis-road-capacity-raised</t>
  </si>
  <si>
    <t>Rent smart in Dubai: Top areas that are actually worth your money</t>
  </si>
  <si>
    <t>https://gulfbusiness.com/dubai-rentals-that-are-worth-heres-where-to-look/</t>
  </si>
  <si>
    <t>Dubai Islands emerging as Dubai’s next waterfront investment hub</t>
  </si>
  <si>
    <t>https://www.khaleejtimes.com/business/property/dubai-islands-emerging-as-dubais-next-waterfront-investment-hub</t>
  </si>
  <si>
    <t>Dubai Islands records AED 6.1bln in sales in H1 2025</t>
  </si>
  <si>
    <t>https://www.zawya.com/en/press-release/companies-news/dubai-islands-records-aed-61bln-in-sales-in-h1-2025-pt9045cz</t>
  </si>
  <si>
    <t>Dubai Islands records $1.7bn in sales in H1 2025, emerging as city’s next waterfront investment hub</t>
  </si>
  <si>
    <t>https://www.constructionweekonline.com/analysis/dubai-islands-records-1-7bn-in-sales-in-h1-2025</t>
  </si>
  <si>
    <t>Dubai Islands turn next big waterfront investment</t>
  </si>
  <si>
    <t>https://gulfnews.com/business/property/dubai-islands-turn-next-big-waterfront-investment-1.500299548</t>
  </si>
  <si>
    <t>Dubai Islands hits $1.6bn in H1 sales as investors flock to new waterfront hub</t>
  </si>
  <si>
    <t>https://www.arabianbusiness.com/industries/real-estate/dubai-islands-hits-1-6bn-in-h1-sales-as-investors-flock-to-new-waterfront-hub</t>
  </si>
  <si>
    <t>RISmedia</t>
  </si>
  <si>
    <t>LeadingRE’s Annual Global Symposium Hosts Real Estate Professionals From 31 Countries</t>
  </si>
  <si>
    <t>https://www.rismedia.com/2025/10/15/leadingre-hosts-annual-global-symposium-uniting-real-estate-professionals-from-31-countries/</t>
  </si>
  <si>
    <t>MBN</t>
  </si>
  <si>
    <t>Dubai’s Bubble Fears</t>
  </si>
  <si>
    <t>https://alhurra.com/en/5657</t>
  </si>
  <si>
    <t>Dubai property market hits $37.7bn as apartment sales soar and villa deals cool</t>
  </si>
  <si>
    <t>https://www.arabianbusiness.com/industries/real-estate/dubai-property-market-hits-37-7bn</t>
  </si>
  <si>
    <t>Dubai real estate holds firm in Q3 2025, driven by strong apartment sales and record prices</t>
  </si>
  <si>
    <t>https://www.zawya.com/en/press-release/research-and-studies/dubai-real-estate-holds-firm-in-q3-2025-driven-by-strong-apartment-sales-and-record-prices-qdi9dc2d</t>
  </si>
  <si>
    <t xml:space="preserve">Dubai’s property market enters a phase of selective growth </t>
  </si>
  <si>
    <t>https://www.khaleejtimes.com/business/property/dubais-property-market-enters-a-phase-of-selective-growth</t>
  </si>
  <si>
    <t>Dubai real estate: Apartment sales soar to record $25.32 billion in Q3 2025 as prices nearly double from 2020</t>
  </si>
  <si>
    <t>https://www.google.com/url?rct=j&amp;sa=t&amp;url=https://economymiddleeast.com/news/dubai-real-estate-apartment-sales-soar-to-record-25-32-billion-in-q3-2025-as-prices-nearly-double-from-2020/&amp;ct=ga&amp;cd=CAEYASoTNDMyNjk0NDk2OTM4NjY1NDk2MzIaZjEwY2EzOWY3Y2Y0YjM2Yzpjb206ZW46VVM&amp;usg=AOvVaw10iq4owLODQRLqGm_JzziD</t>
  </si>
  <si>
    <t>Wral.com</t>
  </si>
  <si>
    <t>Dubai Real Estate Holds Firm In Q3 2025, Driven By Strong Apartment Sales And Record Prices</t>
  </si>
  <si>
    <t>http://google.com/url?rct=j&amp;sa=t&amp;url=https://markets.financialcontent.com/wral/article/marketersmedia-2025-10-22-dubai-real-estate-holds-firm-in-q3-2025-driven-by-strong-apartment-sales-and-record-prices&amp;ct=ga&amp;cd=CAEYACoTNDMyNjk0NDk2OTM4NjY1NDk2MzIaZjEwY2EzOWY3Y2Y0YjM2Yzpjb206ZW46VVM&amp;usg=AOvVaw0aIHO7N8Eq3X2l08_yfKXR</t>
  </si>
  <si>
    <t>Times of india</t>
  </si>
  <si>
    <t xml:space="preserve">	
Explained: Why Dubai's real estate prices are surging; what it means for investors, renters ...</t>
  </si>
  <si>
    <t>https://timesofindia.indiatimes.com/world/middle-east/explained-why-dubais-real-estate-prices-are-surging-what-it-means-for-investors-renters-and-the-citys-future/articleshow/124801105.cms</t>
  </si>
  <si>
    <t>Dubai rent spikes to ease as new tenants get more options — buyers eye flats in UAE</t>
  </si>
  <si>
    <t>https://gulfnews.com/business/property/dubai-rents-stable-as-new-tenants-get-more-options-buyers-eye-flats-in-uae-1.500319021</t>
  </si>
  <si>
    <t>The Manila Times</t>
  </si>
  <si>
    <t>https://www.manilatimes.net/2025/10/22/tmt-newswire/plentisoft/dubai-real-estate-holds-firm-in-q3-2025-driven-by-strong-apartment-sales-and-record-prices/2206588</t>
  </si>
  <si>
    <t>Betterhomes and Panchshil Realty have announced an exclusive partnership, marking Panchshil’s landmark debut in Dubai</t>
  </si>
  <si>
    <t>https://www.zawya.com/en/press-release/companies-news/betterhomes-and-panchshil-realty-have-announced-an-exclusive-partnership-marking-panchshils-landmark-debut-in-dubai-bawsxgrn</t>
  </si>
  <si>
    <r>
      <rPr>
        <b/>
        <color rgb="FF1155CC"/>
        <u/>
      </rPr>
      <t>Dubai's</t>
    </r>
    <r>
      <rPr>
        <color rgb="FF1155CC"/>
        <u/>
      </rPr>
      <t xml:space="preserve"> </t>
    </r>
    <r>
      <rPr>
        <color rgb="FF1155CC"/>
        <u/>
      </rPr>
      <t>off-plan market hits record highs; apartment sales up 35% - Arabian Business</t>
    </r>
  </si>
  <si>
    <r>
      <rPr>
        <b/>
        <color rgb="FF1155CC"/>
        <u/>
      </rPr>
      <t>Dubai's</t>
    </r>
    <r>
      <rPr>
        <color rgb="FF1155CC"/>
        <u/>
      </rPr>
      <t xml:space="preserve"> </t>
    </r>
    <r>
      <rPr>
        <color rgb="FF1155CC"/>
        <u/>
      </rPr>
      <t>off-plan market hits record highs; apartment sales up 35% - Arabian Business</t>
    </r>
  </si>
  <si>
    <t>Business Insider</t>
  </si>
  <si>
    <t>https://markets.businessinsider.com/news/stocks/dubai-real-estate-holds-firm-in-q3-2025-driven-by-strong-apartment-sales-and-record-prices-1035412706</t>
  </si>
  <si>
    <t>Built Environment</t>
  </si>
  <si>
    <t>Dubai’s Off-Plan Market Hits Record Highs as Apartment Sales Surge 35% in Q3 2025</t>
  </si>
  <si>
    <t>https://www.builtenvironmentme.com/dubai-s-off-plan-market-hits-record-highs-as-apartment-sales-surge-35-in-q3-2025</t>
  </si>
  <si>
    <t>barchart</t>
  </si>
  <si>
    <t>https://www.barchart.com/story/news/35610078/dubai-real-estate-holds-firm-in-q3-2025-driven-by-strong-apartment-sales-and-record-prices#:~:text=Immersed%20isn't%20just%20an,the%20period%20of%20October%202025.</t>
  </si>
  <si>
    <t>betterhomes honoured as the premier partner for international real estate investment</t>
  </si>
  <si>
    <t>https://arqam.news/503066/</t>
  </si>
  <si>
    <t>https://nabd-alhadath.com/</t>
  </si>
  <si>
    <t>Dubai’s Commercial Property Market Surges to AED 30.38 Billion</t>
  </si>
  <si>
    <t>https://nabd-alhadath.com/archives/122413</t>
  </si>
  <si>
    <t>egyeconomy</t>
  </si>
  <si>
    <t>Dubai’s Commercial Property Market Surges to AED 30.38 Billion in Q3 2025, Marking a 31% Increase</t>
  </si>
  <si>
    <t>https://egyeconomy.com/en/28/10/2025/67432/</t>
  </si>
  <si>
    <t>Dubai’s commercial property market surges to AED 30.38bln in Q3 2025, marking a 31% increase</t>
  </si>
  <si>
    <t>https://www.zawya.com/en/press-release/research-and-studies/dubais-commercial-property-market-surges-to-aed-3038bln-in-q3-2025-marking-a-31-increase-j8lchl9c</t>
  </si>
  <si>
    <t>Dubai’s commercial property boom accelerates as office demand hits new highs</t>
  </si>
  <si>
    <t>https://www.khaleejtimes.com/business/property/dubais-commercial-property-boom-accelerates-as-office-demand-hits-new-highs</t>
  </si>
  <si>
    <t>Dubai’s commercial property market surges to $8.27 billion amid strong office market demand</t>
  </si>
  <si>
    <t>https://economymiddleeast.com/news/dubai-commercial-property-market-surges-8-27-billion-amid-strong-office-market-demand/</t>
  </si>
  <si>
    <t>Dubai’s luxury real estate market enters a stable, mature cycle</t>
  </si>
  <si>
    <t>https://www.zawya.com/en/press-release/companies-news/dubais-luxury-real-estate-market-enters-a-stable-mature-cycle-p5hciymz</t>
  </si>
  <si>
    <t>Dubai's luxury real estate market transitions to healthy stabilization following record-setting ...</t>
  </si>
  <si>
    <t>https://economymiddleeast.com/news/dubai-luxury-real-estate-market-transitions-to-healthy-stabilization/</t>
  </si>
  <si>
    <t>Dubai real estate: $4.1m luxury homes drive 737 sales in Q3 as wealthy eye Palm Jumeirah and Dubai Hills</t>
  </si>
  <si>
    <t>https://www.arabianbusiness.com/industries/real-estate/dubai-real-estate-4-1m-luxury-homes-drive-737-sales-in-q3-as-wealthy-eye-palm-jumeirah-and-dubai-hills</t>
  </si>
  <si>
    <t>Dubai's Luxury Real Estate Market Transitions To A Stable And Mature Growth Phase</t>
  </si>
  <si>
    <t>https://www.onearabia.me/lifestyle/dubais-luxury-real-estate-market-enters-stable-mature-cycle-011-129371.html</t>
  </si>
  <si>
    <t>Dubai-Real.Estate introduces a smarter way to explore homes and investments across the UAE</t>
  </si>
  <si>
    <t>https://www.openpr.com/news/4258092/dubai-real-estate-introduces-a-smarter-way-to-explore-homes</t>
  </si>
  <si>
    <r>
      <rPr>
        <rFont val="Roboto, sans-serif"/>
        <b/>
        <color rgb="FF1155CC"/>
        <u/>
      </rPr>
      <t>Dubai's</t>
    </r>
    <r>
      <rPr>
        <rFont val="Roboto, sans-serif"/>
        <color rgb="FF1155CC"/>
        <u/>
      </rPr>
      <t xml:space="preserve"> </t>
    </r>
    <r>
      <rPr>
        <rFont val="Roboto, sans-serif"/>
        <color rgb="FF1155CC"/>
        <u/>
      </rPr>
      <t>Top 50 Homes returns for its third year</t>
    </r>
  </si>
  <si>
    <r>
      <rPr>
        <rFont val="Roboto, sans-serif"/>
        <b/>
        <color rgb="FF1155CC"/>
        <u/>
      </rPr>
      <t>Dubai's</t>
    </r>
    <r>
      <rPr>
        <rFont val="Roboto, sans-serif"/>
        <color rgb="FF1155CC"/>
        <u/>
      </rPr>
      <t xml:space="preserve"> </t>
    </r>
    <r>
      <rPr>
        <rFont val="Roboto, sans-serif"/>
        <color rgb="FF1155CC"/>
        <u/>
      </rPr>
      <t>Top 50 Homes returns for its third year</t>
    </r>
  </si>
  <si>
    <t>Dubai’s Top 50 Homes competition returns</t>
  </si>
  <si>
    <t>https://www.tradearabia.com/News/330251/Dubai%E2%80%99s-Top-50-Homes-competition-returns/CONS</t>
  </si>
  <si>
    <t>https://markets.financialcontent.com/wral/article/getnews-2025-11-6-dubai-realestate-introduces-a-smarter-way-to-explore-homes-and-investments-across-the-uae</t>
  </si>
  <si>
    <t>Dubai’s Top 50 Homes Returns For Its Third Year</t>
  </si>
  <si>
    <t>https://arabianmarketer.ae/dubais-top-50-homes-returns-for-its-third-year/</t>
  </si>
  <si>
    <t>Dubai property market holds steady, sales value climbs 4.2% in October</t>
  </si>
  <si>
    <t>google.com/url?rct=j&amp;sa=t&amp;url=https://www.tradearabia.com/News/330452/Dubai-property-market-holds-steady%252C-sales-value-climbs-4.2-Percent-in-October/CONS&amp;ct=ga&amp;cd=CAAYADIaZjEwY2EzOWY3Y2Y0YjM2Yzpjb206ZW46VVM&amp;usg=AOvVaw2tlcvoGrcpSt8ye0zPlYNi</t>
  </si>
  <si>
    <t>Dubai real estate stable as sales hit $12.65bn and leasing demand holds firm</t>
  </si>
  <si>
    <t>google.com/url?rct=j&amp;sa=t&amp;url=https://www.arabianbusiness.com/industries/real-estate/dubai-real-estate-stable-as-sales-hit-12-65bn-and-leasing-demand-holds-firm&amp;ct=ga&amp;cd=CAAYADIaZjEwY2EzOWY3Y2Y0YjM2Yzpjb206ZW46VVM&amp;usg=AOvVaw3K3WEcmq9p0_e2O5u8MNhk</t>
  </si>
  <si>
    <t>Dubai Property Market Holds Steady As Sales Value Climbs 4.2% Mom And Leasing Demand Remains Resilient In October</t>
  </si>
  <si>
    <t>google.com/url?rct=j&amp;sa=t&amp;url=https://menafn.com/1110352196/Dubai-Property-Market-Holds-Steady-As-Sales-Value-Climbs-42-Mom-And-Leasing-Demand-Remains-Resilient-In-October&amp;ct=ga&amp;cd=CAEYACoTMjg2MTg1NjYxNzczNjUwNzYxMTIaZjEwY2EzOWY3Y2Y0YjM2Yzpjb206ZW46VVM&amp;usg=AOvVaw0jbkXu5FFlupxG0w0ShtUS</t>
  </si>
  <si>
    <t>Trade View</t>
  </si>
  <si>
    <t>SNG: Dubai property market holds steady, sales value climbs 4.2% in October</t>
  </si>
  <si>
    <t>https://www.tradingview.com/news/reuters.com,2025-11-14:newsml_Zaw81dTpy:0-sng-dubai-property-market-holds-steady-sales-value-climbs-4-2-in-october/</t>
  </si>
  <si>
    <t>https://www.zawya.com/en/business/real-estate/dubai-property-market-holds-steady-sales-value-climbs-42-in-october-he85fv1o</t>
  </si>
  <si>
    <t>From renters to buyers: Dubai rent hike pushes tenants to buy homes</t>
  </si>
  <si>
    <t>https://www.khaleejtimes.com/business/property/dubai-rent-hike-pushes-tenants-buy-homes</t>
  </si>
  <si>
    <t>Dubai rental pressures push tenants toward ownership as 55% plan to buy</t>
  </si>
  <si>
    <t>https://www.arabianbusiness.com/industries/real-estate/dubai-rental-pressures-push-tenants-toward-ownership-as-55-plan-to-buy</t>
  </si>
  <si>
    <t>Dubai’s tenant mindset flips, betterhomes reports 55% now plan purchases within 1–3 years</t>
  </si>
  <si>
    <t>https://www.zawya.com/en/press-release/research-and-studies/dubais-tenant-mindset-flips-betterhomes-reports-55-now-plan-purchases-within-13-years-hjhyh3gp</t>
  </si>
  <si>
    <t>https://www.msn.com/en-ae/money/news/from-renters-to-buyers-dubai-rent-hike-pushes-tenants-to-buy-homes/ar-AA1R7UK8?ocid=finance-verthp-feeds</t>
  </si>
  <si>
    <t>Dubai tenants shift to homeownership amid rising rents and long-term residency, with 55 percent planning purchases</t>
  </si>
  <si>
    <t>https://economymiddleeast.com/news/dubai-tenants-shift-to-homeownership-amid-rising-rents-and-long-term-residency-with-55-percent-planning-purchases/</t>
  </si>
  <si>
    <t>More than 55% of tenants now plan to buy property within the next 1–3 years</t>
  </si>
  <si>
    <t>https://www.constructionweekonline.com/business/insights/tenants-property-ownership</t>
  </si>
  <si>
    <t>Dubai property delivers stronger returns than global markets, new report shows</t>
  </si>
  <si>
    <t>https://www.arabianbusiness.com/industries/real-estate/dubai-property-delivers-stronger-returns-than-global-markets-new-report-shows</t>
  </si>
  <si>
    <t>44% of property investors say their Dubai investments outperform their overseas portfolios, according to betterhomes’ Future Living Report 2025</t>
  </si>
  <si>
    <t>https://www.zawya.com/en/press-release/research-and-studies/44-of-property-investors-say-their-dubai-investments-outperform-their-overseas-portfolios-according-to-betterhomes-future-living-report-2025-ua3a5qoo</t>
  </si>
  <si>
    <t>Dubai rent growth slows as supply narrows gap between renewals and new leases</t>
  </si>
  <si>
    <t>https://www.khaleejtimes.com/business/property/dubai-rents-stabilise-new-apartment-supply-tenants-benefit</t>
  </si>
  <si>
    <t>44% of property investors say their Dubai investments outperform their overseas portfolios</t>
  </si>
  <si>
    <t>https://www.msn.com/en-ae/money/news/44-of-property-investors-say-their-dubai-investments-outperform-their-overseas-portfolios/ar-AA1RDJH8</t>
  </si>
  <si>
    <t>https://www.khaleejtimes.com/business/property/44-of-property-investors-say-their-dubai-investments-outperform-their-overseas-portfolios</t>
  </si>
  <si>
    <t>The finance 360</t>
  </si>
  <si>
    <t>44% Of Investors Say Dubai Property Outperforms Overseas Assets, Shows Betterhomes Future Living Report 2025</t>
  </si>
  <si>
    <t>https://www.thefinance360.com/dubai-property-investments-outshine-global-markets-report-2025/</t>
  </si>
  <si>
    <t>Best Real Estate Agents In Dubai For Spotting The Next Investment Hotspots</t>
  </si>
  <si>
    <t>https://menafn.com/1110463371/Best-Real-Estate-Agents-In-Dubai-For-Spotting-The-Next-Investment-Hotspots</t>
  </si>
  <si>
    <t>Dubai property prices jump 2.5% in November as buyer confidence grows – report</t>
  </si>
  <si>
    <t>https://www.arabianbusiness.com/industries/real-estate/dubai-property-prices-jump-2-5-in-november-as-buyer-confidence-grows</t>
  </si>
  <si>
    <t>Off-plan sales dominate as Dubai realty charges into 2026</t>
  </si>
  <si>
    <t>https://www.khaleejtimes.com/business/off-plan-sales-dominate-as-dubai-realty-charges-into-2026?fbclid=IwZXh0bgNhZW0CMTEAc3J0YwZhcHBfaWQMMjU2MjgxMDQwNTU4AAEeeBBRrzz0vi7yyXC-zpwU28XYa8hBn_LiM6j6Wcc1kQJVdLFsY4bL0JYJtfY_aem_4avZfyHI8ONdK5nm-dZlCQ</t>
  </si>
  <si>
    <t>UAE: Ultra-rich move to Dubai, keep luxury property demand strong, expert says</t>
  </si>
  <si>
    <t>https://www.khaleejtimes.com/business/property/dubai-luxury-property-demand-ultra-rich</t>
  </si>
  <si>
    <t>Dubai villa owners are ‘sitting on a goldmine’ as property market enters 2026 – expert</t>
  </si>
  <si>
    <t>https://www.arabianbusiness.com/industries/real-estate/dubai-villa-owners-are-sitting-on-a-goldmine-as-property-market-enters-2026-expert</t>
  </si>
  <si>
    <r>
      <rPr>
        <color rgb="FF1155CC"/>
        <u/>
      </rPr>
      <t>REVEALED: Dubai real estate market trends in 2026, according to experts</t>
    </r>
  </si>
  <si>
    <r>
      <rPr>
        <color rgb="FF1155CC"/>
        <u/>
      </rPr>
      <t>REVEALED: Dubai real estate market trends in 2026, according to experts</t>
    </r>
  </si>
  <si>
    <r>
      <rPr>
        <color rgb="FF1155CC"/>
        <u/>
      </rPr>
      <t>Nearly 60% of Residents Choose to Make Dubai Home as Average Tenure Rises to a Decade</t>
    </r>
  </si>
  <si>
    <r>
      <rPr>
        <color rgb="FF1155CC"/>
        <u/>
      </rPr>
      <t>Nearly 60% of Residents Choose to Make Dubai Home as Average Tenure Rises to a Decade</t>
    </r>
  </si>
  <si>
    <r>
      <rPr>
        <rFont val="Arial"/>
        <b/>
        <color rgb="FF1155CC"/>
        <u/>
      </rPr>
      <t>Duba</t>
    </r>
    <r>
      <rPr>
        <rFont val="Arial"/>
        <color rgb="FF1155CC"/>
        <u/>
      </rPr>
      <t>i</t>
    </r>
    <r>
      <rPr>
        <rFont val="Arial"/>
        <color rgb="FF1155CC"/>
        <u/>
      </rPr>
      <t xml:space="preserve"> residents put down roots as average tenure surges to over a decade - Khaleej Time</t>
    </r>
    <r>
      <rPr>
        <rFont val="Arial"/>
      </rPr>
      <t>s</t>
    </r>
  </si>
  <si>
    <r>
      <rPr>
        <rFont val="Arial"/>
        <b/>
        <color rgb="FF1155CC"/>
        <u/>
      </rPr>
      <t>Duba</t>
    </r>
    <r>
      <rPr>
        <rFont val="Arial"/>
        <color rgb="FF1155CC"/>
        <u/>
      </rPr>
      <t>i residents put down roots as average tenure surges to over a decade - Khaleej Time</t>
    </r>
    <r>
      <rPr>
        <rFont val="Arial"/>
      </rPr>
      <t>s</t>
    </r>
  </si>
  <si>
    <r>
      <rPr>
        <rFont val="Roboto, sans-serif"/>
        <b/>
        <color rgb="FF1155CC"/>
        <u/>
      </rPr>
      <t>Dubai</t>
    </r>
    <r>
      <rPr>
        <rFont val="Roboto, sans-serif"/>
        <color rgb="FF1155CC"/>
        <u/>
      </rPr>
      <t xml:space="preserve"> </t>
    </r>
    <r>
      <rPr>
        <rFont val="Roboto, sans-serif"/>
        <color rgb="FF1155CC"/>
        <u/>
      </rPr>
      <t>residents put down roots as tenure surges - PressReader</t>
    </r>
  </si>
  <si>
    <r>
      <rPr>
        <rFont val="Roboto, sans-serif"/>
        <b/>
        <color rgb="FF1155CC"/>
        <u/>
      </rPr>
      <t>Dubai</t>
    </r>
    <r>
      <rPr>
        <rFont val="Roboto, sans-serif"/>
        <color rgb="FF1155CC"/>
        <u/>
      </rPr>
      <t xml:space="preserve"> </t>
    </r>
    <r>
      <rPr>
        <rFont val="Roboto, sans-serif"/>
        <color rgb="FF1155CC"/>
        <u/>
      </rPr>
      <t>residents put down roots as tenure surges - PressReader</t>
    </r>
  </si>
  <si>
    <t>https://www.instagram.com/p/DSaErXhDY25/?img_index=5&amp;igsh=ZnI1a2g5NXllbHZ5</t>
  </si>
  <si>
    <t>Dubai rents set to rise by up to 6% in 2026 amid growing population</t>
  </si>
  <si>
    <t>https://www.khaleejtimes.com/business/property/dubai-rents-increase-6-2026-population-growth</t>
  </si>
  <si>
    <t>25th December 2025</t>
  </si>
  <si>
    <t>More residents are choosing Dubai for the long run, with nearly 60% planning to stay for over a decade, according to The Betterhomes Future Living Report 2025.</t>
  </si>
  <si>
    <t>https://www.instagram.com/p/DSaErXhDY25/</t>
  </si>
  <si>
    <t>COUNTA of Media</t>
  </si>
  <si>
    <t>SUM of Cost</t>
  </si>
  <si>
    <t>SUM of Reach</t>
  </si>
  <si>
    <t>Date</t>
  </si>
  <si>
    <t>Dubai property price rises may slow further in 2023, real-estate consultancy says</t>
  </si>
  <si>
    <t>https://www.reuters.com/world/middle-east/dubai-property-price-rises-seen-slowing-further-2023-betterhomes-2023-01-15/</t>
  </si>
  <si>
    <t xml:space="preserve">Latest LY </t>
  </si>
  <si>
    <t>Dubai Property Price Rises Seen Slowing Further in 2023 - Betterhomes</t>
  </si>
  <si>
    <t>https://www.latestly.com/socially/sports/cricket/virat-kohli-does-a-ms-dhoni-star-india-batter-hits-helicopter-shot-for-six-in-ind-vs-sl-3rd-odi-2023-watch-video-4716180.html</t>
  </si>
  <si>
    <t>Zone Bourse (France)</t>
  </si>
  <si>
    <t>Dubai property price growth set to slow further in 2023</t>
  </si>
  <si>
    <t>https://www.zonebourse.com/actualite-bourse/La-hausse-des-prix-de-l-immobilier-a-Dubai-devrait-encore-ralentir-en-2023-Betterhomes--42738330/?utm_medium=RSS&amp;utm_content=20230115</t>
  </si>
  <si>
    <t>Dubai property price rises seen slowing further in 2023: Betterhomes</t>
  </si>
  <si>
    <t>https://www.khaleejtimes.com/business/dubai-property-price-rises-seen-slowing-further-in-2023-betterhomes</t>
  </si>
  <si>
    <t>Manager (Bulgaria)</t>
  </si>
  <si>
    <t>Russians have become the biggest buyers of luxury properties in Dubai</t>
  </si>
  <si>
    <t>https://manager.bg/%D0%B1%D0%B8%D0%B7%D0%BD%D0%B5%D1%81/rusnacite-stanaha-nai-golemite-kupuvachi-na-luksozni-imoti-v-dubai</t>
  </si>
  <si>
    <t>Titulares (Spain)</t>
  </si>
  <si>
    <t>Dubai reaches record number of real estate transactions of more than $143,000 million after years of crisis</t>
  </si>
  <si>
    <t>https://titulares.ar/dubai-alcanza-cifra-record-de-transacciones-inmobiliarias-de-mas-de-143-000-millones-tras-anos-de-crisis/</t>
  </si>
  <si>
    <t>Foco (Spain)</t>
  </si>
  <si>
    <t>Why did Dubai achieve record real estate transactions in 2022?</t>
  </si>
  <si>
    <t>https://foco.lanacion.com.py/2023/01/16/por-que-dubai-logro-record-de-transacciones-inmobiliarias-en-2022/</t>
  </si>
  <si>
    <t>Arab News</t>
  </si>
  <si>
    <t>UAE In-Focus — US, UAE allocate $20bn to fund 15 GW of clean energy projects</t>
  </si>
  <si>
    <t>https://www.arabnews.com/node/2233301/business-economy</t>
  </si>
  <si>
    <t>Dagens Industri (Sweeden)</t>
  </si>
  <si>
    <t>Russian money drugs Dubai's real estate market - reaches new record level</t>
  </si>
  <si>
    <t>https://www.di.se/live/ryska-pengar-dopar-dubais-fastighetsmarknad-nar-ny-rekordniva/</t>
  </si>
  <si>
    <t>Finanzemarkt (Germany)</t>
  </si>
  <si>
    <t>Real estate: That's how massive Russian money is pouring into Dubai</t>
  </si>
  <si>
    <t>https://finanzmarktwelt.de/immobilien-so-massiv-stroemt-russisches-geld-nach-dubai-258253/</t>
  </si>
  <si>
    <t>Il Matinno (Italy)</t>
  </si>
  <si>
    <t>Abramovich, Rybolovlev and the others: the anti-sanctions moves. Here's how (and how much) Russian oligarchs invest in Dubai</t>
  </si>
  <si>
    <t>https://www.ilmattino.it/primopiano/esteri/abramovich_oligarchi_russi_investimenti_dubai_cosa_sta_succedendo-7173231.html</t>
  </si>
  <si>
    <t>Forbes (Ukarain)</t>
  </si>
  <si>
    <t xml:space="preserve">Property sales in Dubai have risen to a record high due to an increase in the number of buyers from Russia </t>
  </si>
  <si>
    <t>https://forbes.ua/news/prodazh-nerukhomosti-v-dubai-zris-do-rekordnogo-rivnya-cherez-zbilshennya-kilkosti-pokuptsiv-z-rosii-16012023-11091</t>
  </si>
  <si>
    <t>Kumparan (Indonasia)</t>
  </si>
  <si>
    <t>Property Prices in Dubai Expected to Slow Down in 2023</t>
  </si>
  <si>
    <t>https://kumparan.com/kabar-bisnis/harga-properti-di-dubai-diperkirakan-melambat-di-2023-1zeDE6UsPlZ?ref=register</t>
  </si>
  <si>
    <t>Forbes (Russia)</t>
  </si>
  <si>
    <t>Property sales in Dubai rise to record levels due to increased number of buyers from Russia</t>
  </si>
  <si>
    <t>https://forbes.ua/ru/news/prodazh-nerukhomosti-v-dubai-zris-do-rekordnogo-rivnya-cherez-zbilshennya-kilkosti-pokuptsiv-z-rosii-16012023-11091</t>
  </si>
  <si>
    <t>Profit (Romania)</t>
  </si>
  <si>
    <t>Property price growth in Dubai may slow down</t>
  </si>
  <si>
    <t>https://www.profit.ro/povesti-cu-profit/real-estate-constructii/cresterea-preturilor-proprietatilor-imobiliare-din-dubai-ar-putea-incetini-20983668</t>
  </si>
  <si>
    <t>Market Screener (Netherlands)</t>
  </si>
  <si>
    <t>Dubai real estate price rise further slowed in 2023 - Betterhomes</t>
  </si>
  <si>
    <t>https://nl.marketscreener.com/beursnieuws/laatste/Prijsstijging-vastgoed-Dubai-verder-vertraagd-in-2023-Betterhomes--42738330/</t>
  </si>
  <si>
    <t>Finansavisen (Norway)</t>
  </si>
  <si>
    <t>The Russians contributed to a new record</t>
  </si>
  <si>
    <t>https://www.finansavisen.no/bolig/2023/01/16/7977177/russerne-bidro-til-ny-rekord?zephr_sso_ott=Ltz99Z</t>
  </si>
  <si>
    <t>Samaa</t>
  </si>
  <si>
    <t>Dubai real estate transactions hit record high</t>
  </si>
  <si>
    <t>https://www.samaaenglish.tv/news/40025569</t>
  </si>
  <si>
    <t>Egyptian Pound’s Dramatic Plunge</t>
  </si>
  <si>
    <t>https://www.bloomberg.com/news/newsletters/2023-01-16/egypt-pound-s-egp-usd-plunge-dubai-s-housing-boom-erdogan-s-nato-moves</t>
  </si>
  <si>
    <t>Dubai property deals surge 76% to $144bln in 2022</t>
  </si>
  <si>
    <t>https://www.bloomberg.com/news/articles/2023-01-16/russian-buyers-help-to-propel-dubai-s-property-sales-to-record</t>
  </si>
  <si>
    <t xml:space="preserve">Zawya </t>
  </si>
  <si>
    <t>Dubai property price rises seen slowing further in 2023 - Betterhomes</t>
  </si>
  <si>
    <t>https://www.zawya.com/en/business/real-estate/dubai-property-price-rises-seen-slowing-further-in-2023-betterhomes-o3nd1qy9</t>
  </si>
  <si>
    <t>Russia chases Saudi Arabia, Bahrain, Oman visa-free entry: Diplomat</t>
  </si>
  <si>
    <t>https://www.arabianbusiness.com/industries/travel-hospitality/russia-chases-saudi-arabia-bahrain-oman-visa-free-entry-diplomat</t>
  </si>
  <si>
    <t>More Dubai landlords now want one-cheque payments with their rental deals</t>
  </si>
  <si>
    <t>https://gulfnews.com/business/property/more-dubai-landlords-now-want-one-cheque-payments-with-their-rental-deals-1.1673930156220</t>
  </si>
  <si>
    <t>Banking News (Greece)</t>
  </si>
  <si>
    <t>What are Russians looking for in Dubai? - The sheikh's role in Moscow-Kiev relations</t>
  </si>
  <si>
    <t>https://www.bankingnews.gr/diethni/articles/661165/ti-anazitoyn-oi-rosoi-sto-doumpai-o-rolos-tou-seixi-stis-sxeseis-mosxas-kievou</t>
  </si>
  <si>
    <t>Kaz Inform (Russia)</t>
  </si>
  <si>
    <t>Dubai real estate market breaks records: why it happened and what to expect in 2023</t>
  </si>
  <si>
    <t>https://www.inform.kz/ru/rynok-nedvizhimosti-dubaya-b-et-rekordy-pochemu-eto-sluchilos-i-chego-zhdat-v-2023-godu_a4025063</t>
  </si>
  <si>
    <t>Russia Matters</t>
  </si>
  <si>
    <t>Russia in Review</t>
  </si>
  <si>
    <t>https://www.russiamatters.org/news/russia-review/russia-review-jan-13-20-2023</t>
  </si>
  <si>
    <t>Toitre (Vietnam)</t>
  </si>
  <si>
    <t>Russians drive record Dubai property sales</t>
  </si>
  <si>
    <t>https://tuoitre.vn/nguoi-nga-thuc-day-doanh-so-ban-bat-dong-san-dubai-dat-ky-luc-20230117142503266.htm</t>
  </si>
  <si>
    <t xml:space="preserve">Al Arabyia </t>
  </si>
  <si>
    <t>Dubai-based Tabby raises $58 million in funding round, valued at $660 million</t>
  </si>
  <si>
    <t>https://english.alarabiya.net/business/technology/2023/01/18/Dubai-based-Tabby-raises-58-million-in-funding-round-valued-at-660-million-</t>
  </si>
  <si>
    <t>UKR Haber (Turkey)</t>
  </si>
  <si>
    <t>How do Russians influence the global real estate market?</t>
  </si>
  <si>
    <t>https://www.ukrhaber.com/blog/ruslar-kuresel-emlak-piyasasini-nasil-etkiliyor/#.Y9j7OXZBy5c</t>
  </si>
  <si>
    <t>Ziarul National (Romania)</t>
  </si>
  <si>
    <t>Luxury with cash. Dubai remains the great real estate haven this year as well</t>
  </si>
  <si>
    <t>https://www.national.ro/afaceri/lux-cu-bani-gheata-dubai-ramane-marele-refugiu-imobiliar-si-in-acest-an-784646.html</t>
  </si>
  <si>
    <t>Interia (Poland)</t>
  </si>
  <si>
    <t>Little Russia in Dubai. Escaping Western sanctions fuels the economy</t>
  </si>
  <si>
    <t>https://wydarzenia.interia.pl/raport-media-zagraniczne/news-mala-rosja-w-dubaju-ucieczka-przed-sankcjami-zachodu-napedza,nId,6544444</t>
  </si>
  <si>
    <t>Gazette Duvar (Turkey)</t>
  </si>
  <si>
    <t>Last week in the Russian press: 'Russian citizens bought 16312 real estate in Turkey in 2022'</t>
  </si>
  <si>
    <t>https://www.gazeteduvar.com.tr/rusya-basininda-gecen-hafta-rusya-vatandaslari-2022de-turkiyede-16312-gayrimenkul-aldilar-haber-1599565</t>
  </si>
  <si>
    <t>UAE Real Estate companies list, engineering firms in dubai, list of engineering companies in abu dhabi, Engineering firms in Dubai, list of Engineering companies in ABU Dhabi, civil engineering consultants in abu dhabi</t>
  </si>
  <si>
    <t>https://www.openpr.com/news/2893895/uae-real-estate-companies-list-engineering-firms-in-dubai-list</t>
  </si>
  <si>
    <t>Challenges (France)</t>
  </si>
  <si>
    <t>Russians are blowing up real estate in Dubai</t>
  </si>
  <si>
    <t>https://www.challenges.fr/immobilier/l-immobilier-flambe-a-dubai_843005</t>
  </si>
  <si>
    <t xml:space="preserve">The National </t>
  </si>
  <si>
    <t>Dubai property: Top three areas where expats prefer to buy apartments</t>
  </si>
  <si>
    <t>https://www.thenationalnews.com/uae/2023/01/25/dubai-property-top-three-areas-where-expats-prefer-to-buy-apartments/</t>
  </si>
  <si>
    <t>https://www.zawya.com/en/business/real-estate/dubai-property-deals-surge-76-to-144bln-in-2022-spwo2ai5</t>
  </si>
  <si>
    <t>El Correo de Golfo (Spain)</t>
  </si>
  <si>
    <t>Learn about the three areas of Dubai where expats buy apartments</t>
  </si>
  <si>
    <t>https://www.elcorreo.ae/articulo/economia/conozca-zonas-dubai-donde-expatriados-compran-apartamentos/20230127092502152882.html</t>
  </si>
  <si>
    <t>Dubai realtor haus &amp; haus eyes expansion; to hire 150 new staff</t>
  </si>
  <si>
    <t>https://www.zawya.com/en/business/real-estate/dubai-realtor-haus-and-haus-eyes-expansion-to-hire-150-new-staff-r6be9cf7</t>
  </si>
  <si>
    <t xml:space="preserve">ABC Money </t>
  </si>
  <si>
    <t>Sheikh Youssef Al Shelash Discusses Trends and Upcoming Developments in the Middle East</t>
  </si>
  <si>
    <t>https://www.abcmoney.co.uk/2023/01/sheikh-youssef-al-shelash-discusses-trends-and-upcoming-developments-in-the-middle-east/</t>
  </si>
  <si>
    <t>The DoGoodPress</t>
  </si>
  <si>
    <t>Ryan Mahoney (Dubai, UAE): Dubai’s Secondary Real Estate Market Boom</t>
  </si>
  <si>
    <t>https://thedogoodpress.com/property/4836/ryan-mahoney-dubai-uae-dubais-secondary-real-estate-market-boom/</t>
  </si>
  <si>
    <t>Five cheapest places to rent a flat in Dubai</t>
  </si>
  <si>
    <t>https://www.zawya.com/en/business/real-estate/five-cheapest-places-to-rent-a-flat-in-dubai-g1kn1kd8</t>
  </si>
  <si>
    <t>Dubai: Tenants could negotiate monthly rent payments with new direct debit system</t>
  </si>
  <si>
    <t>https://www.khaleejtimes.com/business/property/dubai-tenants-could-negotiate-monthly-rent-payments-with-new-direct-debit-system</t>
  </si>
  <si>
    <t>UAE grants banking license to Russia’s MTS Bank</t>
  </si>
  <si>
    <t>https://www.bloomberg.com/news/articles/2023-02-08/uae-grants-banking-license-to-russia-s-mts-bank</t>
  </si>
  <si>
    <t>UAE central bank granted licence to Russia’s MTS bank</t>
  </si>
  <si>
    <t>https://www.khaleejtimes.com/business/uae-central-bank-granted-licence-to-russias-mts-bank</t>
  </si>
  <si>
    <t>Russia's MTS bank has UAE licence -central bank website</t>
  </si>
  <si>
    <t>https://www.reuters.com/business/finance/russias-mts-bank-has-uae-licence-central-bank-website-2023-02-08/</t>
  </si>
  <si>
    <t>Al Arabiya</t>
  </si>
  <si>
    <t>https://english.alarabiya.net/News/gulf/2023/02/09/UAE-grants-banking-license-to-Russia-s-MTS-Bank</t>
  </si>
  <si>
    <t>ABC News</t>
  </si>
  <si>
    <t>Dubai boom sees Russian cash, high rents and reborn projects</t>
  </si>
  <si>
    <t>https://abcnews.go.com/Business/wireStory/dubai-boom-sees-russian-cash-high-rents-reborn-97074165</t>
  </si>
  <si>
    <t>VOA News</t>
  </si>
  <si>
    <t>Latest Developments in Ukraine</t>
  </si>
  <si>
    <t>https://www.voanews.com/a/latest-developments-in-ukraine-feb-13/6960220.html</t>
  </si>
  <si>
    <t>Blue News (Germany)</t>
  </si>
  <si>
    <t>How Dubai once again benefits from a crisis</t>
  </si>
  <si>
    <t>https://www.bluewin.ch/de/news/international/wie-dubai-wieder-einmal-von-einer-krise-profitiert-1628020.html</t>
  </si>
  <si>
    <t>Biz Live (Vietnam)</t>
  </si>
  <si>
    <t>Dubai real estate boomed again with strong money from Russia</t>
  </si>
  <si>
    <t>https://nhipsongkinhdoanh.vn/bat-dong-san-dubai-bung-no-tro-lai-voi-nguon-tien-manh-tu-nga-post3107017.html</t>
  </si>
  <si>
    <t>What are the red flags when buying a flat in Dubai?</t>
  </si>
  <si>
    <t>https://www.khaleejtimes.com/business/what-are-the-red-flags-when-buying-a-flat-in-dubai</t>
  </si>
  <si>
    <t>No more rental cheques? Tenants in Dubai now have the option to pay for rent via direct debit – here’s how</t>
  </si>
  <si>
    <t>https://gulfnews.com/living-in-uae/housing/no-more-rental-cheques-tenants-in-dubai-now-have-the-option-to-pay-for-rent-via-direct-debit--heres-how-1.1676445697131</t>
  </si>
  <si>
    <t>AP News</t>
  </si>
  <si>
    <t>https://apnews.com/article/us-department-of-the-treasury-business-united-arab-emirates-dubai-middle-east-192fbc4638f38d9334ad2508cae1eef4</t>
  </si>
  <si>
    <t>The Independant (Spain)</t>
  </si>
  <si>
    <t>Dubai, the golden haven of Russian millionaires</t>
  </si>
  <si>
    <t>https://www.elindependiente.com/internacional/2023/02/20/dubai-el-refugio-dorado-de-los-millonarios-rusos/</t>
  </si>
  <si>
    <t>Jordan Times</t>
  </si>
  <si>
    <t>Dubai airport sees surge in arrivals bolstered by Russian influx</t>
  </si>
  <si>
    <t>https://jordantimes.com/news/business/dubai-airport-sees-surge-arrivals-bolstered-russian-influx</t>
  </si>
  <si>
    <t>Dubai: Should I hire a property company to lease my villa as I relocate to my country?</t>
  </si>
  <si>
    <t>https://www.khaleejtimes.com/business/property/dubai-should-i-hire-a-property-company-to-lease-my-villa-as-i-relocate-to-my-country</t>
  </si>
  <si>
    <t>PM Betterhomes</t>
  </si>
  <si>
    <t xml:space="preserve">NPR </t>
  </si>
  <si>
    <t>For Ukrainians in Dubai, a new restaurant offers a taste of home</t>
  </si>
  <si>
    <t>https://www.npr.org/2023/02/26/1152488159/ukrainian-food-dubai-yoy-restaurant</t>
  </si>
  <si>
    <t>The Business Times</t>
  </si>
  <si>
    <t>Dubai airport sees surge in arrivals, bolstered by Russian influx</t>
  </si>
  <si>
    <t>https://www.businesstimes.com.sg/international/dubai-airport-sees-surge-arrivals-bolstered-russian-influx</t>
  </si>
  <si>
    <t>Dubai Economic Times (India)</t>
  </si>
  <si>
    <t>Dubai housing boom buoys buyers, burdens tenants</t>
  </si>
  <si>
    <t>https://economictimes.indiatimes.com/nri/invest/dubai-housing-boom-buoys-buyers-burdens-tenants/articleshow/98170301.cms</t>
  </si>
  <si>
    <t>Vietnam Bizz (Vietnam)</t>
  </si>
  <si>
    <t>Dubai witnessed a record number of real estate transactions in 2022</t>
  </si>
  <si>
    <t>https://vietnambiz.vn/dubai-chung-kien-luong-giao-dich-bat-dong-san-ky-luc-trong-nam-2022-2023223222756601.htm</t>
  </si>
  <si>
    <t>Zaman (Turkey)</t>
  </si>
  <si>
    <t>Dubai housing boom floats buyers, strains tenants</t>
  </si>
  <si>
    <t>https://zamanbelcika.be/ekonomi/dubai-konut-patlamasi-alicilari-samandiralar-kiracilari-zorlar/93593/</t>
  </si>
  <si>
    <t>US Targets Bank With UAE Ties in New Phase of Russia Sanctions</t>
  </si>
  <si>
    <t>https://finance.yahoo.com/news/g-7-sanctions-target-key-100000648.html?guccounter=1&amp;guce_referrer=aHR0cHM6Ly93d3cuZ29vZ2xlLmNvbS8&amp;guce_referrer_sig=AQAAANuRxrMPOhqOn5MEnoNAKUL86axWbGapzrkoX5cCD9T9DKehlHWNel1fiG4EzF1yW4Hg4YHNnxWWMQkY1fszEhPFGiL8AHhFHfGht_dn0gPU1ZxlxqGN27BeZJfxWSZDyKPVpEln1_SZdZNR6LN_JCztuZM0eMuGXTSUSctbUfSP</t>
  </si>
  <si>
    <t>BFM TV (France)</t>
  </si>
  <si>
    <t>IN DUBAI, TENANTS SUFFER FROM SHARP INCREASES IN PROPERTY PRICES</t>
  </si>
  <si>
    <t>https://www.bfmtv.com/immobilier/international-etranger/a-dubai-les-locataires-subissent-les-fortes-hausses-des-prix-de-l-immobilier_AD-202302230202.html</t>
  </si>
  <si>
    <t>Forbes India</t>
  </si>
  <si>
    <t>https://www.forbesindia.com/article/lifes/dubai-housing-boom-buoys-buyers-burdens-tenants/83411/1</t>
  </si>
  <si>
    <t>Forbes Middle East (Instagram)</t>
  </si>
  <si>
    <t>Property prices in Dubai have soared, allowing the sector to rake in more than $140 billion in 2022. However, rising prices have left tenants facing a 20% increase in rent.</t>
  </si>
  <si>
    <t>https://www.instagram.com/reel/CpCbCVLAlhj/?id=3045115205483911267_1544565637</t>
  </si>
  <si>
    <t>Mena FN</t>
  </si>
  <si>
    <t>Dubai Airport Sees Surge In Arrivals Bolstered By Russian Influx</t>
  </si>
  <si>
    <t>https://menafn.com/1105644812/Dubai-Airport-Sees-Surge-In-Arrivals-Bolstered-By-Russian-Influx</t>
  </si>
  <si>
    <t>Dubai’s luxury property market is closing in on New York, Los Angeles</t>
  </si>
  <si>
    <t>https://gulfnews.com/business/property/dubais-luxury-property-market-is-closing-in-on-new-york-los-angeles-1.94169475</t>
  </si>
  <si>
    <t>Dubai’s Luxury Homes Lead the World’s Best (and Worst) Property Markets</t>
  </si>
  <si>
    <t>https://www.bloomberg.com/news/articles/2023-03-01/dubai-s-luxury-property-market-is-closing-in-on-new-york-london?utm_source=twitter&amp;utm_content=business&amp;utm_medium=social&amp;utm_campaign=socialflow-organic&amp;cmpid%3D=socialflow-twitter-pursuits&amp;cmpid=socialflow-twitter-business&amp;leadSource=uverify%20wall</t>
  </si>
  <si>
    <t>Dubai’s luxury property market closing in on New York, LA</t>
  </si>
  <si>
    <t>https://www.businesstimes.com.sg/property/dubais-luxury-property-market-closing-new-york-la</t>
  </si>
  <si>
    <t>La Republica (Spain)</t>
  </si>
  <si>
    <t>Dubai luxury homes lead the best (and worst) real estate markets</t>
  </si>
  <si>
    <t>https://www.larepublica.co/ocio/las-casas-de-lujo-de-dubai-lideran-los-mejores-y-peores-mercados-inmobiliarios-del-mundo-3558753</t>
  </si>
  <si>
    <t>Financial Times</t>
  </si>
  <si>
    <t>Where Russian homebuyers went next</t>
  </si>
  <si>
    <t>https://www.ft.com/content/5ccb498b-9d6c-4a67-87aa-69f7e3f17092</t>
  </si>
  <si>
    <t>Irytas (Lithuania)</t>
  </si>
  <si>
    <t>The rich fleeing from Russia have distorted the real estate market in Dubai</t>
  </si>
  <si>
    <t>https://www.lrytas.lt/bustas/nekilnojamasis-turtas/2023/03/08/news/is-rusijos-begantys-turciai-iskraipe-nt-rinka-dubajuje-uz-bustus-ne-nesideredami-jie-moka-beprotiskas-sumas-26342315</t>
  </si>
  <si>
    <t>House Fun (China)</t>
  </si>
  <si>
    <t>Dubai real estate construction project revives</t>
  </si>
  <si>
    <t>https://news.housefun.com.tw/news/article/569264367691.html</t>
  </si>
  <si>
    <t>Demand for Dubai properties is increasing, but Russian buyers are not the main drivers</t>
  </si>
  <si>
    <t>https://www.zawya.com/en/business/real-estate/demand-for-dubai-properties-is-increasing-but-russian-buyers-are-not-the-main-drivers-rkqoqu4s</t>
  </si>
  <si>
    <t>Dubai: Should you buy, rent property directly from the owner or through a property agent?</t>
  </si>
  <si>
    <t>https://www.khaleejtimes.com/business/dubai-should-you-buy-rent-property-directly-from-the-owner-or-through-a-property-agent</t>
  </si>
  <si>
    <t>Bloomberg (Portugal)</t>
  </si>
  <si>
    <t>Dubai catches up with NY on luxury real estate boom</t>
  </si>
  <si>
    <t>https://www.bloomberglinea.com.br/2023/03/12/dubai-se-aproxima-de-ny-na-atracao-de-milionarios-que-buscam-casas-de-luxo/</t>
  </si>
  <si>
    <t>Why Property Buyers Pay Up To 7% Extra Of Total Value?</t>
  </si>
  <si>
    <t>https://menafn.com/1105778651/Why-Property-Buyers-Pay-Up-To-7-Extra-Of-Total-Value</t>
  </si>
  <si>
    <t>The Indian Express (India)</t>
  </si>
  <si>
    <t>Russia outside Russia’: For elite, Dubai becomes a wartime harbour</t>
  </si>
  <si>
    <t>https://indianexpress.com/article/world/how-dubai-became-russia-wartime-harbour-8495299/</t>
  </si>
  <si>
    <t>https://www.khaleejtimes.com/business/why-property-buyers-pay-up-to-7-extra-of-total-value</t>
  </si>
  <si>
    <t>Bayut and dubizzle hold their annual awards ceremony</t>
  </si>
  <si>
    <t>https://gulfnews.com/business/corporate-news/bayut-and-dubizzle-hold-their-annual-awards-ceremony-1.1678870778266</t>
  </si>
  <si>
    <t>De Morgen (Netherlands)</t>
  </si>
  <si>
    <t>This is a part of Russia outside Russia': how Dubai is becoming a haven for the Russian elite</t>
  </si>
  <si>
    <t>https://www.demorgen.be/oorlog-in-oekraine/dit-is-een-deel-van-rusland-buiten-rusland-hoe-dubai-een-toevluchtsoord-voor-de-russische-elite-wordt~b198e9fd/?referrer=https%3A%2F%2Fwww.google.com%2F</t>
  </si>
  <si>
    <t>The New York Times</t>
  </si>
  <si>
    <t>Russia Outside Russia’: For Elite, Dubai Becomes a Wartime Harbor</t>
  </si>
  <si>
    <t>https://www.nytimes.com/es/2023/03/20/espanol/rusos-dubai.html</t>
  </si>
  <si>
    <t>BNN Bloomberg</t>
  </si>
  <si>
    <t>Champagne Exports to Gulf Nations, Turkey Soar as Russia Sinks</t>
  </si>
  <si>
    <t>https://www.bnnbloomberg.ca/champagne-exports-to-gulf-nations-turkey-soar-as-russia-sinks-1.1898741</t>
  </si>
  <si>
    <t>The inaugural Top 50 Homes competition takes Dubai by storm</t>
  </si>
  <si>
    <t>https://www.zawya.com/en/press-release/companies-news/the-inaugural-top-50-homes-competition-takes-dubai-by-storm-u1711svg</t>
  </si>
  <si>
    <t>Prime by Betterhomes</t>
  </si>
  <si>
    <t>What you should know about freehold and leasehold properties</t>
  </si>
  <si>
    <t>https://www.khaleejtimes.com/business/what-you-should-know-about-freehold-and-leasehold-properties</t>
  </si>
  <si>
    <t xml:space="preserve">BBC </t>
  </si>
  <si>
    <t>Russian influx drives up rental prices in Dubai</t>
  </si>
  <si>
    <t>https://www.bbc.com/news/business-65037061</t>
  </si>
  <si>
    <t>Three options to consider if you are selling your property in Dubai</t>
  </si>
  <si>
    <t>https://www.khaleejtimes.com/business/three-options-to-consider-if-you-are-selling-your-property-in-dubai-2</t>
  </si>
  <si>
    <t>Time Out Dubai</t>
  </si>
  <si>
    <t>You can now vote for Dubai’s most luxurious home</t>
  </si>
  <si>
    <t>https://www.timeoutdubai.com/news/dubai-luxury-homes-competition</t>
  </si>
  <si>
    <t>See inside Mo Vlogs’ bachelor pad in Downtown Dubai</t>
  </si>
  <si>
    <t>https://www.timeoutdubai.com/news/mo-vlogs-house-downtown-dubai</t>
  </si>
  <si>
    <t>Revealed: 50 best homes in Dubai</t>
  </si>
  <si>
    <t>https://www.arabianbusiness.com/industries/real-estate/revealed-50-best-homes-in-dubai</t>
  </si>
  <si>
    <t>Dubai’s Latest Boom Is Pricing Out the Expats It Once Coveted</t>
  </si>
  <si>
    <t>https://www.bloomberg.com/news/articles/2023-04-02/how-expensive-is-dubai-for-expats-rents-groceries-school-fees-surge#xj4y7vzkg</t>
  </si>
  <si>
    <t>Harber Global (Turkey)</t>
  </si>
  <si>
    <t>Familiar words in Dubai: 'We will move out, get out'</t>
  </si>
  <si>
    <t>https://haberglobal.com.tr/ekonomi/dubaide-tanidik-sozler-biz-tasinacagiz-cikin-241925</t>
  </si>
  <si>
    <t>How the influx of Russians has increased the rent in Dubai</t>
  </si>
  <si>
    <t>https://www.bbc.com/hausa/articles/cqqzzd3r5nvo</t>
  </si>
  <si>
    <t>Jordan News</t>
  </si>
  <si>
    <t>‘Russia outside Russia’: For elite, Dubai becomes a wartime harbor</t>
  </si>
  <si>
    <t>https://www.jordannews.jo/Section-120/All/Russia-outside-Russia-For-elite-Dubai-becomes-a-wartime-harbor-27896</t>
  </si>
  <si>
    <t>Dubai: Landlord must give 12 months' notice if property is to be vacated for renovation</t>
  </si>
  <si>
    <t>https://www.khaleejtimes.com/business/dubai-landlord-must-give-12-months-notice-if-property-is-to-be-vacated-for-renovation</t>
  </si>
  <si>
    <t>How to buy property in Dubai if you are not a resident</t>
  </si>
  <si>
    <t>https://www.zawya.com/en/business/real-estate/how-to-buy-property-in-dubai-if-you-are-not-a-resident-ly409tqq</t>
  </si>
  <si>
    <t>https://www.khaleejtimes.com/business/how-to-buy-property-in-dubai-if-you-are-not-a-resident</t>
  </si>
  <si>
    <t>Ziare (Romania)</t>
  </si>
  <si>
    <t xml:space="preserve">The country of Russian paradise, a coup for Moscow: Block the accounts of Putin's fugitives      </t>
  </si>
  <si>
    <t>https://ziare.com/dubai/paradisul-rusilor-emiratele-arabe-lovitura-pentru-putin-cea-mai-mare-banca-dubai-enbd-blocheaza-conturile-investitii-rusi-1799578</t>
  </si>
  <si>
    <t>Live where the sun and the sea: 12 questions about real estate in Turkey</t>
  </si>
  <si>
    <t>https://www.forbes.ru/brandvoice/488403-zit-gde-solnce-i-more-12-voprosov-o-nedvizimosti-v-turcii</t>
  </si>
  <si>
    <t>Emirate of opportunities: features of relocation to Dubai</t>
  </si>
  <si>
    <t>https://www.forbes.ru/brandvoice/488385-emirat-vozmoznostej-osobennosti-relokacii-v-dubaj</t>
  </si>
  <si>
    <t>Dubai property: British, Indian, and Russian buyers lead real estate market; Pakistanis slip out of top 10</t>
  </si>
  <si>
    <t>https://www.zawya.com/en/business/real-estate/dubai-property-british-indian-and-russian-buyers-lead-real-estate-market-pakistanis-slip-out-of-top-10-n61n484u</t>
  </si>
  <si>
    <t>https://www.khaleejtimes.com/business/property/dubai-property-british-indian-and-russian-buyers-lead-real-estate-market-pakistanis-slip-out-of</t>
  </si>
  <si>
    <t>Steps to buying a property in Dubai</t>
  </si>
  <si>
    <t>https://www.zawya.com/en/business/real-estate/steps-to-buying-a-property-in-dubai-ym3xbfuu</t>
  </si>
  <si>
    <t>https://www.khaleejtimes.com/business/property/steps-to-buying-a-property-in-dubai</t>
  </si>
  <si>
    <t>9News</t>
  </si>
  <si>
    <t>Parcel of sandy land on Dubai island sells for $50 million</t>
  </si>
  <si>
    <t>https://www.9news.com.au/world/dubai-island-plot-of-empty-land-sold-for-fifty-million-dollars-in-record-sale/7e7745b4-340e-47e2-be40-166b3c9b3c1f</t>
  </si>
  <si>
    <t>How much do I have to pay an agent to buy a home in Dubai?</t>
  </si>
  <si>
    <t>https://www.khaleejtimes.com/business/how-much-do-i-have-to-pay-an-agent-to-buy-a-home-in-dubai</t>
  </si>
  <si>
    <t>Construction News</t>
  </si>
  <si>
    <t>Buying property in Dubai: Top buyer nationalities revealed</t>
  </si>
  <si>
    <t>https://www.constructionweekonline.com/business/buying-property-in-dubai-top-buyer-nationalities-revealed</t>
  </si>
  <si>
    <t>Dubai’s most popular residential areas, buyer nationalities revealed</t>
  </si>
  <si>
    <t>https://www.arabianbusiness.com/industries/real-estate/dubais-most-popular-residential-areas-buyer-nationalities-revealed</t>
  </si>
  <si>
    <t>RU News24 (Russia)</t>
  </si>
  <si>
    <t>RUSSIANS ENTERED THE TOP 3 MAIN BUYERS OF REAL ESTATE IN DUBAI</t>
  </si>
  <si>
    <t>https://runews24.ru/realty/08/05/2023/2d3010790707d895bb61870f26beba78</t>
  </si>
  <si>
    <t>Dubai's World Islands developer aims for 2026 finish after delays</t>
  </si>
  <si>
    <t>https://www.thenationalnews.com/uae/2023/05/07/dubais-world-islands-developer-aims-for-2026-finish-after-fresh-delays/</t>
  </si>
  <si>
    <t>Renting in Dubai? Fees to pay, required documents, all you need to know before moving</t>
  </si>
  <si>
    <t>https://www.khaleejtimes.com/business/your-guide-to-renting-in-dubai</t>
  </si>
  <si>
    <t>Atalayar (Spain)</t>
  </si>
  <si>
    <t>Dubai, the city that increasingly attracts foreign businessmen</t>
  </si>
  <si>
    <t>https://www.atalayar.com/articulo/economia-y-empresas/dubai-ciudad-que-atrae-cada-vez-mas-empresarios-extranjeros/20230509162107184378.html</t>
  </si>
  <si>
    <t>Tenants served notice as Palm Jumeirah's The Pointe tipped for redevelopment</t>
  </si>
  <si>
    <t>https://www.thenationalnews.com/uae/2023/05/17/tenants-served-notice-as-palm-jumeriahs-the-pointe-tipped-for-redevelopment/</t>
  </si>
  <si>
    <t>Le Monde (France)</t>
  </si>
  <si>
    <t>In Dubai, the influx of Russians causes a surge in real estate</t>
  </si>
  <si>
    <t>https://www.lemonde.fr/international/article/2023/05/24/a-dubai-l-afflux-des-russes-provoque-une-crise-immobiliere_6174649_3210.html</t>
  </si>
  <si>
    <t>The Cradle</t>
  </si>
  <si>
    <t>UAE becomes Russian gold trade hub due to western sanctions</t>
  </si>
  <si>
    <t>https://thecradle.co/article-view/25252/uae-becomes-russian-gold-trade-hub-due-to-western-sanctions</t>
  </si>
  <si>
    <t>Are rent-to-own units a good option for property buyers in Dubai?</t>
  </si>
  <si>
    <t>https://www.zawya.com/en/business/real-estate/are-rent-to-own-units-a-good-option-for-property-buyers-in-dubai-j01bp4vu</t>
  </si>
  <si>
    <t>https://www.khaleejtimes.com/business/are-rent-to-own-units-a-good-option-for-property-buyers-in-dubai</t>
  </si>
  <si>
    <t>Property Finder brings together UAE real estate industry leaders at Property Finder Connect 2023 event</t>
  </si>
  <si>
    <t>https://www.zawya.com/en/press-release/companies-news/property-finder-brings-together-uae-real-estate-industry-leaders-at-property-finder-connect-2023-event-x1vs7r8h</t>
  </si>
  <si>
    <t>Capital (France)</t>
  </si>
  <si>
    <t>Why the war in Ukraine caused a 36% increase in rents in Dubai</t>
  </si>
  <si>
    <t>https://www.capital.fr/immobilier/pourquoi-la-guerre-en-ukraine-a-provoque-une-augmentation-de-36-des-loyers-a-dubai-1469893</t>
  </si>
  <si>
    <t>Top luxury property buyers in Dubai: Chinese, British investors overtake Indians</t>
  </si>
  <si>
    <t>https://www.khaleejtimes.com/business/property/top-luxury-property-buyers-in-dubai-chinese-british-investors-overtake-indians</t>
  </si>
  <si>
    <t>Le Petit Journal (France)</t>
  </si>
  <si>
    <t>The most popular areas of Dubai and the nationalities of buyers</t>
  </si>
  <si>
    <t>https://lepetitjournal.com/dubai/logement/quartiers-populaires-dubai-nationalites-acheteurs-361117</t>
  </si>
  <si>
    <t xml:space="preserve">The Digital Journal </t>
  </si>
  <si>
    <t>The Uphill Trajectory of Property Technology Within the Middle East</t>
  </si>
  <si>
    <t>https://www.digitaljournal.com/pr/news/binary-news-network/the-uphill-trajectory-of-property-technology-within-the-middle-east</t>
  </si>
  <si>
    <t>Moving to Abu Dhabi: Best residential areas for middle income earners</t>
  </si>
  <si>
    <t>https://www.thenationalnews.com/uae/2023/06/08/moving-to-abu-dhabi-best-residential-areas-for-middle-income-earners/</t>
  </si>
  <si>
    <t>Panorama</t>
  </si>
  <si>
    <t>Real estate investments in Dubai: From costs, offers and pitfalls, what you need to know about the trend that has reached Romania</t>
  </si>
  <si>
    <t>https://panorama.ro/imobiliare-dubai-investitie-romani-piata-imobiliara/</t>
  </si>
  <si>
    <t>CNN</t>
  </si>
  <si>
    <t>The Dubai 50 Homes Awards celebrate exceptional design</t>
  </si>
  <si>
    <t>https://cnnbusinessarabic.com/real-estate-construction/27602/%d8%ad%d9%81%d9%84-%d8%aa%d9%88%d8%b2%d9%8a%d8%b9-%d8%ac%d9%88%d8%a7%d8%a6%d8%b2-%d8%a3%d9%81%d8%b6%d9%84-50-%d9%85%d9%86%d8%b2%d9%84%d8%a7%d9%8b-%d9%81%d9%8a-%d8%af%d8%a8%d9%8a-%d9%8a%d8%ad%d8%aa</t>
  </si>
  <si>
    <t>UAE residency: Here are various visas you can get after purchasing a property</t>
  </si>
  <si>
    <t>https://www.khaleejtimes.com/business/uae-here-are-the-various-visas-you-can-get-on-purchasing-a-property</t>
  </si>
  <si>
    <t>Area Militar (Portuguese)</t>
  </si>
  <si>
    <t>Russians have led among foreign property buyers in Turkey for half a year</t>
  </si>
  <si>
    <t>https://areamilitarof.com/russia-os-russos-lideram-entre-os-compradores-estrangeiros-de-imoveis-na-turquia-ha-meio-ano/</t>
  </si>
  <si>
    <t>From pandemic-era startup to industry player: K4’s rise to the top</t>
  </si>
  <si>
    <t>https://www.arabianbusiness.com/resources/from-pandemic-era-startup-to-industry-player-k4s-rise-to-the-top</t>
  </si>
  <si>
    <t>Dubai's property bubble far from bursting, real estate experts say</t>
  </si>
  <si>
    <t>https://www.thenationalnews.com/uae/2023/06/15/dubais-property-bubble-far-from-bursting-real-estate-experts-say/</t>
  </si>
  <si>
    <t>Yahoo</t>
  </si>
  <si>
    <t>Dubai eyes long-term growth amid new property boom</t>
  </si>
  <si>
    <t>https://au.sports.yahoo.com/dubai-eyes-long-term-growth-134304251.html</t>
  </si>
  <si>
    <t>Saltwire (US)</t>
  </si>
  <si>
    <t>Dubai chases long-term growth as property booms, seeks to blunt debt risk</t>
  </si>
  <si>
    <t>https://www.saltwire.com/prince-edward-island/business/dubai-chases-long-term-growth-as-property-booms-seeks-to-blunt-debt-risk-100865458/</t>
  </si>
  <si>
    <t>50 of the city’s most remarkable homes competed for the crown but who won Dubai’s Top 50 Homes competition?</t>
  </si>
  <si>
    <t>https://www.zawya.com/en/press-release/companies-news/50-of-the-citys-most-remarkable-homes-competed-for-the-crown-but-who-won-dubais-top-50-homes-competition-fu0mo56k</t>
  </si>
  <si>
    <t>Reuters YT</t>
  </si>
  <si>
    <t>https://www.youtube.com/watch?v=ulUPhJhGAjg</t>
  </si>
  <si>
    <t>https://www.reuters.com/world/middle-east/dubai-chases-long-term-growth-property-booms-seeks-blunt-debt-risk-2023-06-19/</t>
  </si>
  <si>
    <t>The Daily Star (China)</t>
  </si>
  <si>
    <t>Dubai chases long-term growth</t>
  </si>
  <si>
    <t>https://www.thedailystar.net/business/global-economy/news/chinas-youth-confront-bleak-job-market-3351496</t>
  </si>
  <si>
    <t>Gulf Today</t>
  </si>
  <si>
    <t>Dubai is looking forward to long-term growth, with real estate booming after rapid recovery</t>
  </si>
  <si>
    <t>https://www.gulftoday.ae/news/2023/06/21/dubai-is-looking-forward-to-long-term-growth-with-real-estate-booming-after-rapid-recovery</t>
  </si>
  <si>
    <t>Inside a luxury Dh90 million Dubai home complete with an American-style diner</t>
  </si>
  <si>
    <t>https://www.thenationalnews.com/lifestyle/home-garden/2023/06/20/inside-a-luxury-dh90-million-dubai-home-complete-with-an-american-style-diner/</t>
  </si>
  <si>
    <t>Megaprojects: The $3bn Dubai tower set to join the world's tallest residential buildings</t>
  </si>
  <si>
    <t>https://www.thenationalnews.com/uae/2023/06/22/megaprojects-the-3bn-dubai-tower-set-to-join-the-worlds-tallest-residential-buildings/</t>
  </si>
  <si>
    <t>Dubai’s Latest Property Spree Has Rich Buyers Taking More Risk</t>
  </si>
  <si>
    <t>https://www.bloomberg.com/news/articles/2023-06-22/dubai-s-latest-property-spree-has-rich-buyers-taking-more-risk#:~:text=a%20broad%20basis.%E2%80%9D-,More%20Risk,to%20sell%20ahead%20of%20construction.</t>
  </si>
  <si>
    <t>https://www.bnnbloomberg.ca/dubai-s-latest-property-spree-has-rich-buyers-taking-more-risk-1.1936277</t>
  </si>
  <si>
    <t>Floating villas: Another game changer in Dubai real estate</t>
  </si>
  <si>
    <t>https://www.khaleejtimes.com/business/floating-villas-another-game-changer-in-dubai-real-estate</t>
  </si>
  <si>
    <t>OT (Greece)</t>
  </si>
  <si>
    <t>Dubai: Real estate boom</t>
  </si>
  <si>
    <t>https://www.ot.gr/2023/06/22/diethni/ntoumpai-ksefreni-anodos-gia-ta-akinita/</t>
  </si>
  <si>
    <t>Forbes (Romania)</t>
  </si>
  <si>
    <t>Dubai's latest property frenzy is prompting wealthy buyers to take bigger risks</t>
  </si>
  <si>
    <t>https://www.forbes.ro/cea-mai-recenta-frenezie-imobiliara-din-dubai-ii-determina-pe-cumparatorii-bogati-sa-isi-asume-riscuri-mai-mari-336737</t>
  </si>
  <si>
    <t>News24</t>
  </si>
  <si>
    <t>https://www.news24.com/fin24/international/dubai-chases-long-term-growth-as-property-booms-seeks-to-blunt-debt-risk-20230619</t>
  </si>
  <si>
    <t>Gazetatema (Albanian)</t>
  </si>
  <si>
    <t>The practice of Durres in the new construction fever in Dubai</t>
  </si>
  <si>
    <t>https://www.gazetatema.net/ekonomia/praktika-e-durresit-ne-ethet-e-reja-te-ndertimit-ne-dubai-i395865</t>
  </si>
  <si>
    <t>Beritautama (Indonasia)</t>
  </si>
  <si>
    <t>Rich Russians are moving their money to the Gulf state</t>
  </si>
  <si>
    <t>https://beritautama.net/orang-kaya-rusia-memindahkan-uang-mereka-ke-negara-teluk/</t>
  </si>
  <si>
    <t>Euro Post (Greece)</t>
  </si>
  <si>
    <t>New construction fever in Dubai</t>
  </si>
  <si>
    <t>https://europost.gr/neos-kataskeyastikos-pyretos-ntoympai-o-rolos-tis-rosias/</t>
  </si>
  <si>
    <t>Affordable homes warning for Dubai private developers</t>
  </si>
  <si>
    <t>https://www.agbi.com/analysis/affordable-homes-warning-for-dubai-private-developers/</t>
  </si>
  <si>
    <t>Luzernerzeitung (German)</t>
  </si>
  <si>
    <t>From the parade ground to Dubai: rich Russians move their money to the Gulf state</t>
  </si>
  <si>
    <t>https://www.luzernerzeitung.ch/wirtschaft/oligarchen-vom-paradeplatz-nach-dubai-reiche-russen-verschieben-ihr-geld-in-den-golfstaat-ld.2480762?reduced=true</t>
  </si>
  <si>
    <t>Tagblatt (Swiss-German)</t>
  </si>
  <si>
    <t>https://www.tagblatt.ch/wirtschaft/oligarchen-vom-paradeplatz-nach-dubai-reiche-russen-verschieben-ihr-geld-in-den-golfstaat-ld.2480762?reduced=true</t>
  </si>
  <si>
    <t>Property in Dubai: How are branded residences different from luxury real estate?</t>
  </si>
  <si>
    <t>https://www.khaleejtimes.com/business/property-in-dubai-how-are-branded-residences-different-from-luxury-real-estate</t>
  </si>
  <si>
    <t>UAE cost of living: How much are school fees, rent and visas for expats?</t>
  </si>
  <si>
    <t>https://www.thenationalnews.com/business/money/2023/07/05/uae-cost-of-living-school-fees-rent-visa-expat/</t>
  </si>
  <si>
    <t>Dubai property: deals and rising prices. Risks?</t>
  </si>
  <si>
    <t>https://www.forbes.ro/proprietatile-din-dubai-tranzactii-si-preturi-in-crestere-riscuri-338894</t>
  </si>
  <si>
    <t>Rossa Prima (Russia)</t>
  </si>
  <si>
    <t>Without London, nowhere ... Who will win the battle for Dubai?</t>
  </si>
  <si>
    <t>https://rossaprimavera.ru/article/50ce93fa</t>
  </si>
  <si>
    <t>American News Report</t>
  </si>
  <si>
    <t>Climbing The Property Ladder: A Guide To The Top Real Estate Agencies In Dubai</t>
  </si>
  <si>
    <t>https://americannewsreport.com/top-real-estate-agencies-in-dubai/</t>
  </si>
  <si>
    <t>Andhrajyothy (India)</t>
  </si>
  <si>
    <t>Indians: Dubai real estate market..Indians on the list of biggest investors</t>
  </si>
  <si>
    <t>https://www.andhrajyothy.com/2023/nri/british-and-indian-buyers-among-top-investors-in-property-market-in-dubai-rams-spl-1103559.html</t>
  </si>
  <si>
    <t>Dubai: Why tenants are unlikely to see relief in rents anytime soon</t>
  </si>
  <si>
    <t>https://www.khaleejtimes.com/uae/dubai-why-tenants-are-unlikely-to-see-relief-in-rents-anytime-soon</t>
  </si>
  <si>
    <t>Dubai waterfront property rates have doubled; will prices drop as Palm Jebel begins to take shape?</t>
  </si>
  <si>
    <t>https://www.khaleejtimes.com/business/property/dubai-waterfront-property-rates-have-doubled-will-prices-drop-as-palm-jebel-begins-to-take-shape</t>
  </si>
  <si>
    <t>PRIME by Betterhomes</t>
  </si>
  <si>
    <t>Dubai’s real estate transactions increase 37% in Q2: report</t>
  </si>
  <si>
    <t>https://www.arabnews.com/node/2339316/business-economy</t>
  </si>
  <si>
    <t>Real estate update: Dubai apartment sales grow while villa sales reduce marginally</t>
  </si>
  <si>
    <t>https://www.zawya.com/en/business/real-estate/real-estate-update-dubai-apartment-sales-grow-while-villa-sales-reduce-marginally-ceqysi00</t>
  </si>
  <si>
    <t>Khaleej Times (Online &amp; Print)</t>
  </si>
  <si>
    <t>Look: Dubai's 10 'best' homes revealed</t>
  </si>
  <si>
    <t>https://www.khaleejtimes.com/business/realty/look-dubais-10-best-homes-revealed</t>
  </si>
  <si>
    <t>Top 50 Homes</t>
  </si>
  <si>
    <t>Dubai: British, Indian and Russian buyers among top investors in property market in Q2</t>
  </si>
  <si>
    <t>https://www.khaleejtimes.com/business/property/dubai-british-indian-and-russian-among-top-investors-in-property-market-in-q2</t>
  </si>
  <si>
    <t xml:space="preserve">Money Control </t>
  </si>
  <si>
    <t>Investing abroad: Should you consider buying a second home in Dubai?</t>
  </si>
  <si>
    <t>https://www.moneycontrol.com/news/business/real-estate/investing-abroad-should-you-consider-buying-a-second-home-in-dubai-10965401.html</t>
  </si>
  <si>
    <t>Dubai's 10 'best' homes revealed</t>
  </si>
  <si>
    <t>https://www.zawya.com/en/business/real-estate/dubais-10-best-homes-revealed-il4crxtg</t>
  </si>
  <si>
    <t>https://www.zawya.com/en/business/real-estate/dubai-realty-posts-37-q2-growth-as-ultra-rich-rush-in-j94zfwoo</t>
  </si>
  <si>
    <t>https://www.khaleejtimes.com/business/dubai-realty-posts-37-q2-growth-as-ultra-rich-rush-in</t>
  </si>
  <si>
    <t>What are the most promising upcoming neighbourhoods in Dubai?</t>
  </si>
  <si>
    <t>https://www.khaleejtimes.com/business/what-are-the-most-promising-upcoming-neighbourhoods-in-dubai</t>
  </si>
  <si>
    <t>https://www.zawya.com/en/business/real-estate/what-are-the-most-promising-upcoming-neighbourhoods-in-dubai-f2cailrd</t>
  </si>
  <si>
    <t>Dubai’s commercial real estate transactions surge 101% in Q2</t>
  </si>
  <si>
    <t>https://www.khaleejtimes.com/business/dubais-commercial-real-estate-transactions-surge-101-in-q2</t>
  </si>
  <si>
    <t xml:space="preserve">CRC </t>
  </si>
  <si>
    <t>Norwegians second biggest buyers of Dubai commercial real estate</t>
  </si>
  <si>
    <t>https://www.zawya.com/en/business/real-estate/norwegians-second-biggest-buyers-of-dubai-commercial-real-estate-cfzxoqfu</t>
  </si>
  <si>
    <t>Dubai waterfront villa prices set to rise further due to limited supply</t>
  </si>
  <si>
    <t>https://www.khaleejtimes.com/business/dubai-waterfront-villa-prices-set-to-rise-further-due-to-limited-supply</t>
  </si>
  <si>
    <t>Dubai real estate: Off-plan property resurgence fuels market boom amid rising population</t>
  </si>
  <si>
    <t>https://www.arabianbusiness.com/industries/real-estate/dubai-real-estate-off-plan-property-resurgence-fuels-market-boom-amid-rising-population</t>
  </si>
  <si>
    <t>Off-plan</t>
  </si>
  <si>
    <t>As Dubai property market nears peak, ready homes get buyers’ full attention</t>
  </si>
  <si>
    <t>https://gulfnews.com/business/property/as-dubai-property-market-nears-peak-ready-homes-get-buyers-full-attention-1.97161895</t>
  </si>
  <si>
    <t>Dubai commercial property sees high demand</t>
  </si>
  <si>
    <t>https://www.khaleejtimes.com/business/dubai-commercial-property-sees-high-demand</t>
  </si>
  <si>
    <t>https://www.zawya.com/en/business/real-estate/dubai-commercial-property-sees-high-demand-c2lxyinv</t>
  </si>
  <si>
    <t>Norwegians return to Dubai commercial property sector</t>
  </si>
  <si>
    <t>https://www.agbi.com/articles/norwegians-return-dubai-commercial-property-sector/</t>
  </si>
  <si>
    <t>Dubai, Abu Dhabi real estate markets cash in as soaring investor confidence fuels UAE off-plan property boom</t>
  </si>
  <si>
    <t>https://www.arabianbusiness.com/industries/real-estate/dubai-abu-dhabi-real-estate-markets-cash-in-as-soaring-investor-confidence-fuels-uae-off-plan-property-boom</t>
  </si>
  <si>
    <t>Russians bucking trend in Dubai with bigger, pricier homes</t>
  </si>
  <si>
    <t>https://www.agbi.com/articles/russians-bigger-long-term-dubai-homes/?utm_source=linkedin&amp;utm_medium=social&amp;utm_campaign=awa&amp;utm_content=russians_dubai_villas-img&amp;utm_term=feed-real_estate</t>
  </si>
  <si>
    <t>House-hunting? Download these real estate apps in Dubai</t>
  </si>
  <si>
    <t>https://www.timeoutdubai.com/moving-to-dubai/real-estate-apps-in-dubai</t>
  </si>
  <si>
    <t>Watson (France)</t>
  </si>
  <si>
    <t>From Switzerland to Dubai: Russian oligarchs move their money</t>
  </si>
  <si>
    <t>https://www.watson.ch/fr/economie/russie/982986502-de-la-paradeplatz-a-dubai-les-riches-russes-deplacent-leur-argent</t>
  </si>
  <si>
    <t>Prian (Russia)</t>
  </si>
  <si>
    <t>The most Russian districts of Dubai: where investors from the Russian Federation buy real estate</t>
  </si>
  <si>
    <t>https://prian.ru/pub/samye-russkie-rayony-dubaya-gde-pokupayut-nedvizhimost-investory-iz-rf.html</t>
  </si>
  <si>
    <t>What's next for the Dubai property market?</t>
  </si>
  <si>
    <t>https://www.thenationalnews.com/weekend/2023/07/28/whats-next-for-the-dubai-property-market/</t>
  </si>
  <si>
    <t>Rents in Dubai: Up to Dh20,000 discount on fewer cheque payments</t>
  </si>
  <si>
    <t>https://www.khaleejtimes.com/life-and-living/housing-in-uae/rents-in-dubai-up-to-dh20000-discount-on-fewer-cheque-payments?_refresh=true</t>
  </si>
  <si>
    <t>Rents in Dubai: Up to $5,500 discount on fewer cheque payments</t>
  </si>
  <si>
    <t>https://www.zawya.com/en/business/real-estate/rents-in-dubai-up-to-5-500-discount-on-fewer-cheque-payments-snyex3vu</t>
  </si>
  <si>
    <t>How is off-plan investment different from investing in ready properties?</t>
  </si>
  <si>
    <t>https://www.khaleejtimes.com/business/how-is-off-plan-investment-different-from-investing-in-ready-properties#:~:text=Unlike%20off%2Dplan%20investments%2C%20ready,in%20the%20completion%20of%20construction.</t>
  </si>
  <si>
    <t xml:space="preserve">CNN </t>
  </si>
  <si>
    <t>Which is better.. buying or renting real estate? The experts answer</t>
  </si>
  <si>
    <t>https://cnnbusinessarabic.com/real-estate-construction/34375/%D8%A3%D9%8A%D9%87%D9%85%D8%A7-%D8%A3%D9%81%D8%B6%D9%84-%D8%B4%D8%B1%D8%A7%D8%A1-%D8%A7%D9%84%D8%B9%D9%82%D8%A7%D8%B1%D8%A7%D8%AA-%D8%A3%D9%85-%D8%A7%D8%B3%D8%AA%D8%A6%D8%AC%D8%A7%D8%B1%D9%87%D8%A7%D8%9F-%D8%A7%D9%84%D8%AE%D8%A8%D8%B1%D8%A7%D8%A1-%D9%8A%D8%AC%D9%8A%D8%A8%D9%88%D9%86</t>
  </si>
  <si>
    <t>The Surge Of Custom-Built Villas In Palm Jumeirah: Unveiling The Trend And Its Motivations</t>
  </si>
  <si>
    <t>https://menafn.com/1106880144/The-Surge-Of-Custom-Built-Villas-In-Palm-Jumeirah-Unveiling-The-Trend-And-Its-Motivations</t>
  </si>
  <si>
    <t>https://www.khaleejtimes.com/business/the-surge-of-custom-built-villas-in-palm-jumeirah-unveiling-the-trend-and-its-motivations</t>
  </si>
  <si>
    <t>Where are the best places to live in Dubai with children?</t>
  </si>
  <si>
    <t>https://www.thenationalnews.com/uae/2023/08/24/best-area-live-dubai-family/</t>
  </si>
  <si>
    <t>https://www.russiamatters.org/news/russia-review/russia-review-aug-18-25-2023</t>
  </si>
  <si>
    <t>Russia's economic woes have led to a flood of cash and sparked a real estate boom in the United Arab Emirates</t>
  </si>
  <si>
    <t>https://www.businessinsider.de/politik/international-politics/russlands-wirtschaftliche-probleme-haben-zu-flut-von-bargeld-gefuehrt-und-immobilienboom-in-den-vereinigten-arabischen-emiraten-ausgeloest/</t>
  </si>
  <si>
    <t>The Wall Street Journal</t>
  </si>
  <si>
    <t>U.A.E. Cashes In on Russia’s Economic Woes</t>
  </si>
  <si>
    <t>https://www.wsj.com/world/russia/u-a-e-cashes-in-on-russias-economic-woes-52700157</t>
  </si>
  <si>
    <t>News Arab</t>
  </si>
  <si>
    <t>UAE denies sanctions violations as it deepens economic ties with Russia</t>
  </si>
  <si>
    <t>https://www.newarab.com/news/uae-denies-sanctions-violations-it-deepens-russia-ties</t>
  </si>
  <si>
    <t>UAE free zones take lead in drawing new businesses as corporate tax rules become clear</t>
  </si>
  <si>
    <t>https://gulfnews.com/business/tax-news/uae-free-zones-take-lead-in-drawing-new-businesses-as-corporate-tax-rules-become-clear-1.1692591947595</t>
  </si>
  <si>
    <t>Russian people bring money to Dubai to invest in real estate</t>
  </si>
  <si>
    <t>https://tuoitre.vn/dan-nga-dem-tien-sang-dubai-dau-tu-bat-dong-san-20230823162821013.htm</t>
  </si>
  <si>
    <t>Logicno (Croatia)</t>
  </si>
  <si>
    <t>Massive withdrawal of capital from Switzerland to the Middle East</t>
  </si>
  <si>
    <t>https://www.logicno.com/politika/ogromno-povlacenje-kapitala-iz-svicarske-na-bliski-istok.html</t>
  </si>
  <si>
    <t>Cafe F (Vietnam)</t>
  </si>
  <si>
    <t>The attraction of the super-rich kingdom receives huge flows of assets from Russia</t>
  </si>
  <si>
    <t>https://cafef.vn/suc-hap-dan-cua-vuong-quoc-sieu-giau-don-nhan-dong-tai-san-khong-lo-tu-nga-188230906093157615.chn</t>
  </si>
  <si>
    <t>What are the best locations for an investor seeking to buy mid-range property in Dubai?</t>
  </si>
  <si>
    <t>https://www.khaleejtimes.com/business/what-are-the-best-locations-for-an-investor-seeking-to-buy-mid-range-property-in-dubai</t>
  </si>
  <si>
    <t>What Are The Best Locations For An Investor Seeking To Buy Mid-Range Property In Dubai?</t>
  </si>
  <si>
    <t>https://menafn.com/1107053466/What-Are-The-Best-Locations-For-An-Investor-Seeking-To-Buy-Mid-Range-Property-In-Dubai</t>
  </si>
  <si>
    <t>Russians snap up plots of land to build ‘Little Moscow’ in Dubai</t>
  </si>
  <si>
    <t>https://www.agbi.com/articles/russian-investors-dubai-real-estate-little-moscow/</t>
  </si>
  <si>
    <t>Dubai real estate: How much property does $1 million buy?</t>
  </si>
  <si>
    <t>https://www.arabianbusiness.com/industries/real-estate/dubai-real-estate-how-much-property-does-1-million-buy</t>
  </si>
  <si>
    <t>WAM (China)</t>
  </si>
  <si>
    <t>Dubai real estate market booms as people queue up to buy luxury properties</t>
  </si>
  <si>
    <t>https://www.wam.ae/zh-CN/details/1395303200431</t>
  </si>
  <si>
    <t>Vietnam Net (Vietnam)</t>
  </si>
  <si>
    <t>Rich people camp overnight waiting to buy artificial island villas in Dubai</t>
  </si>
  <si>
    <t>https://vietnamnet.vn/cam-trai-xuyen-dem-xep-hang-tu-3h-sang-cho-mua-biet-thu-dao-o-dubai-2193119.html</t>
  </si>
  <si>
    <t>WAM (Turkish)</t>
  </si>
  <si>
    <t>How is Dubai managing real estate growth?</t>
  </si>
  <si>
    <t>https://wam.ae/tr/details/1395303201169</t>
  </si>
  <si>
    <t>Euro Money</t>
  </si>
  <si>
    <t>How banks are leveraging Dubai’s wealth influx</t>
  </si>
  <si>
    <t>https://www.euromoney.com/article/2c7hhpbvmjlgur7y0wcn4/wealth/how-banks-are-leveraging-dubais-wealth-influx</t>
  </si>
  <si>
    <t>WAM (English)</t>
  </si>
  <si>
    <t>https://www.wam.ae/en/details/1395303200418</t>
  </si>
  <si>
    <t>Rent 101: Everything you need to know about renting in Dubai right now</t>
  </si>
  <si>
    <t>https://www.timeoutdubai.com/things-to-do/renting-in-dubai-2023-guide</t>
  </si>
  <si>
    <t>Russian investors occupy land plots to build ‘Little Moscow’ in Dubai</t>
  </si>
  <si>
    <t>https://www.constructionweekonline.com/projects-tenders/russian-investors-occupy-land-plots-to-build-little-moscow-in-dubai</t>
  </si>
  <si>
    <t>DP (Russia)</t>
  </si>
  <si>
    <t>Russian investors are buying up plots in Dubai to build “Little Moscow”</t>
  </si>
  <si>
    <t>https://www.dp.ru/a/2023/10/03/rossijskie-investori-skupajut</t>
  </si>
  <si>
    <t>How much do I have to pay an agent to buy a home in Dubai’s Emirates Hills?</t>
  </si>
  <si>
    <t>https://www.khaleejtimes.com/business/how-much-do-i-have-to-pay-an-agent-to-buy-a-home-in-dubais-emirates-hills</t>
  </si>
  <si>
    <t>Dubai real estate: Casino hype boosts demand, China eyes UAE property market</t>
  </si>
  <si>
    <t>https://www.arabianbusiness.com/industries/real-estate/dubai-real-estate-rak-casino-china-uae-property-market</t>
  </si>
  <si>
    <t>Betterhomes appoints Louis Harding as new Managing Director</t>
  </si>
  <si>
    <t>https://www.zawya.com/en/press-release/people-in-the-news/betterhomes-appoints-louis-harding-as-new-managing-director-sncasc5v</t>
  </si>
  <si>
    <t>Prime Resi</t>
  </si>
  <si>
    <t>Dubai firm recruits top prime London estate agency boss</t>
  </si>
  <si>
    <t>https://primeresi.com/dubai-firm-recruits-top-prime-london-estate-agency-boss/</t>
  </si>
  <si>
    <t>In Dubai residential rentals, co-living spaces now emerge as popular choices with new residents</t>
  </si>
  <si>
    <t>https://gulfnews.com/business/property/in-dubai-residential-rentals-co-living-spaces-now-emerge-as-popular-choices-with-new-residents-1.98594038</t>
  </si>
  <si>
    <t>Big demand surge fuels Dubai's off-plan market</t>
  </si>
  <si>
    <t>https://www.khaleejtimes.com/business/big-demand-surge-fuels-dubais-off-plan-market</t>
  </si>
  <si>
    <t>Dubai Realty Matures As End-Users Dominate</t>
  </si>
  <si>
    <t>Dubai Realty Matures As End-Users Dominate | MENAFN.COM</t>
  </si>
  <si>
    <t>Where is the cold?! Why is the Dubai real estate market gaining momentum, although they predicted otherwise?</t>
  </si>
  <si>
    <t>https://prian.ru/pub/da-gde-zhe-holod-pochemu-rynok-nedvizhimosti-dubaya-nabiraet-oboroty-hotya-prognozirovali-inoe.html</t>
  </si>
  <si>
    <t>Mansion Global</t>
  </si>
  <si>
    <t>Demand for Off-Plan Property Surges 35% in Dubai</t>
  </si>
  <si>
    <t>https://www.mansionglobal.com/articles/abu-dhabis-most-expensive-house-is-now-a-spec-megamansion-asking-aed-98-million-1d6b7c2?mod=sponsored_main</t>
  </si>
  <si>
    <t>Dubai’s secondary market sales up 31% in September</t>
  </si>
  <si>
    <t>https://www.khaleejtimes.com/business/dubais-secondary-market-sales-up-31-in-september</t>
  </si>
  <si>
    <t>Dubai real estate: Commercial property market demand rises in Q3 2023</t>
  </si>
  <si>
    <t>https://www.arabianbusiness.com/industries/real-estate/dubai-real-estate-commercial-property-market-demand-rises-in-q3-2023</t>
  </si>
  <si>
    <t>Dubai: Why it is the right time to buy off-plan properties</t>
  </si>
  <si>
    <t>https://www.zawya.com/en/business/real-estate/dubai-why-it-is-the-right-time-to-buy-off-plan-properties-ru841oov</t>
  </si>
  <si>
    <t>https://www.khaleejtimes.com/uae/dubai-why-it-is-the-right-time-to-buy-off-plan-properties</t>
  </si>
  <si>
    <t xml:space="preserve">Skift </t>
  </si>
  <si>
    <t>Russian Tourists Opt to Become Dubai Residents</t>
  </si>
  <si>
    <t>https://skift.com/2023/10/16/russian-tourists-opt-to-become-dubai-residents/</t>
  </si>
  <si>
    <t>Dubai realty matures as end-users dominate</t>
  </si>
  <si>
    <t>https://www.khaleejtimes.com/business/dubai-realty-matures-as-end-users-dominate</t>
  </si>
  <si>
    <t>How Dubai is managing its property boom</t>
  </si>
  <si>
    <t>https://www.thenationalnews.com/opinion/editorial/2023/09/22/dubai-property-market-uae/</t>
  </si>
  <si>
    <t>E News (Russia)</t>
  </si>
  <si>
    <t>Russians again accused of raising the cost of living in Dubai</t>
  </si>
  <si>
    <t>https://e-vesti.ru/ru/rossiyan-snova-obvinili-v-udorozhanii-zhizni-v-dubae/</t>
  </si>
  <si>
    <t>Dubai: How is off-plan investment different from investing in ready properties?</t>
  </si>
  <si>
    <t>https://www.khaleejtimes.com/ta/business/dubai-how-is-off-plan-investment-different-from-investing-in-ready-properties</t>
  </si>
  <si>
    <t>https://www.zawya.com/en/business/real-estate/dubai-how-is-off-plan-investment-different-from-investing-in-ready-properties-a57lufb5</t>
  </si>
  <si>
    <t>Is now the right time to sell your UAE property?</t>
  </si>
  <si>
    <t>https://www.thenationalnews.com/weekend/2023/11/03/is-now-the-right-time-to-sell-your-uae-property/</t>
  </si>
  <si>
    <t>Dubai’s ‘super stable’ status ensures its real estate market keeps attracting Pakistanis</t>
  </si>
  <si>
    <t>https://www.brecorder.com/news/40271440</t>
  </si>
  <si>
    <t>BW Hindi (India)</t>
  </si>
  <si>
    <t>This foreign city is a hot destination for Indians, they are buying property in abundance</t>
  </si>
  <si>
    <t>https://www.bwhindi.com/real-estate-news/group-108-to-redefine-it-and-ites-sector-of-noida-soon-57700.html</t>
  </si>
  <si>
    <t>Bloomberg (Canada)</t>
  </si>
  <si>
    <t>Russians Lose Taste for Suddenly Pricey Dubai Property</t>
  </si>
  <si>
    <t>https://www.bnnbloomberg.ca/russians-lose-taste-for-suddenly-pricey-dubai-property-1.1994910</t>
  </si>
  <si>
    <t>Epravda (Russia)</t>
  </si>
  <si>
    <t>The real estate boom in Dubai on the money taken out of Russia is over - Bloomberg</t>
  </si>
  <si>
    <t>https://www.epravda.com.ua/news/2023/11/7/706307/</t>
  </si>
  <si>
    <t>https://www.bloomberg.com/news/articles/2023-11-07/dubai-real-estate-russians-slow-purchases-of-pricey-properties-with-ruble-fall#xj4y7vzkg</t>
  </si>
  <si>
    <t>Bloomberg (Bulgaria)</t>
  </si>
  <si>
    <t>The Russian property boom in Dubai seems to be over</t>
  </si>
  <si>
    <t>https://www.bloombergtv.bg/a/8-novini-ot-sveta/123646-bumat-na-ruskite-imoti-v-dubay-izglezhda-e-priklyuchil</t>
  </si>
  <si>
    <t>Vedomosti (Russia)</t>
  </si>
  <si>
    <t>The media reported a sharp drop in demand among Russians for real estate in Dubai</t>
  </si>
  <si>
    <t>https://www.vedomosti.ru/realty/news/2023/11/07/1004505-smi-soobschili</t>
  </si>
  <si>
    <t>China’s Property Risks ‘Manageable,’ PBOC Governor Says</t>
  </si>
  <si>
    <t>https://www.bloomberg.com/news/articles/2023-11-10/china-s-property-risks-manageable-pboc-governor-says#xj4y7vzkg</t>
  </si>
  <si>
    <t>Rising rents spur changes in Dubai realty buyer profiles</t>
  </si>
  <si>
    <t>https://www.khaleejtimes.com/business/rising-rents-spur-changes-in-dubai-realty-buyer-profiles</t>
  </si>
  <si>
    <t>The Print</t>
  </si>
  <si>
    <t>https://theprint.ae/rising-rents-spur-changes-in-dubai-realty-buyer-profiles/</t>
  </si>
  <si>
    <t>https://www.zawya.com/en/business/real-estate/rising-rents-spur-changes-in-dubai-realty-buyer-profiles-abtx6ehd</t>
  </si>
  <si>
    <t>Indians surpass Britons to become largest real estate investors in Dubai, Russians down at No. 3: Report</t>
  </si>
  <si>
    <t>https://www.businesstoday.in/real-estate/story/indians-surpass-britons-to-become-largest-real-estate-investors-in-dubai-russians-down-at-no-3-report-405667-2023-11-14</t>
  </si>
  <si>
    <t>The Economic Times (India)</t>
  </si>
  <si>
    <t>Indians now top property investors in Dubai</t>
  </si>
  <si>
    <t>https://www.msn.com/en-in/money/markets/indians-now-top-property-investors-in-dubai/ar-AA1jTUVf</t>
  </si>
  <si>
    <t>Navbharattimes (The Times Of India)</t>
  </si>
  <si>
    <t>Indians are buying property extensively in Dubai, becoming the biggest real estate investors by defeating the British.</t>
  </si>
  <si>
    <t>https://navbharattimes.indiatimes.com/business/property/property-news/indians-are-now-largest-real-estate-investors-in-dubai-surpass-briton/articleshow/105214830.cms</t>
  </si>
  <si>
    <t>The Times Of India</t>
  </si>
  <si>
    <t>Lure of Golden visa or investment returns?</t>
  </si>
  <si>
    <t>https://timesofindia.indiatimes.com/business/india-business/lure-of-golden-visa-or-investment-returns-indians-become-largest-real-investors-in-dubai-dethrone-british/articleshow/105239896.cms?from=mdr</t>
  </si>
  <si>
    <t>Financial Daily (Dutch)</t>
  </si>
  <si>
    <t>Rus is niet meer zo happig op een stulpje in Dubai</t>
  </si>
  <si>
    <t>https://fd.nl/economie/1495848/rus-is-niet-meer-zo-happig-op-een-stulpje-in-dubai</t>
  </si>
  <si>
    <t>Business Petersburg</t>
  </si>
  <si>
    <t>Russians set a 10-year record for real estate transactions in Spain</t>
  </si>
  <si>
    <t>https://www.dp.ru/a/2023/11/16/rossijane-postavili-rekord</t>
  </si>
  <si>
    <t>The Arucas Gazette</t>
  </si>
  <si>
    <t>Dubai Real Estate Market: Investor Changes and Golden Visa Opportunities</t>
  </si>
  <si>
    <t>https://www.lagacetadearucas.es/noticias/new-article-indians-top-homebuyers-in-dubai-as-real-estate-market-shifts/105493/#gsc.tab=0</t>
  </si>
  <si>
    <t>Dubai rents: Expo Village, Jumeirah Village Circle emerge top choices for new residents in city</t>
  </si>
  <si>
    <t>https://gulfnews.com/business/property/dubai-rents-expo-village-jumeirah-village-circle-emerge-top-choices-for-new-residents-in-city-1.1700194022967</t>
  </si>
  <si>
    <t>Forbes ME + In print</t>
  </si>
  <si>
    <t>Exclusive: Property Legacy Amira Sajwani Is Transforming Real Estate Digitally With PRYPCO</t>
  </si>
  <si>
    <t>https://www.forbesmiddleeast.com/innovation/under-30/amira-sajwani-1</t>
  </si>
  <si>
    <t>Daily Guardian</t>
  </si>
  <si>
    <t>https://dailyguardian.ae/business/rising-rents-spur-changes-in-dubai-realty-buyer-profiles/</t>
  </si>
  <si>
    <t>Msk1 (Russia)</t>
  </si>
  <si>
    <t>Russians began to abandon real estate in Dubai. Where do people buy square meters now?</t>
  </si>
  <si>
    <t>https://msk1.ru/text/realty/2023/11/21/72921182/</t>
  </si>
  <si>
    <t>Dubai real estate: Luxury property market sees high demand in October</t>
  </si>
  <si>
    <t>https://www.arabianbusiness.com/industries/real-estate/dubai-real-estate-luxury-property-market-sees-high-demand-in-october</t>
  </si>
  <si>
    <t>Realty boom: In poll season, sales up with 448 new projects</t>
  </si>
  <si>
    <t>https://timesofindia.indiatimes.com/city/bhopal/realty-boom-in-poll-season-sales-up-with-448-new-projects/articleshow/105400439.cms</t>
  </si>
  <si>
    <t>Dubai realty stands out in October</t>
  </si>
  <si>
    <t>https://www.khaleejtimes.com/ta/business/dubai-realty-stands-out-in-october</t>
  </si>
  <si>
    <t>https://dailyguardian.ae/business/dubai-realty-stands-out-in-october/</t>
  </si>
  <si>
    <t>Dubai real estate: Is it better to fix a mortgage now or next year? Experts weigh in</t>
  </si>
  <si>
    <t>https://www.arabianbusiness.com/industries/real-estate/dubai-real-estate-is-it-better-to-fix-a-mortgage-now-or-next-year-experts-weigh-in</t>
  </si>
  <si>
    <t>VC (Russia)</t>
  </si>
  <si>
    <t xml:space="preserve">UAE banks began to tighten inspections of Russian companies under US pressure -Bloomberg </t>
  </si>
  <si>
    <t>https://vc.ru/money/927836-banki-oae-stali-uzhestochat-proverki-rossiyskih-kompaniy-pod-davleniem-ssha-bloomberg</t>
  </si>
  <si>
    <t>bwhindi.com</t>
  </si>
  <si>
    <t>https://www.bwhindi.com/real-estate-news/35-percent-of-stalled-housing-projects-are-in-noida-57987.html</t>
  </si>
  <si>
    <t>Why a Luxury Property Executive Decamped From London to Dubai</t>
  </si>
  <si>
    <t>https://www.bloomberg.com/news/articles/2023-11-27/a-london-luxury-property-executive-decamps-to-dubai</t>
  </si>
  <si>
    <t>Dubai real estate: When is the ‘best time’ to buy property? Experts reveal</t>
  </si>
  <si>
    <t>https://www.arabianbusiness.com/industries/real-estate/dubai-real-estate-when-is-the-best-time-to-buy-property-experts-reveal</t>
  </si>
  <si>
    <t>ryb.ru</t>
  </si>
  <si>
    <t>Russians are massively selling luxury housing in Dubai and buying apartments in Sochi</t>
  </si>
  <si>
    <t>https://ryb.ru/2023/12/05/1990463</t>
  </si>
  <si>
    <t>DNA</t>
  </si>
  <si>
    <t>How to invest in Dubai real estate from India: The ultimate guide</t>
  </si>
  <si>
    <t>https://www.dnaindia.com/personal-finance/report-how-to-invest-in-dubai-real-estate-from-india-the-ultimate-guide-3070821</t>
  </si>
  <si>
    <t>Dubai: Rents to continue rising in 2024, but at a slower pace</t>
  </si>
  <si>
    <t>https://www.zawya.com/en/business/real-estate/dubai-rents-to-continue-rising-in-2024-but-at-a-slower-pace-gm3ddtnu</t>
  </si>
  <si>
    <t>news.eseuro</t>
  </si>
  <si>
    <t xml:space="preserve"> Market trends, demands and more; Dubai to witness increase in rental prices in 2024</t>
  </si>
  <si>
    <t>https://news.eseuro.com/local/2735982.html</t>
  </si>
  <si>
    <t>Dubai: Tenants increasingly entering multiple-year contracts as rents continue to rise in 2024</t>
  </si>
  <si>
    <t>https://www.khaleejtimes.com/business/realty/dubai-tenants-increasingly-entering-multiple-year-contracts-as-rents-continue-to-rise-in-2024</t>
  </si>
  <si>
    <t>Curly Tales</t>
  </si>
  <si>
    <t>Market Trends, Demands &amp; More; Dubai To Witness A Rental Price Surge In 2024</t>
  </si>
  <si>
    <t>https://curlytales.com/market-trends-demands-dubai-to-witness-a-rental-price-surge-in-2024/</t>
  </si>
  <si>
    <t>INSC Digital Magazine</t>
  </si>
  <si>
    <t>FRONTIERS OF EXCELLENCE: FAME DELIVERED’S TOP 10 GLOBAL REAL ESTATE PUNTERS 2023 REVEALED</t>
  </si>
  <si>
    <t>https://theinscribermag.com/frontiers-of-excellence-fame-delivereds-top-10-global-real-estate-punters-2023-revealed/</t>
  </si>
  <si>
    <t>Short vs. long-term rentals: Which leasing strategy offers better ROI for Dubai landlords?</t>
  </si>
  <si>
    <t>https://www.arabianbusiness.com/industries/real-estate/short-vs-long-term-rentals-which-leasing-strategy-offers-better-roi-for-dubai-landlords</t>
  </si>
  <si>
    <t>Short-term rentals gain popularity in Dubai</t>
  </si>
  <si>
    <t>https://www.khaleejtimes.com/business/short-term-rentals-gain-popularity-in-dubai</t>
  </si>
  <si>
    <t>Time Bulletin</t>
  </si>
  <si>
    <t>Beyond borders: FAME Delivered Presents the Definitive List of Top 10 Real Estate Punters Worldwide</t>
  </si>
  <si>
    <t>https://www.timebulletin.com/beyond-borders-fame-delivered-presents-the-definitive-list-of-top-10-real-estate-punters-worldwide/</t>
  </si>
  <si>
    <t>Building Tomorrow: FAME Delivered Releases Top 10 Global Real Estate Punters of 2023</t>
  </si>
  <si>
    <t>https://www.digitaljournal.com/pr/news/globe-pr-wire/building-tomorrow-fame-delivered-releases-top-10-global-real-estate-punters-of-2023#ixzz8MX201QJz</t>
  </si>
  <si>
    <t>Beverly Hills of Dubai Shows India’s Wealthy Splurging Millions</t>
  </si>
  <si>
    <t>https://www.bloomberg.com/news/features/2023-12-15/wealthy-indians-splurge-on-dubai-s-luxury-real-estate</t>
  </si>
  <si>
    <t>Real estate companies flocked to Ayodhya due to the glow of Ram Mandir.</t>
  </si>
  <si>
    <t>https://www.bwhindi.com/real-estate-news/this-real-estate-developer-invested-300-crore-in-ayodhya-58205.html</t>
  </si>
  <si>
    <t>Investor.bg</t>
  </si>
  <si>
    <t>Rich Indians spend millions to live in Dubai's Beverly Hills</t>
  </si>
  <si>
    <t>https://www.investor.bg/a/534-novini/386207-bogati-indiytsi-harchat-milioni-za-da-zhiveyat-v-bevarli-hils-na-dubay</t>
  </si>
  <si>
    <t>Our Middle East: how the Russians changed the real estate market in the Emirates</t>
  </si>
  <si>
    <t>https://www.dp.ru/a/2023/12/19/blizhnij-nam-vostok-kak-rossijane</t>
  </si>
  <si>
    <t>UAE real estate: Property experts share 5 trends for investors in 2024</t>
  </si>
  <si>
    <t>https://www.arabianbusiness.com/industries/real-estate/uae-real-estate-property-experts-share-5-trends-for-investors-in-2024</t>
  </si>
  <si>
    <t>2024 property market forecasts: The 5 trends you need to know</t>
  </si>
  <si>
    <t>https://www.constructionweekonline.in/business/2024-property-market-forecasts-the-5-trends-you-need-to-know</t>
  </si>
  <si>
    <t>Dubai real estate: When is the 'right time' to sell your property?</t>
  </si>
  <si>
    <t>https://www.arabianbusiness.com/industries/real-estate/dubai-real-estate-when-is-the-right-time-to-sell-your-property</t>
  </si>
  <si>
    <t>Albayan.ae</t>
  </si>
  <si>
    <t>Expect a faster pace of real estate sector projects in the UAE during 2024</t>
  </si>
  <si>
    <t>https://www.albayan.ae/economy/uae/2023-12-21-1.4787683</t>
  </si>
  <si>
    <r>
      <rPr>
        <color rgb="FF1155CC"/>
        <u/>
      </rPr>
      <t>News.ES</t>
    </r>
    <r>
      <rPr/>
      <t>Euro</t>
    </r>
  </si>
  <si>
    <t>Property owners in Dubai are increasingly choosing to invest as prices reach an all-time high – News –.</t>
  </si>
  <si>
    <t>https://news.eseuro.com/trends/2839465.html</t>
  </si>
  <si>
    <t>Dubai property owners increasingly opting for flipping as prices hit all-time high</t>
  </si>
  <si>
    <t>https://www.zawya.com/en/business/real-estate/dubai-property-owners-increasingly-opting-for-flipping-as-prices-hit-all-time-high-gowl4ibz</t>
  </si>
  <si>
    <t>CRC, Betterhomes Group company and Dubai's largest commercial real estate agency, released their 2021 Dubai Commercial Property Market Report</t>
  </si>
  <si>
    <t>https://www.zawya.com/uae/en/story/amp/ZAWYA20220125075208/</t>
  </si>
  <si>
    <t>Property News</t>
  </si>
  <si>
    <t xml:space="preserve">Betterhomes: Dubai real estate at all-time high after banner year in 2021
</t>
  </si>
  <si>
    <t>https://www.propertynews.ae/general/press-release/betterhomes-dubai-real-estate-at-all-time-high-after-banner-year-in-2021/</t>
  </si>
  <si>
    <t>Dubai: Real estate boom to continue; 36,000 residential units to come online in 2022</t>
  </si>
  <si>
    <t>https://www.khaleejtimes.com/property/dubai-real-estate-boom-to-continue-36000-residential-units-to-come-online-in-2022</t>
  </si>
  <si>
    <t xml:space="preserve">Arabian Business </t>
  </si>
  <si>
    <t>2021 seen as ‘major turning point’ for Dubai office market after Covid shock</t>
  </si>
  <si>
    <t>https://www.arabianbusiness.com/industries/real-estate/2021-seen-as-major-turning-point-for-dubai-office-market-after-covid-shock</t>
  </si>
  <si>
    <t>The National</t>
  </si>
  <si>
    <t>Top 7 mistakes to avoid when selling your home</t>
  </si>
  <si>
    <t>https://www.thenationalnews.com/weekend/2022/03/18/top-7-mistakes-to-avoid-when-selling-your-home/</t>
  </si>
  <si>
    <t>Demand and prices on the rise for townhouses and apartments in Q1 2022</t>
  </si>
  <si>
    <t>https://www.zawya.com/en/press-release/companies-news/demand-and-prices-on-the-rise-for-townhouses-and-apartments-in-q1-2022-dp9dk0s7</t>
  </si>
  <si>
    <t>In Dubai, villa owners find no takers for sudden price hikes of 10% and more</t>
  </si>
  <si>
    <t>https://gulfnews.com/business/property/in-dubai-villa-owners-find-no-takers-for-sudden-price-hikes-of-10-and-more-1.1650345406229</t>
  </si>
  <si>
    <t>Russians Climb Dubai Property Ladder as Sanctions Imperil Wealth</t>
  </si>
  <si>
    <t>https://www.bloomberg.com/news/articles/2022-04-19/russians-climb-dubai-property-ladder-as-sanctions-imperil-wealth</t>
  </si>
  <si>
    <t>Dubai’s commercial property market soars as post Covid confidence leads to strongest quarter since 2016</t>
  </si>
  <si>
    <t>https://www.arabianbusiness.com/money/wealth/money-wealth-real-estate/dubais-commercial-property-market-soars-as-post-covid-confidence-leads-to-strongest-quarter-since-2016</t>
  </si>
  <si>
    <t>Five renovations that could actually lower the value of your home</t>
  </si>
  <si>
    <t>https://www.thenationalnews.com/weekend/2022/04/22/five-renovations-that-could-actually-lower-the-value-of-your-home/</t>
  </si>
  <si>
    <t>Arab news</t>
  </si>
  <si>
    <t>Dubai property purchases by Russians up 67% in Q1 of 2022</t>
  </si>
  <si>
    <t>https://www.arabnews.com/node/2066971/business-economy</t>
  </si>
  <si>
    <t>Rising Oil Prices a Boon for Saudi Economy</t>
  </si>
  <si>
    <t>https://www.bloomberg.com/news/newsletters/2022-04-25/rising-oil-prices-a-boon-for-saudi-arabia-s-economy</t>
  </si>
  <si>
    <t>BBC News</t>
  </si>
  <si>
    <t>Wealthy Russians flee to Dubai to avoid sanctions</t>
  </si>
  <si>
    <t>https://www.bbc.com/news/business-61257448</t>
  </si>
  <si>
    <t>Mirror</t>
  </si>
  <si>
    <t>Russian firms and billionaires flee to Dubai to avoid sanctions over Putin's Ukraine war</t>
  </si>
  <si>
    <t>https://www.mirror.co.uk/news/world-news/russian-firms-billionaires-flee-dubai-26885574</t>
  </si>
  <si>
    <t>International Investment</t>
  </si>
  <si>
    <t>Two thirds surge in Dubai property sales to Russians</t>
  </si>
  <si>
    <t>https://www.internationalinvestment.net/news/4049274/thirds-surge-dubai-property-sales-russians</t>
  </si>
  <si>
    <t>Arise news</t>
  </si>
  <si>
    <t>Wealthy Russians Flee to Dubai to Avoid Sanctions</t>
  </si>
  <si>
    <t>https://www.arise.tv/wealthy-russians-flee-to-dubai-to-avoid-sanctions/</t>
  </si>
  <si>
    <t>Russian billionaires arriving in UAE in 'unprecedented numbers'</t>
  </si>
  <si>
    <t>https://www.arabnews.com/node/2076071/business-economy</t>
  </si>
  <si>
    <t>UniverseNews Network</t>
  </si>
  <si>
    <t>Ryan Mahoney (Dubai, UAE): CRC Market Report on Commercial Properties</t>
  </si>
  <si>
    <t>https://www.universenewsnetwork.com/2022/05/12/ryan-mahoney-dubai-uae-crc-market-report-on-commercial-properties/</t>
  </si>
  <si>
    <t>Business Mole</t>
  </si>
  <si>
    <t>http://www.businessmole.com/ryan-mahoney-dubai-uae-crc-market-report-on-commercial-properties/</t>
  </si>
  <si>
    <t>CRC, pulls off a three-floor office space deal, in One by Omniyat, Business Bay</t>
  </si>
  <si>
    <t>https://www.zawya.com/en/press-release/companies-news/crc-pulls-off-a-three-floor-office-space-deal-in-one-by-omniyat-business-bay-xgtmuzna</t>
  </si>
  <si>
    <t>Leadership News</t>
  </si>
  <si>
    <t>Ukraine War: Russians Flee To Dubai To Avoid Sanctions</t>
  </si>
  <si>
    <t>https://leadership.ng/ukraine-war-russians-flee-to-dubai-to-avoid-sanctions/</t>
  </si>
  <si>
    <t>Cronella News</t>
  </si>
  <si>
    <t>To avoid sanctions, Russians flee to Dubai</t>
  </si>
  <si>
    <t>https://cronullanews.sydney/article/46343/to-avoid-sanctions-russians-flee-to-dubai/</t>
  </si>
  <si>
    <t>Nine questions to ask if you plan to rent or buy a property</t>
  </si>
  <si>
    <t>https://www.thenationalnews.com/weekend/2022/05/27/nine-questions-to-ask-if-you-plan-to-rent-or-buy-a-property/</t>
  </si>
  <si>
    <t>What UAE families can do to keep down the cost of living</t>
  </si>
  <si>
    <t>https://www.thenationalnews.com/uae/2022/05/29/what-uae-families-can-do-to-keep-down-the-cost-of-living/</t>
  </si>
  <si>
    <t>BH Mortgages</t>
  </si>
  <si>
    <t>Dubai rents to pick up further in 2022</t>
  </si>
  <si>
    <t>https://www.khaleejtimes.com/property/dubai-rents-to-pick-up-further-in-2022</t>
  </si>
  <si>
    <t>The increase in interest rates has created an all-time high on mortgage applications</t>
  </si>
  <si>
    <t>https://www.arabianbusiness.com/opinion/the-increase-in-interest-rates-has-created-an-all-time-high-on-mortgage-applications</t>
  </si>
  <si>
    <t>Mena FM</t>
  </si>
  <si>
    <t>Dubai Rents To Pick Up Further In 2022</t>
  </si>
  <si>
    <t>https://menafn.com/1104294803/Dubai-Rents-To-Pick-Up-Further-In-2022</t>
  </si>
  <si>
    <t>Reality Titbit</t>
  </si>
  <si>
    <t>Love Island's Andrew Le Page jets between Dubai and Guernsey as an estate agent</t>
  </si>
  <si>
    <t>https://www.realitytitbit.com/dating/love-island/andrew-le-page-estate-agent</t>
  </si>
  <si>
    <t>Whats On</t>
  </si>
  <si>
    <t>A Dubai real estate agent is on the new series of Love Island</t>
  </si>
  <si>
    <t>https://whatson.ae/2022/05/a-dubai-real-estate-agent-is-on-the-new-series-of-love-island/</t>
  </si>
  <si>
    <t>Al Bawaba</t>
  </si>
  <si>
    <t>Bayut &amp; Dubizzle Wow Real Estate Fraternity with the Region’s Biggest Proptech Summit, b3dxb 2022</t>
  </si>
  <si>
    <t>https://www.albawaba.com/business/pr/bayut-dubizzle-wow-real-estate-fraternity-region%E2%80%99s-biggest-proptech-summit-b3dxb-2022</t>
  </si>
  <si>
    <t>This Dubai bar is hosting a Love Island screening party</t>
  </si>
  <si>
    <t>https://whatson.ae/2022/06/dubai-bar-the-cheeky-camel-love-island-screening-party/</t>
  </si>
  <si>
    <t>CRC witnessed the demand for quality commercial office space hit its highest peak since 2016</t>
  </si>
  <si>
    <t>https://www.zawya.com/en/press-release/companies-news/crc-witnessed-the-demand-for-quality-commercial-office-space-hit-its-highest-peak-since-2016-d8jtcq2t</t>
  </si>
  <si>
    <t>ME Contruction News</t>
  </si>
  <si>
    <t>Grade A commercial real estate sees surge in May 2022 says CRC</t>
  </si>
  <si>
    <t>https://meconstructionnews.com/52640/grade-a-commercial-real-estate-sees-surge-in-may-2022-says-crc</t>
  </si>
  <si>
    <t>Blacklist Dubai over failure to crack down on Russian oligarchs, say campaigners</t>
  </si>
  <si>
    <t>https://www.theguardian.com/world/2022/jun/11/blacklist-dubai-uae-over-russian-oligarchs-say-ukraine-campaigners</t>
  </si>
  <si>
    <t>The New Arab</t>
  </si>
  <si>
    <t>UAE a 'haven for oligarchs' that must be blacklisted:critics</t>
  </si>
  <si>
    <t>https://english.alaraby.co.uk/news/uae-haven-oligarchs-must-be-blacklistedcritics</t>
  </si>
  <si>
    <t>Euroeporter</t>
  </si>
  <si>
    <t>United Arab Emirates has emerged as a haven for Russians fleeing the impact of western sanctions - but how long will it last?</t>
  </si>
  <si>
    <t>https://www.eureporter.co/world/ukraine/2022/06/14/united-arab-emirates-has-emerged-as-a-haven-for-russians-fleeing-the-impact-of-western-sanctions-but-how-long-will-it-last/</t>
  </si>
  <si>
    <t>Russian investors in Dubai real estate have doubled in 2022, top brokers say</t>
  </si>
  <si>
    <t>https://www.zawya.com/en/business/real-estate/russian-investors-in-dubai-real-estate-have-doubled-in-2022-top-brokers-say-cdr6sqp0</t>
  </si>
  <si>
    <t>Dubai developers need to bring back longer post-handover payment plans to help offplan buyers</t>
  </si>
  <si>
    <t>https://gulfnews.com/business/property/dubai-developers-need-to-bring-back-longer-post-handover-payment-plans-to-help-offplan-buyers-1.1655783971158</t>
  </si>
  <si>
    <t>BH Off-Plan</t>
  </si>
  <si>
    <t>Has Dubai’s city centre turned towards Business Bay amid soaring property prices?</t>
  </si>
  <si>
    <t>https://www.thenationalnews.com/business/property/2022/06/21/has-dubais-city-centre-turned-towards-business-bay-amid-soaring-property-prices/</t>
  </si>
  <si>
    <t>Untapped areas remain ripe for luxury development amidst market boom</t>
  </si>
  <si>
    <t>https://www.zawya.com/en/press-release/companies-news/untapped-areas-remain-ripe-for-luxury-development-amidst-market-boom-rk7x6fdr</t>
  </si>
  <si>
    <t>Is now the time to invest in UAE property? — 'Pocketful of Dirhams'</t>
  </si>
  <si>
    <t>https://www.thenationalnews.com/podcasts/pocketful-of-dirhams/2022/06/28/is-now-the-time-to-invest-in-uae-property-pocketful-of-dirhams/</t>
  </si>
  <si>
    <t>Houza.com, the Dubai-based property portal appoints Jean-Pierre Mondalek as CEO</t>
  </si>
  <si>
    <t>https://www.zawya.com/en/press-release/people-in-the-news/houzacom-the-dubai-based-property-portal-appoints-jean-pierre-mondalek-as-ceo-sj0mqcvm</t>
  </si>
  <si>
    <t>CNBC</t>
  </si>
  <si>
    <t>Villas by the sea: Rich Russians fleeing sanctions are pumping up Dubai’s property sector</t>
  </si>
  <si>
    <t>https://www.cnbc.com/2022/07/07/rich-russians-fleeing-sanctions-are-pumping-up-dubais-property-sector.html</t>
  </si>
  <si>
    <t>Are top Dubai property prices going above Dh300m?</t>
  </si>
  <si>
    <t>https://www.thenationalnews.com/business/property/2022/07/08/are-top-dubai-property-prices-going-above-dh300m/</t>
  </si>
  <si>
    <t>Kalgoorlie Miner</t>
  </si>
  <si>
    <t>https://www.kalminer.com.au/business/cnbc/villas-by-the-sea-rich-russians-fleeing-sanctions-are-pumping-up-dubais-property-sector-c-7449496</t>
  </si>
  <si>
    <t>Planning to rent a new home in Dubai - then just do it fast</t>
  </si>
  <si>
    <t>https://gulfnews.com/business/property/planning-to-rent-a-new-home-in-dubai---then-just-do-it-fast-1.1657682956150</t>
  </si>
  <si>
    <t>Dubai commercial real estate sales value jumps 89 percent in first half of 2022: Report</t>
  </si>
  <si>
    <t>https://www.arabianbusiness.com/money/wealth/money-wealth-real-estate/dubai-commercial-real-estate-sales-value-jumps-89-percent-in-first-half-of-2022-report</t>
  </si>
  <si>
    <t>The commercial real estate market witnessed 89% growth in sales for H1 2022</t>
  </si>
  <si>
    <t>https://www.zawya.com/en/press-release/research-and-studies/the-commercial-real-estate-market-witnessed-89-growth-in-sales-for-h1-2022-yke1ratr</t>
  </si>
  <si>
    <t>Dubai eye 103.8</t>
  </si>
  <si>
    <t xml:space="preserve">Market Report Interview </t>
  </si>
  <si>
    <t>https://www.linkedin.com/posts/crc-property_head-of-crc-andrew-elliott-live-on-the-business-activity-6957618158002139136-Osgl?utm_source=linkedin_share&amp;utm_medium=member_desktop_web</t>
  </si>
  <si>
    <t>In Dubai, residents find rent renewals offer cheaper option in H1-2022</t>
  </si>
  <si>
    <t>https://gulfnews.com/business/property/in-dubai-residents-find-rent-renewals-offer-cheaper-option-in-h1-2022-1.89517839</t>
  </si>
  <si>
    <t xml:space="preserve">Dubai eye </t>
  </si>
  <si>
    <t>https://www.linkedin.com/posts/better-homes-llc_richard-waind-on-the-business-breakfast-activity-6958047289240117249-kP3m?utm_source=linkedin_share&amp;utm_medium=member_desktop_web</t>
  </si>
  <si>
    <t>Dubai remains prime target of property investors</t>
  </si>
  <si>
    <t>https://www.khaleejtimes.com/business/dubai-remains-prime-target-of-property-investors</t>
  </si>
  <si>
    <t>https://www.zawya.com/en/business/real-estate/dubai-remains-prime-target-of-property-investors-rx1gcgeg</t>
  </si>
  <si>
    <t>Russians are fourth-largest homebuyers in Dubai this year</t>
  </si>
  <si>
    <t>https://www.zawya.com/en/business/real-estate/russians-are-fourth-largest-homebuyers-in-dubai-this-year-llwluic0</t>
  </si>
  <si>
    <t>Dubai real estate sales surge 60% as investors, Russians snap up property</t>
  </si>
  <si>
    <t>https://www.reuters.com/markets/europe/dubai-real-estate-sales-surge-60-investors-russians-snap-up-property-2022-07-28/</t>
  </si>
  <si>
    <t>Betterhomes reports 60% increase in total units sold in Dubai in H1 2022</t>
  </si>
  <si>
    <t>https://www.constructionweekonline.com/business/betterhomes-report-h1-2022</t>
  </si>
  <si>
    <t>https://economictimes.indiatimes.com/news/international/uae/dubai-real-estate-sales-surge-60-as-investors-russians-snap-up-property/articleshow/93194871.cms?from=mdr</t>
  </si>
  <si>
    <t>https://www.businesstimes.com.sg/real-estate/dubai-real-estate-sales-surge-60-as-investors-russians-snap-up-property</t>
  </si>
  <si>
    <t>The News International</t>
  </si>
  <si>
    <t>Pakistanis among top 10 buyers of Dubai property</t>
  </si>
  <si>
    <t>https://www.thenews.com.pk/print/978208-pakistanis-among-top-10-buyers-of-dubai-property</t>
  </si>
  <si>
    <t>Lovin Dubai (Insta)</t>
  </si>
  <si>
    <t xml:space="preserve">A recent study shows Indians are the top buyers of property in Dubai </t>
  </si>
  <si>
    <t>https://www.instagram.com/p/CgpIFINLnKe/?utm_source=ig_web_copy_link</t>
  </si>
  <si>
    <t>El Correo del Golfo</t>
  </si>
  <si>
    <t>Dubai property sales surge 60% with Russians among investors</t>
  </si>
  <si>
    <t>https://www.elcorreo.ae/articulo/economia/ventas-propiedades-dubai-aumentan-60-rusos-inversores/20220730094403148127.html</t>
  </si>
  <si>
    <t>Investor Bg</t>
  </si>
  <si>
    <t>Home sales in Dubai rose 60% in the first half of the year</t>
  </si>
  <si>
    <t>https://www.investor.bg/po-sveta/453/a/prodajbite-na-jilishta-v-dubai-sa-narasnali-s-60-prez-pyrvoto-polugodie-357226/</t>
  </si>
  <si>
    <t>Money &amp; Banking (Thailand)</t>
  </si>
  <si>
    <t>Dubai real estate market heats up, semi-annual transactions jump 60% as Russian investors flee Western sanctions</t>
  </si>
  <si>
    <t>https://www.moneyandbanking.co.th/article/news/estate-market-dubai-raise-290765</t>
  </si>
  <si>
    <t>Dawn</t>
  </si>
  <si>
    <t>Pakistanis among top 10 buyers as Dubai property sales skyrocket</t>
  </si>
  <si>
    <t>https://www.dawn.com/news/1702248</t>
  </si>
  <si>
    <t>Global Village Space</t>
  </si>
  <si>
    <t>Insights of the news “Pakistanis among top 10 buyers of Dubai property”</t>
  </si>
  <si>
    <t>https://www.globalvillagespace.com/insights-of-the-news-pakistanis-among-top-10-buyers-of-dubai-property/</t>
  </si>
  <si>
    <t>Pakistanis among top 10 buyers in Dubai as real estate sales surge in H1 2022</t>
  </si>
  <si>
    <t>https://www.brecorder.com/news/40188927/pakistanis-among-top-10-buyers-in-dubai-as-real-estate-sales-surge-in-h1-2022</t>
  </si>
  <si>
    <t>Dubai: 5 most affordable areas to rent a villa revealed</t>
  </si>
  <si>
    <t>https://www.khaleejtimes.com/uae/dubai-villa-rents-increase-as-demand-for-bigger-homes-soars-post-covid</t>
  </si>
  <si>
    <t>Betterhomes’ H1 2022 Market Report</t>
  </si>
  <si>
    <t>https://www.propertynews.ae/uae/aed1-8-billion-worth-of-real-estate-transactions-were-recorded-in-dubai-on-wednesday/</t>
  </si>
  <si>
    <t>UAE: How much mortgage can Dubai property buyers apply for?</t>
  </si>
  <si>
    <t>https://www.khaleejtimes.com/property/uae-how-much-mortgage-can-dubai-property-buyers-apply-for</t>
  </si>
  <si>
    <t>https://menafn.com/1104628153/UAE-How-Much-Mortgage-Can-Dubai-Property-Buyers-Apply-For</t>
  </si>
  <si>
    <t>Mirchi 9 (India)</t>
  </si>
  <si>
    <t>Desis Topping The Real Estate Charts in Dubai</t>
  </si>
  <si>
    <t>https://www.mirchi9.com/politics/desis-topping-the-real-estate-charts-in-dubai/</t>
  </si>
  <si>
    <t>Dubai developers are finally ready with new villa projects as there is no let up in demand</t>
  </si>
  <si>
    <t>https://gulfnews.com/business/property/dubai-developers-are-finally-ready-with-new-villa-projects-as-there-is-no-let-up-in-demand-1.1659586803930</t>
  </si>
  <si>
    <t>Designed to promote a family-oriented lifestyle, California Village is the new and secure community living in Dubai</t>
  </si>
  <si>
    <t>https://www.zawya.com/en/press-release/companies-news/designed-to-promote-a-family-oriented-lifestyle-california-village-is-the-new-and-secure-community-living-in-dubai-r1x26tyy</t>
  </si>
  <si>
    <t>What are five questions to ask before I buy a property in Dubai?</t>
  </si>
  <si>
    <t>https://www.zawya.com/en/business/real-estate/what-are-five-questions-to-ask-before-i-buy-a-property-in-dubai-tey1miy5</t>
  </si>
  <si>
    <t>https://menafn.com/1104648693/What-Are-5-Questions-To-Ask-Before-I-Buy-A-Property-In-Dubai</t>
  </si>
  <si>
    <t>Khaleej Times (Print)</t>
  </si>
  <si>
    <t xml:space="preserve">What are 5 questions to ask before I buy a property in Dubai? </t>
  </si>
  <si>
    <t>file:///C:/Users/elsa.angelo/Downloads/Khaleej%20Times-05-08-2022.pdf</t>
  </si>
  <si>
    <t>What are 5 questions to ask before I buy a property in Dubai?</t>
  </si>
  <si>
    <t>https://www.khaleejtimes.com/business/what-are-5-questions-to-ask-before-i-buy-a-property-in-dubai</t>
  </si>
  <si>
    <t>Immigration Central: Why are so many Indians buying property in Dubai?</t>
  </si>
  <si>
    <t>https://www.moneycontrol.com/news/trends/travel-trends/immigration-series-why-are-so-many-indians-buying-property-in-dubai-8964261.html</t>
  </si>
  <si>
    <t>Bank of England's rate increase makes UK property more appealing to Middle East investors</t>
  </si>
  <si>
    <t>https://www.thenationalnews.com/business/money/2022/08/05/bank-of-englands-rate-increase-makes-uk-property-more-appealing-to-middle-east-investors/</t>
  </si>
  <si>
    <t>In UAE, offices emerge as next big deal, with Aldar making Dh4.3b statement</t>
  </si>
  <si>
    <t>https://gulfnews.com/business/property/in-uae-offices-emerge-as-next-big-deal-with-aldar-making-dh43b-statement-1.1659761770792</t>
  </si>
  <si>
    <t xml:space="preserve">Dubai's biggest bank gives staff a pay rise for inflation </t>
  </si>
  <si>
    <t>https://www.reuters.com/business/finance/dubais-biggest-bank-gives-staff-pay-rise-inflation-sources-2022-08-09/</t>
  </si>
  <si>
    <t>Dubai's biggest bank gives staff a pay rise for inflation - sources</t>
  </si>
  <si>
    <t>https://www.zawya.com/en/business/banking-and-insurance/dubais-biggest-bank-gives-staff-a-pay-rise-for-inflation-sources-axdjmqoe</t>
  </si>
  <si>
    <t>Conglomerate IHC boosts Abu Dhabi index to record high</t>
  </si>
  <si>
    <t>Noticia Del Mundo (Spain)</t>
  </si>
  <si>
    <t>Emiratos Árabes Unidos: el banco más grande de Dubái aumenta el sueldo del personal por la inflación</t>
  </si>
  <si>
    <t>https://noticiasdelmundo.news/emiratos-arabes-unidos-el-banco-mas-grande-de-dubai-aumenta-el-sueldo-del-personal-por-la-inflacion/</t>
  </si>
  <si>
    <t>Sindobatam (Indonasia)</t>
  </si>
  <si>
    <t>Dubai's biggest bank gives employees an inflationary raise</t>
  </si>
  <si>
    <t>https://sindobatam.com/bank-terbesar-di-dubai-memberi-karyawan-kenaikan-gaji-inflasi/</t>
  </si>
  <si>
    <t>Buzz News (Italy)</t>
  </si>
  <si>
    <t>The largest bank in Dubai offers employees an increase in salaries due to inflation</t>
  </si>
  <si>
    <t>https://buzznews.it/la-piu-grande-banca-di-dubai-offre-ai-dipendenti-un-aumento-degli-stipendi-dovuti-allinflazione/</t>
  </si>
  <si>
    <t>GDN Online (Bahrain)</t>
  </si>
  <si>
    <t>Dubai's biggest bank gives staff a pay rise for inflation</t>
  </si>
  <si>
    <t>https://www.gdnonline.com/Details/1139529</t>
  </si>
  <si>
    <t>Major Gulf bourses trade mixed; Abu Dhabi at record high</t>
  </si>
  <si>
    <t>https://www.reuters.com/world/middle-east/major-gulf-bourses-trade-mixed-abu-dhabi-record-high-2022-08-10/</t>
  </si>
  <si>
    <t>As rents rise 20-30%, more Dubai residents see better value in renewing contracts than chase new ones</t>
  </si>
  <si>
    <t>https://gulfnews.com/business/property/as-rents-rise-20-30-more-dubai-residents-see-better-value-in-renewing-contracts-than-chase-new-ones-1.1660102666420</t>
  </si>
  <si>
    <t>#ef6078ff</t>
  </si>
  <si>
    <t>Bdnews24 (Bangladesh)</t>
  </si>
  <si>
    <t>https://bdnews24.com/economy/pg5abbgrnq</t>
  </si>
  <si>
    <t>MIDEAST STOCKS-Major Gulf bourses trade mixed; Abu Dhabi at record high</t>
  </si>
  <si>
    <t>https://www.arabnews.com/node/2139816/business-economy</t>
  </si>
  <si>
    <t>Financial Investor</t>
  </si>
  <si>
    <t>Ryan Mahoney (Dubai, UAE): The CRC Commercial Property Market Report FY 2021</t>
  </si>
  <si>
    <t>https://www.financialinvestor24.com/property/1903/ryan-mahoney-dubai-uae-the-crc-commercial-property-market-report-fy-2021/</t>
  </si>
  <si>
    <t>How ‘Fomo’ is driving UAE residents to take out mortgages while they still can</t>
  </si>
  <si>
    <t>https://www.thenationalnews.com/weekend/2022/08/12/fomo-drives-uae-residents-to-take-out-mortgages-amid-rate-rises/</t>
  </si>
  <si>
    <t>El Correo del Golfo (Spain)</t>
  </si>
  <si>
    <t>The largest bank in Dubai raises the salary of its employees</t>
  </si>
  <si>
    <t>https://www.elcorreo.ae/articulo/economia/banco-mas-grande-dubai-sube-sueldo-empleados/20220812090626148406.html</t>
  </si>
  <si>
    <t>Khaleej TImes</t>
  </si>
  <si>
    <t>New tenants to pay higher rents in Dubai</t>
  </si>
  <si>
    <t>https://www.khaleejtimes.com/business/new-tenants-to-pay-higher-rents-in-dubai</t>
  </si>
  <si>
    <t>https://www.zawya.com/en/business/real-estate/new-tenants-to-pay-higher-rents-in-dubai-tppmufae</t>
  </si>
  <si>
    <t>Travelling for a month or two - can I put up my Dubai home for rent?</t>
  </si>
  <si>
    <t>https://gulfnews.com/living-in-uae/housing/travelling-for-a-month-or-two---can-i-put-up-my-dubai-home-for-rent-1.1660661106061</t>
  </si>
  <si>
    <t>STR BH</t>
  </si>
  <si>
    <t>News Week (US)</t>
  </si>
  <si>
    <t>Wealthy Russians Are Racing To Buy Homes in Turkey—Here's Why</t>
  </si>
  <si>
    <t>https://www.newsweek.com/wealthy-russians-racing-buy-homes-turkey-why-explained-1734028</t>
  </si>
  <si>
    <t>The Latest News (Germany)</t>
  </si>
  <si>
    <t>Wealthy Russians are racing to buy houses in Turkey — here's why</t>
  </si>
  <si>
    <t>https://www.theaktuellenews.com/nachrichten/wohlhabende-russen-rennen-um-den-kauf-von-haeusern-in-der-tuerkei-hier-ist-der-grund/</t>
  </si>
  <si>
    <t>Dubai: Real estate firm’s name, escrow account, other details must on ads</t>
  </si>
  <si>
    <t>https://www.zawya.com/en/business/real-estate/dubai-real-estate-firms-name-escrow-account-other-details-must-on-ads-axl3oipj</t>
  </si>
  <si>
    <t>Ahval (Turkey)</t>
  </si>
  <si>
    <t>Wealthy Russians vying to purchase homes in Turkey</t>
  </si>
  <si>
    <t>https://ahvalnews.com/turkish-property/wealthy-russians-vying-purchase-homes-turkey</t>
  </si>
  <si>
    <t>MediaFax (Romania)</t>
  </si>
  <si>
    <t>Romanias bought apartments woth 75M</t>
  </si>
  <si>
    <t>https://www.mediafax.ro/economic/romanii-au-cumparat-de-la-un-dezvoltator-apartamente-de-75-milioane-euro-in-dubai-in-primele-sapte-luni-21105824</t>
  </si>
  <si>
    <t xml:space="preserve">Gulf News </t>
  </si>
  <si>
    <t>In Dubai, property buyers find ready homes costing a lot less than new launches</t>
  </si>
  <si>
    <t>https://gulfnews.com/business/property/in-dubai-property-buyers-find-ready-homes-costing-a-lot-less-than-new-launches-1.1661484948660</t>
  </si>
  <si>
    <t>Euro News</t>
  </si>
  <si>
    <t>Meet The Entrepreneurs</t>
  </si>
  <si>
    <t>https://www.euronews.com/2022/08/26/meet-the-entrepreneurs</t>
  </si>
  <si>
    <t>Euro News (Turkey)</t>
  </si>
  <si>
    <t>https://tr.euronews.com/2022/08/26/betterhomes-kurucusu-linda-mahoney-dubai-dogru-zamanda-dogru-yerdi</t>
  </si>
  <si>
    <t>Euro News (Germany)</t>
  </si>
  <si>
    <t>https://de.euronews.com/2022/08/26/grunder-in-dubai-erst-krankenschwester-dann-immobilienmaklerin</t>
  </si>
  <si>
    <t>Euro News (Italy)</t>
  </si>
  <si>
    <t>https://it.euronews.com/2022/08/26/la-seconda-vita-di-linda-a-dubai-da-infermiera-ad-agente-immobiliare</t>
  </si>
  <si>
    <t>Euro News (Spain)</t>
  </si>
  <si>
    <t>https://es.euronews.com/2022/08/26/linda-mahoney-o-una-mujer-pionera-que-cambio-el-panorama-del-sector-inmobiliario-en-dubai</t>
  </si>
  <si>
    <t>Euro News (Portugal)</t>
  </si>
  <si>
    <t>https://pt.euronews.com/2022/08/26/uma-historia-de-sucesso-que-comecou-com-um-casamento-falhado</t>
  </si>
  <si>
    <t>Shortlist Dubai</t>
  </si>
  <si>
    <t>Best Property Management Companies In Dubai- An Overview!</t>
  </si>
  <si>
    <t>https://www.shortlistdubai.com/article/best-property-management-companies-dubai/</t>
  </si>
  <si>
    <t>Play Tech (Romania)</t>
  </si>
  <si>
    <t>The real estate bubble in Romania has exploded, and rich Romanians are moving to Dubai: how much money they put into apartments</t>
  </si>
  <si>
    <t>https://playtech.ro/2022/bula-imobiliara-din-romania-a-explodat-iar-romanii-bogati-se-muta-la-dubai-cati-bani-au-bagat-in-apartamente/</t>
  </si>
  <si>
    <t>Info (Israel)</t>
  </si>
  <si>
    <t>2009 crisis forgotten in Dubai: luxury real estate jumps by 87%</t>
  </si>
  <si>
    <t>https://infos-israel.news/crise-de-2009-oubliee-a-dubai-limmobilier-de-luxe-bondit-de-87/</t>
  </si>
  <si>
    <t>Dubai is emerging as a favourite for the ultra-rich, and Ambani's reported purchase cements this status</t>
  </si>
  <si>
    <t>https://www.brecorder.com/news/40194446</t>
  </si>
  <si>
    <t>Haberler (Turkey)</t>
  </si>
  <si>
    <t>BetterHomes founder Linda Mahoney: Dubai was the right place at the right time</t>
  </si>
  <si>
    <t>https://www.haberler.com/guncel/betterhomes-kurucusu-linda-mahoney-dubai-dogru-15226716-haberi/</t>
  </si>
  <si>
    <t>Moving out: Who cancels Ejari - the landlord or tenant?</t>
  </si>
  <si>
    <t>https://gulfnews.com/living-in-uae/housing/moving-out-who-cancels-ejari---the-landlord-or-tenant-1.1662382091757</t>
  </si>
  <si>
    <t>Act Media (Romania)</t>
  </si>
  <si>
    <t>Real estate : Romanians bought apartments of 75 million euros from Sobha Dubai developer in first 7 months of 2022</t>
  </si>
  <si>
    <t>https://actmedia.eu/economic/real-estate-romanians-bought-apartments-of-75-million-euros-from-sobha-dubai-developer-in-first-7-months-of-2022/99363</t>
  </si>
  <si>
    <t>Why the wealthy are attracted to Dubai's luxury homes</t>
  </si>
  <si>
    <t>https://www.khaleejtimes.com/opinion/why-the-wealthy-are-attracted-to-dubais-luxury-homes</t>
  </si>
  <si>
    <t>PRIME</t>
  </si>
  <si>
    <t>https://epaper.khaleejtimes.com/835/05-09-2022</t>
  </si>
  <si>
    <t xml:space="preserve">PRIME </t>
  </si>
  <si>
    <t>https://www.zawya.com/en/business/real-estate/why-the-wealthy-are-attracted-to-dubais-luxury-homes-rg1maetg</t>
  </si>
  <si>
    <t xml:space="preserve">Real estate brokers in the UAE: Do we need them? </t>
  </si>
  <si>
    <t>https://www.arabianbusiness.com/opinion/real-estate-brokers-in-the-uae-do-we-need-them</t>
  </si>
  <si>
    <t>Dubai on alert as distressed assets become a real possibility</t>
  </si>
  <si>
    <t>https://www.agbi.com/articles/dubai-on-alert-as-distressed-assets-become-a-real-possibility/</t>
  </si>
  <si>
    <t>Burj Khalifa broke its sales record in 2021 – and is set to do it again</t>
  </si>
  <si>
    <t>https://www.agbi.com/articles/burj-khalifa-surging-sales/</t>
  </si>
  <si>
    <t>Dubai’s economy holding up well amid the global slowdown</t>
  </si>
  <si>
    <t>https://www.thenationalnews.com/business/comment/2022/09/20/dubais-economy-holding-up-well-amid-the-global-slowdown/</t>
  </si>
  <si>
    <t>Dubai economy remains stable after global slowdown</t>
  </si>
  <si>
    <t>https://www.elcorreo.ae/articulo/economia/economia-dubai-mantiene-estable-desaceleracion-mundial/20220921084624149342.html</t>
  </si>
  <si>
    <t>Expo City Dubai: UAE's first 15-minute city &amp; a smart city for the future</t>
  </si>
  <si>
    <t>https://www.euronews.com/next/2022/09/26/expo-city-dubai-larger-than-hong-kong-the-uaes-first-15-minute-city</t>
  </si>
  <si>
    <t>https://it.euronews.com/next/2022/09/26/dubai-leredita-dellexpo-una-citta-intelligente-nellarea-dellesposizione</t>
  </si>
  <si>
    <t>Euro News (France)</t>
  </si>
  <si>
    <t>https://fr.euronews.com/next/2022/09/26/dubai-transforme-le-site-de-son-expo-2020-en-ville-du-futur</t>
  </si>
  <si>
    <t>https://de.euronews.com/next/2022/09/26/die-erste-15-minuten-stadt-der-vereinigten-arabischen-emirate</t>
  </si>
  <si>
    <t>https://es.euronews.com/next/2022/09/26/expo-city-dubai-o-la-ciudad-del-futuro-que-mantendra-vivo-el-legado-de-la-expo-2020</t>
  </si>
  <si>
    <t>World Cup to provide Dubai property market with ‘mini-Expo effect’</t>
  </si>
  <si>
    <t>https://www.thenationalnews.com/business/property/2022/09/28/world-cup-to-provide-dubai-property-market-with-mini-expo-effect/</t>
  </si>
  <si>
    <t>Important real estate terms UAE property investors should know before buying</t>
  </si>
  <si>
    <t>https://www.thenationalnews.com/weekend/2022/10/07/important-real-estate-terms-uae-property-investors-should-know-before-buying/</t>
  </si>
  <si>
    <t>TimeOut Dubai</t>
  </si>
  <si>
    <t>Expo 2020 Dubai and FIFA World Cup contribute to rent hikes</t>
  </si>
  <si>
    <t>https://www.timeoutdubai.com/moving-to-dubai/rent-hikes-in-dubai</t>
  </si>
  <si>
    <t>Moving house? 7 top tips to make renting in Dubai easier</t>
  </si>
  <si>
    <t>https://www.timeoutdubai.com/news/top-tips-for-renting-in-dubai</t>
  </si>
  <si>
    <t>UAE: Russians are top property buyers in Dubai; Indians come third</t>
  </si>
  <si>
    <t>https://www.khaleejtimes.com/property/dubai-russians-are-top-property-buyers-in-dubai-indians-come-third</t>
  </si>
  <si>
    <t>MENA FN</t>
  </si>
  <si>
    <t>Dubai Tenants Find It Cheaper To Stay In Existing Apartments As Rents Soar</t>
  </si>
  <si>
    <t>https://menafn.com/1105043884/Dubai-Tenants-Find-It-Cheaper-To-Stay-In-Existing-Apartments-As-Rents-Soar</t>
  </si>
  <si>
    <t>Dubai tenants find it cheaper to stay in existing apartments as rents soar</t>
  </si>
  <si>
    <t>https://www.khaleejtimes.com/uae/dubai-tenants-find-it-cheaper-to-stay-in-existing-apartments-as-rents-soar</t>
  </si>
  <si>
    <t>Dubai rents in for more increases as occupancy levels hit 5-year highs</t>
  </si>
  <si>
    <t>https://gulfnews.com/business/property/dubai-rents-in-for-more-increases-as-occupancy-levels-hit-5-year-highs-1.1666153660083</t>
  </si>
  <si>
    <t>NDTV</t>
  </si>
  <si>
    <t>Mukesh Ambani, Lakshmi Mittal Part Of Dubai's Luxury Property Boom</t>
  </si>
  <si>
    <t>https://www.ndtv.com/india-news/mukesh-ambani-lakshmi-mittal-part-of-dubais-luxury-property-boom-3444535</t>
  </si>
  <si>
    <t>Dubai’s Luxury Property Market Is Cashing In on the Global Slowdown</t>
  </si>
  <si>
    <t>https://www.bloomberg.com/news/features/2022-10-19/how-dubai-luxury-property-market-went-from-crash-to-boom</t>
  </si>
  <si>
    <t>BizNews</t>
  </si>
  <si>
    <t>Gupta favoured hub, Dubai, is cashing in on global slowdown</t>
  </si>
  <si>
    <t>https://www.biznews.com/premium-signup?mepr-unauth-page=989424&amp;redirect_to=%2Fpremium%2F2022%2F10%2F19%2Fgupta-hub-dubai-cashing-in-on-global-slowdown</t>
  </si>
  <si>
    <t>Russians are Dubai's top non-resident property buyers in Q3: report</t>
  </si>
  <si>
    <t>https://www.zawya.com/en/business/real-estate/russians-are-dubais-top-non-resident-property-buyers-in-q3-report-vetsg12v</t>
  </si>
  <si>
    <t>Dubai property deal worth $163m closed as Palm Jumeirah prices continue to spiral upwards</t>
  </si>
  <si>
    <t>https://www.thenationalnews.com/business/property/2022/10/20/dubai-property-deal-worth-163m-closed-as-palm-jumeirah-prices-continue-to-spiral-upwards/</t>
  </si>
  <si>
    <t>Dubai property firm Deyaar's Q3 profit up on improving outlook</t>
  </si>
  <si>
    <t>https://www.reuters.com/article/deyaar-results/dubai-property-firm-deyaars-q3-profit-up-on-improving-outlook-idUKL8N31L257</t>
  </si>
  <si>
    <t>Nasdaq</t>
  </si>
  <si>
    <t>https://www.nasdaq.com/articles/dubai-property-firm-deyaars-q3-profit-up-on-improving-outlook</t>
  </si>
  <si>
    <t>Deyaar’s Q3 profit up on improving outlook</t>
  </si>
  <si>
    <t>https://www.khaleejtimes.com/business/deyaars-q3-profit-up-on-improving-outlook</t>
  </si>
  <si>
    <t xml:space="preserve">Business Live </t>
  </si>
  <si>
    <t>Dubai developer Deyaar reports leap in third-quarter profit</t>
  </si>
  <si>
    <t>https://www.businesslive.co.za/bd/companies/property/2022-10-20-dubai-developer-deyaar-reports-leap-in-third-quarter-profit/</t>
  </si>
  <si>
    <t>Deyaar's Q3 Profit Up On Improving Outlook</t>
  </si>
  <si>
    <t>https://menafn.com/1105055683/Deyaars-Q3-Profit-Up-On-Improving-Outlook</t>
  </si>
  <si>
    <t>Al-monitor</t>
  </si>
  <si>
    <t>Russian, British citizens top buyers of nonresidential property in Dubai</t>
  </si>
  <si>
    <t>https://www.al-monitor.com/originals/2022/10/russian-british-citizens-top-buyers-nonresidential-property-dubai</t>
  </si>
  <si>
    <t>Deyaar’s Q3 profit soars to $9.88m</t>
  </si>
  <si>
    <t>https://www.gdnonline.com/Details/1145566/Deyaar%E2%80%99s-Q3-profit-soars-to-$988m</t>
  </si>
  <si>
    <t>One-cheque rents on the rise as many Dubai tenants stay put to avoid rising costs</t>
  </si>
  <si>
    <t>https://www.thenationalnews.com/uae/2022/10/21/one-cheque-rents-on-the-rise-as-many-dubai-tenants-stay-put-to-avoid-rising-costs/</t>
  </si>
  <si>
    <t>Dubai-based Huspy has Pakistan property buyers on its radar</t>
  </si>
  <si>
    <t>https://www.brecorder.com/news/40204281</t>
  </si>
  <si>
    <t>Why Dubai apartments are the choice ahead of villas for property hunters again</t>
  </si>
  <si>
    <t>https://www.thenationalnews.com/business/property/2022/10/25/why-dubai-apartments-are-the-choice-ahead-of-villas-for-property-hunters-again/</t>
  </si>
  <si>
    <t>Dubai landlords serve even 12-month notices for tenants to vacate - and then get higher rents</t>
  </si>
  <si>
    <t>https://gulfnews.com/business/property/dubai-landlords-serve-even-12-month-notices-for-tenants-to-vacate---and-then-get-higher-rents-1.1666669716827</t>
  </si>
  <si>
    <t>DC News (Romania)</t>
  </si>
  <si>
    <t>The press from Brussels, concerned about the economy in Romania: "The Romanian people should be the central point of any development initiatives"</t>
  </si>
  <si>
    <t>https://www.dcnews.ro/presa-la-bruxelles-ingrijorata-de-economia-din-romania-poporul-romaniei-ar-trebui-sa-fie-punctul-central-al-oricaror-initiative-de-dezvoltare_892574.html</t>
  </si>
  <si>
    <t>Romanians, in the top 10 on the list of big investors in Dubai. Russia, Great Britain and India take the top spots</t>
  </si>
  <si>
    <t>https://www.dcnews.ro/romanii-in-top-10-in-lista-marilor-investitori-in-dubai-rusia-marea-britanie-si-india-ocupa-primele-locuri_892563.html</t>
  </si>
  <si>
    <t>Financial News (Netherlands)</t>
  </si>
  <si>
    <t>Real Estate party in Dubai is now in full swing</t>
  </si>
  <si>
    <t>https://fd.nl/economie/1455831/vastgoedfeest-in-dubai-is-nog-in-volle-gang</t>
  </si>
  <si>
    <t>Russian Emirate (Russia)</t>
  </si>
  <si>
    <t>Hotels across Dubai are recruiting Russian-speaking staff</t>
  </si>
  <si>
    <t>https://russianemirates.com/news/uae-news/oteli-po-vsemu-dubayu-nabirayut-russkoyazychnyy-personal/</t>
  </si>
  <si>
    <t>Business In Dubai Is Expected To Grow At A Fast Pace In 2022 And 2023</t>
  </si>
  <si>
    <t>https://www.digitaljournal.com/pr/business-in-dubai-is-expected-to-grow-at-a-fast-pace-in-2022-and-2023</t>
  </si>
  <si>
    <t>PRIME by Betterhomes to rank top 50 homes in Dubai</t>
  </si>
  <si>
    <t>https://www.constructionweekonline.com/business/prime-by-betterhomes-to-rank-top-50-homes-in-dubai</t>
  </si>
  <si>
    <t>Dubai property rents: where they rose and fell in Q3, 2022</t>
  </si>
  <si>
    <t>https://www.thenationalnews.com/business/property/2022/11/01/dubai-property-rents-where-they-rose-and-fell-in-q3-2022/</t>
  </si>
  <si>
    <t>Dubai tenants downsize and move to cheaper areas as rents rise</t>
  </si>
  <si>
    <t>https://www.thenationalnews.com/business/money/2022/11/03/dubai-tenants-downsize-and-move-to-cheaper-areas-as-rents-rise/</t>
  </si>
  <si>
    <t>Dubai’s commercial market reached an all time high in Q3 says CRC</t>
  </si>
  <si>
    <t>https://meconstructionnews.com/55212/dubais-commercial-market-reached-an-all-time-high-in-q3-says-crc</t>
  </si>
  <si>
    <t>NewsWire</t>
  </si>
  <si>
    <t>CRC Commercial Real Estate Market Report | Q3 2022</t>
  </si>
  <si>
    <t>https://www.issuewire.com/crc-commercial-real-estate-market-report-q3-2022-1748469199989609</t>
  </si>
  <si>
    <t>Betterhomes to star in a brand-new TV show on UK's Channel 4</t>
  </si>
  <si>
    <t>https://www.zawya.com/en/press-release/companies-news/betterhomes-to-star-in-a-brand-new-tv-show-on-uks-channel-4-x3rnmte5</t>
  </si>
  <si>
    <t>New TV show about Dubai real estate is coming to UK’s Channel 4</t>
  </si>
  <si>
    <t>https://www.timeoutdubai.com/news/dubai-channel-4-new-real-estate-programme</t>
  </si>
  <si>
    <t xml:space="preserve">Whats On Dubai </t>
  </si>
  <si>
    <t>Made in Dubai: new real estate reality show on UK's Channel 4</t>
  </si>
  <si>
    <t>https://whatson.ae/2022/11/made-in-dubai-new-real-estate-reality-show-on-uks-channel-4/</t>
  </si>
  <si>
    <t>Made in Dubai': another reality TV series set in the city announced by UK's Channel 4</t>
  </si>
  <si>
    <t>https://www.thenationalnews.com/arts-culture/film-tv/2022/11/07/made-in-dubai-another-reality-tv-series-set-in-the-city-announced-by-uks-channel-4/</t>
  </si>
  <si>
    <t>UK’s Channel 4 announces new reality TV series ‘Made in Dubai’</t>
  </si>
  <si>
    <t>https://www.arabnews.com/node/2196036/media</t>
  </si>
  <si>
    <t>Dubai Bling Season 2: Dubai real estate agents join the craze</t>
  </si>
  <si>
    <t>https://www.arabianbusiness.com/tags/angel-eye-media</t>
  </si>
  <si>
    <t>Ziarul Fanance (Romania)</t>
  </si>
  <si>
    <t>One of Dubai's most spectacular infrastructure projects to receive $4.6 billion in funding</t>
  </si>
  <si>
    <t>https://www.zf.ro/business-international/unul-dintre-cele-mai-spectaculoase-proiecte-de-infrastructura-din-21305333</t>
  </si>
  <si>
    <t>Dubai Palm Tree developer secures $4.6 billion for projects</t>
  </si>
  <si>
    <t>https://www.elcorreo.ae/articulo/economia/desarrollador-palmera-dubai-obtiene-4600-millones-dolares-proyectos/20221109100432150812.html</t>
  </si>
  <si>
    <t>Dubai Palm Island developer gets $4.6 bln funding for new waterfront projects</t>
  </si>
  <si>
    <t>https://www.reuters.com/business/dubai-developer-nakheel-secures-17-billion-dirhams-financing-2022-11-08/</t>
  </si>
  <si>
    <t>New and progressive property management software aims to bridge the communication gap between tenants and landlords</t>
  </si>
  <si>
    <t>https://www.zawya.com/en/press-release/companies-news/new-and-progressive-property-management-software-aims-to-bridge-the-communication-gap-between-tenants-and-landlords-mztvbkhd</t>
  </si>
  <si>
    <t>The Debt Panel: 'I lost my $5,445 short-term rental deposit'</t>
  </si>
  <si>
    <t>https://www.thenationalnews.com/business/money/2022/11/09/the-debt-panel-i-lost-my-5445-short-term-rental-deposit/</t>
  </si>
  <si>
    <t>BetterStay</t>
  </si>
  <si>
    <t>6 Middle Eastern reality TV shows to watch</t>
  </si>
  <si>
    <t>https://www.arabnews.com/node/2196421/6-middle-eastern-reality-tv-shows-watch</t>
  </si>
  <si>
    <t>Dubai's leading commercial real estate, CRC, expands with a new office in Dubai Marina</t>
  </si>
  <si>
    <t>https://www.zawya.com/en/press-release/companies-news/dubais-leading-commercial-real-estate-crc-expands-with-a-new-office-in-dubai-marina-sx7jfvzz</t>
  </si>
  <si>
    <t>The Arabian Business Gulf Insight</t>
  </si>
  <si>
    <t>Dubai’s bricks-and-mortar stores hold their own against e-commerce</t>
  </si>
  <si>
    <t>https://www.agbi.com/articles/dubais-brick-and-mortar-retailers-hold-their-own-against-online-competition/</t>
  </si>
  <si>
    <t>Aduvarul (Romania)</t>
  </si>
  <si>
    <t>Romanians, in the top ten real estate buyers in Dubai</t>
  </si>
  <si>
    <t>https://adevarul.ro/economie/romanii-in-top-zece-cumparatori-de-imobiliare-in-2219651.html</t>
  </si>
  <si>
    <t>CBC (Canada)</t>
  </si>
  <si>
    <t>The unlikely geopolitical winners from Russia's war in Ukraine</t>
  </si>
  <si>
    <t>https://www.cbc.ca/news/world/russia-ukraine-war-geopolitical-winners-1.6649370</t>
  </si>
  <si>
    <t>Emaar beats forecasts with 46% Q3 profit rise as Dubai rebounds</t>
  </si>
  <si>
    <t>https://www.reuters.com/world/middle-east/emaar-beats-forecasts-with-46-q3-profit-rise-dubai-rebounds-2022-11-14/</t>
  </si>
  <si>
    <t>Real estate trends: UAE buyers rush to fix rates; cash deals are surging</t>
  </si>
  <si>
    <t>https://www.zawya.com/en/business/real-estate/real-estate-trends-uae-buyers-rush-to-fix-rates-cash-deals-are-surging-ousihn3d</t>
  </si>
  <si>
    <t>The GIOI &amp; Vietnam (Vietnam)</t>
  </si>
  <si>
    <t>Energy crisis: Not the US or Norway, these are the countries that make a lot of money from the Russia-Ukraine conflict</t>
  </si>
  <si>
    <t>https://baoquocte.vn/khung-hoang-nang-luong-khong-phai-my-hay-na-uy-day-moi-la-nhung-nuoc-kiem-bon-tien-tu-xung-dot-nga-ukraine-205821.html</t>
  </si>
  <si>
    <t>Hot News (Romania)</t>
  </si>
  <si>
    <t>https://www.hotnews.ro/stiri-esential-25901100-press-report-muncitori-din-bangladesh-acuza-felul-care-sunt-tratati-sibiu-romanii-top-zece-cumparatori-imobiliare-dubai-cele-mai-bogate-comune-din-romania-guvernul-orbilor-face-romania-daca-intra-rece.htm</t>
  </si>
  <si>
    <t>Evenmitul (Romania)</t>
  </si>
  <si>
    <t>Home sales dropped dramatically by 40% compared to last year. Why don't the prices drop?</t>
  </si>
  <si>
    <t>https://www.ziarulevenimentul.ro/stiri/vanzarile-de-locuinte-au-scazut-dramatic-cu-40-fata-de-anul-trecut-de-ce-nu-scad-si-preturile/vanzarile-de-locuinte-au-scazut-dramatic-cu-40-fata-de-anul-trecut-de-ce-nu-scad-si-preturile--217534779.html</t>
  </si>
  <si>
    <t>The Washington Post (US)</t>
  </si>
  <si>
    <t>In the UAE, Russians fleeing Ukraine war seek success in ‘Dubaisk’</t>
  </si>
  <si>
    <t>https://www.washingtonpost.com/world/2022/11/17/uae-dubai-russia-ukraine-war/</t>
  </si>
  <si>
    <t>In Dubai, new 1-year rental listings drop as landlords chase short-term rentals</t>
  </si>
  <si>
    <t>https://gulfnews.com/business/property/in-dubai-new-1-year-rental-listings-drop-as-landlords-chase-short-term-rentals-1.1669003557826</t>
  </si>
  <si>
    <t>Betterhomes purchases full floor in Motor City office tower</t>
  </si>
  <si>
    <t>https://meconstructionnews.com/55507/betterhomes-purchases-full-floor-in-motor-city-office-tower</t>
  </si>
  <si>
    <t>Betterhomes focuses on Dubailand, Al Qudra sales as population grows</t>
  </si>
  <si>
    <t>https://www.zawya.com/en/business/real-estate/betterhomes-focuses-on-dubailand-al-qudra-sales-as-population-grows-wzu2tx7x</t>
  </si>
  <si>
    <t>Betterhomes acquires full floor office in Control Tower, Motor City, from Emirates NBD</t>
  </si>
  <si>
    <t>https://www.zawya.com/en/press-release/companies-news/betterhomes-acquires-full-floor-office-in-control-tower-motor-city-from-emirates-nbd-tyqxw12e</t>
  </si>
  <si>
    <t>Dubai records huge short-term rental boom in months leading up to Qatar World Cup</t>
  </si>
  <si>
    <t>https://english.alarabiya.net/business/property/2022/11/23/Dubai-records-huge-short-term-rental-boom-in-months-leading-up-to-Qatar-World-Cup</t>
  </si>
  <si>
    <t>Dubai home rent increases could cool if 'star rating' for buildings determines Rental Index</t>
  </si>
  <si>
    <t>https://gulfnews.com/business/property/dubai-home-rent-increases-could-cool-if-star-rating-for-buildings-determines-rental-index-1.1669176870570</t>
  </si>
  <si>
    <t>Short-stay rentals heat up in Dubai thanks to World Cup</t>
  </si>
  <si>
    <t>https://www.zawya.com/en/multimedia/videos/short-stay-rentals-heat-up-in-dubai-thanks-to-world-cup-hk0q0adz</t>
  </si>
  <si>
    <t>Zawya YouTube</t>
  </si>
  <si>
    <t>https://www.youtube.com/watch?v=Na8U_eNGIJQ</t>
  </si>
  <si>
    <t>The New House program continues in 2023. Good news for Romanians who want to buy a home. How many guarantees were given in 2022</t>
  </si>
  <si>
    <t>https://www.dcnews.ro/programul-noua-casa-continua-si-in-2023-vesti-bune-pentru-romanii-care-vor-sa-isi-cumpere-o-locuinta-cate-garantii-s-au-dat-in-2022_897305.html</t>
  </si>
  <si>
    <t>Investing.com  (Russia)</t>
  </si>
  <si>
    <t>Investing in Dubai real estate: what realtors won't tell you</t>
  </si>
  <si>
    <t>https://ru.investing.com/analysis/article-200298866</t>
  </si>
  <si>
    <t>Dubai residents forced to move as soaring rents ‘far outstrip’ salary increases</t>
  </si>
  <si>
    <t>https://english.alarabiya.net/features/2022/12/07/DNP-Dubai-residents-forced-to-move-as-soaring-rents-far-outstrip-salary-increases-</t>
  </si>
  <si>
    <t>Dubai: Most affordable areas as rents set to rise further in 2023</t>
  </si>
  <si>
    <t>https://www.khaleejtimes.com/business/property/dubai-most-affordable-areas-as-rents-set-to-rise-further-in-2023?_refresh=true</t>
  </si>
  <si>
    <t>https://www.zawya.com/en/business/real-estate/dubai-most-affordable-areas-as-rents-set-to-rise-further-in-2023-iki3ms8s</t>
  </si>
  <si>
    <t>What would you do if you won Dh200m?</t>
  </si>
  <si>
    <t>https://www.thenationalnews.com/business/money/2022/12/30/what-would-you-do-if-you-won-dh200m/</t>
  </si>
  <si>
    <t>How will Dubai and Abu Dhabi property markets perform in 2023?</t>
  </si>
  <si>
    <t>https://www.thenationalnews.com/business/property/2022/12/28/how-will-dubai-and-abu-dhabi-property-markets-perform-in-2023/</t>
  </si>
  <si>
    <t>Can the Dubai real estate market defy a global downturn in 2023?</t>
  </si>
  <si>
    <t>https://www.thenationalnews.com/weekend/2022/12/30/can-the-dubai-real-estate-market-outrun-a-global-downturn-in-2023/</t>
  </si>
  <si>
    <t>UAE Corporate Tax: Businesses have some early preparations to do</t>
  </si>
  <si>
    <t>https://gulfnews.com/business/analysis/uae-corporate-tax-businesses-have-some-early-preparations-to-do-1.92961154</t>
  </si>
  <si>
    <t>OpenHub</t>
  </si>
  <si>
    <t>Better Living Magazine</t>
  </si>
  <si>
    <t>Hot properties</t>
  </si>
  <si>
    <t>Print</t>
  </si>
  <si>
    <t>PR.com</t>
  </si>
  <si>
    <t>Betterhomes Released Residential Property Market Report Q1 2021</t>
  </si>
  <si>
    <t>https://www.pr.com/press-release/835148</t>
  </si>
  <si>
    <t xml:space="preserve">Khaleej Times </t>
  </si>
  <si>
    <t>Dubai records 27% surge in Q1 property deals</t>
  </si>
  <si>
    <t>https://www.khaleejtimes.com/news/dubai-records-27-surge-in-q1-property-deals</t>
  </si>
  <si>
    <t xml:space="preserve">Springfiled properties </t>
  </si>
  <si>
    <t>https://www.springfield-re.com/dubai-records-27-surge-in-q1-property-deals</t>
  </si>
  <si>
    <t xml:space="preserve">Creativezone </t>
  </si>
  <si>
    <t>Dubai Real Estate: A 2021 Promising Outlook</t>
  </si>
  <si>
    <t>https://www.creativezone.ae/events/dubai-real-estate-a-2021-promising-outlook/</t>
  </si>
  <si>
    <t>Zawaya</t>
  </si>
  <si>
    <t>Positive economic &amp; employment sentiment in Dubai boosts property sales in H1 2021</t>
  </si>
  <si>
    <t>https://www.zawya.com/uae/en/press-releases/story/Positive_economic__employment_sentiment_in_Dubai_boosts_property_sales_in_H1_2021-ZAWYA20210803062005/</t>
  </si>
  <si>
    <t>Dubai broker sees surge in British property buyers amid UAE's latest expat incentives</t>
  </si>
  <si>
    <t>https://www.arabianbusiness.com/real-estate/466741-dubai-broker-sees-surge-in-british-property-buyers-amid-uaes-latest-expat-incentives</t>
  </si>
  <si>
    <t>Dubai realty back in spotlight with deals hitting 10-year high</t>
  </si>
  <si>
    <t>https://www.khaleejtimes.com/property/dubai-realty-back-in-spotlight-with-deals-hitting-10-year-high</t>
  </si>
  <si>
    <t>Linda's Real Estate</t>
  </si>
  <si>
    <t>Linda's</t>
  </si>
  <si>
    <t>Property market sets new records as prices continue to climb in Q3</t>
  </si>
  <si>
    <t>https://www.zawya.com/mena/en/press-releases/story/Property_market_sets_new_records_as_prices_continue_to_climb_in_Q3-ZAWYA20211018115321/</t>
  </si>
  <si>
    <t>Liana Press</t>
  </si>
  <si>
    <t>https://www.lianapress.ae/releases/construction/property-market-sets-new-records-as-prices-continue-to-climb-in-q3.html</t>
  </si>
  <si>
    <t>UAE Business</t>
  </si>
  <si>
    <t>Property market sets new records as prices continue climb in Q3 2021</t>
  </si>
  <si>
    <t>https://uaebusiness.com/2021/10/19/property-market-sets-new-records-as-prices-continue-to-climb-in-q3/</t>
  </si>
  <si>
    <t>https://www.propertynews.ae/reports-updates/trends/property-market-sets-new-records-as-prices-continue-to-climb-in-q3/</t>
  </si>
  <si>
    <t>https://www.zawya.com/mena/en/story/amp/ZAWYA20211018115321/</t>
  </si>
  <si>
    <t>Dubai property market sees significant increase in sales transactions</t>
  </si>
  <si>
    <t>https://www.constructionweekonline.com/news/crc-released-dubai-commercial-real-estate-market-report-q3-2021</t>
  </si>
  <si>
    <t>CRC released Dubai Commercial Real Estate Market Report Q3 2021</t>
  </si>
  <si>
    <t>https://www.zawya.com/mena/en/press-releases/story/CRC_released_Dubai_Commercial_Real_Estate_Market_Report_Q3_2021-ZAWYA20211020084549/</t>
  </si>
  <si>
    <t>Industrial Real Estate News</t>
  </si>
  <si>
    <t>https://industrialrealestatenews.top/crc-released-dubai-commercial-real-estate-market-report-q3-2021/</t>
  </si>
  <si>
    <t xml:space="preserve">Facilities Management </t>
  </si>
  <si>
    <t>CRC released Dubai Commercial Real Estate Market Report Q3 2022</t>
  </si>
  <si>
    <t>https://www.fm-middleeast.com/business/crc-released-dubai-commercial-real-estate-market-report-q3-2021</t>
  </si>
  <si>
    <t>Is the pace of Dubai's recent property price hikes starting to slow?</t>
  </si>
  <si>
    <t>https://www.arabianbusiness.com/industries-real-estate/469867-is-the-pace-of-dubais-recent-property-price-hikes-starting-to-slow</t>
  </si>
  <si>
    <t>Better Homes plans global presence with more offices</t>
  </si>
  <si>
    <t>https://gulfnews.com/business/property/better-homes-plans-global-presence-with-more-offices-1.253412</t>
  </si>
  <si>
    <t>Dubai: Low-interest rates boost mortgage transactions in 2021</t>
  </si>
  <si>
    <t>https://www.khaleejtimes.com/business/dubai-low-interest-rates-boost-mortgage-transactions-in-2021</t>
  </si>
  <si>
    <t>Dubai property broker seals record $2m leasing deal for luxury villa</t>
  </si>
  <si>
    <t>https://www.arabianbusiness.com/real-estate/470612-dubai-property-broker-seals-record-2m-leasing-deal-for-luxury-villa</t>
  </si>
  <si>
    <t>Betterhomes logs leasing deal at $1.76 million in Emirates Hills</t>
  </si>
  <si>
    <t>https://www.constructionweekonline.com/business/betterhomes-logs-leasing-deal-at-1-76-million-in-emirates-hills</t>
  </si>
  <si>
    <t>Dubai property market logs highest leasing deal at AED7.5M/year</t>
  </si>
  <si>
    <t>https://uaebusiness.com/tag/better-homes-llc/</t>
  </si>
  <si>
    <t>https://www.lianapress.ae/releases/construction/dubai-property-market-logs-highest-leasing-deal-at-aed7.5myear.html</t>
  </si>
  <si>
    <t>Dubai property market logs highest leasing deal at AED7.5mln/year</t>
  </si>
  <si>
    <t>https://www.zawya.com/mena/en/press-releases/story/Dubai_property_market_logs_highest_leasing_deal_at_AED75mlnyear-ZAWYA20211103104849/</t>
  </si>
  <si>
    <t>Property Finder</t>
  </si>
  <si>
    <t>Latest Prestige November 2021 issue in Gulf Business</t>
  </si>
  <si>
    <t>https://www.propertyfinder.ae/hub/agent-guides/latest-prestige-november-2021-issue-in-gulf-business/</t>
  </si>
  <si>
    <t>https://www.thenationalnews.com/lifestyle/luxury/2021/11/06/dh75m-emirates-hills-villa-becomes-dubais-most-expensive-rental/</t>
  </si>
  <si>
    <t>Radio Eye</t>
  </si>
  <si>
    <t>Hannah's 7.5m leasinf deal</t>
  </si>
  <si>
    <t>Business Breakfast</t>
  </si>
  <si>
    <t>The Wall</t>
  </si>
  <si>
    <t>https://thewall.fyi/dubai-property-broker-seals-record-2m-leasing-deal-for-luxury-villa/</t>
  </si>
  <si>
    <t>https://intlbm.com/dubai-real-estate-market-clocks-its-highest-leasing-deal-worth-aed7-5-million/</t>
  </si>
  <si>
    <t>Medium Value Strat</t>
  </si>
  <si>
    <t>https://medium.com/@valustrat/dh7-5m-emirates-hills-villa-becomes-dubais-most-expensive-rental-fdd55e5c53bd</t>
  </si>
  <si>
    <t>The next wave: Top Dubai real estate trends forecasted in 2024</t>
  </si>
  <si>
    <t>https://www.constructionweekonline.com/analysis/the-next-wave-top-dubai-real-estate-trends-forecasted-in-2024</t>
  </si>
  <si>
    <t>Dubai real estate: Should you buy a timeshare? Experts weigh in</t>
  </si>
  <si>
    <t>https://www.arabianbusiness.com/industries/real-estate/dubai-real-estate-should-you-buy-a-timeshare-experts-weigh-in?utm_source=onesignal&amp;utm_medium=push-notification&amp;utm_campaign=pushnotification-traffic</t>
  </si>
  <si>
    <t>Super Guide Veronica (Netherlands)</t>
  </si>
  <si>
    <t>https://www.veronicasuperguide.nl/tv-tips/dubai-buying-the-dream?referrer=https%3A%2F%2Fwww.google.com%2F</t>
  </si>
  <si>
    <t>Business Insider India</t>
  </si>
  <si>
    <t>The Indian rich is buying property in Dubai – Tax benefits to rental yields, the driving forces at play</t>
  </si>
  <si>
    <t>https://www.businessinsider.in/personal-finance/news/the-indian-rich-is-buying-property-in-dubai-tax-benefits-to-rental-yields-the-driving-forces-at-play/articleshow/106767921.cms</t>
  </si>
  <si>
    <t>Indian Buyers Drove International Sales in Dubai Last Year</t>
  </si>
  <si>
    <t>https://www.mansionglobal.com/articles/mansion-global-daily-tinder-co-founder-selling-modern-los-angeles-mansion-e5ce92bb</t>
  </si>
  <si>
    <t>Chestertons MENA appoints Rachel Soriano as Director of Training and Development</t>
  </si>
  <si>
    <t>https://www.zawya.com/en/press-release/people-in-the-news/chestertons-mena-appoints-rachel-soriano-as-director-of-training-and-development-o6fpwo0i</t>
  </si>
  <si>
    <t>Gulf Daily News - Bahrain</t>
  </si>
  <si>
    <t>Chestertons Mena names new training, development head</t>
  </si>
  <si>
    <t>https://www.gdnonline.com/Details/1300467</t>
  </si>
  <si>
    <r>
      <rPr>
        <color rgb="FF1155CC"/>
        <u/>
      </rPr>
      <t>minfin.com.ua</t>
    </r>
    <r>
      <rPr/>
      <t xml:space="preserve"> - Ukraine</t>
    </r>
  </si>
  <si>
    <t>Sales of real estate in Dubai worth more than $25 million have doubled in a year</t>
  </si>
  <si>
    <t>https://minfin.com.ua/ua/2024/01/16/119753042/</t>
  </si>
  <si>
    <t>Veronica Superguide's viewing tips for your TV evening: Steenrijk, Straatarm, Dubai: Buying the Dream and DNA Unknown</t>
  </si>
  <si>
    <t>https://www.veronicasuperguide.nl/nieuws/veronica-superguide-s-kijktips-voor-je-tv-avond-steenrijk-straatarm-dubai-buying-the-dream-en-dna-onbekend</t>
  </si>
  <si>
    <t>Dubai property: End-users continue to rise</t>
  </si>
  <si>
    <t>https://www.khaleejtimes.com/hi/business/dubai-property-end-users-continue-to-rise</t>
  </si>
  <si>
    <t>https://www.zawya.com/en/business/real-estate/dubai-property-end-users-continue-to-rise-rhis0tpn</t>
  </si>
  <si>
    <t>Dubai real estate: Property sales shatter records in 2023 with over 120,000 transactions, says new report</t>
  </si>
  <si>
    <t>https://www.arabianbusiness.com/industries/real-estate/dubai-real-estate-property-sales-shatter-records-in-2023-with-over-120000-transactions-says-new-report</t>
  </si>
  <si>
    <t>Real estate in Dubai: Real estate sales hit records in 2023</t>
  </si>
  <si>
    <t>https://lepetitjournal.com/dubai/logement/immobilier-dubai-ventes-immobilieres-records-2023-377186</t>
  </si>
  <si>
    <t>One-cheque payments increasingly common in Dubai rental market</t>
  </si>
  <si>
    <t>https://www.thenationalnews.com/business/property/2024/01/20/one-cheque-payments-increasingly-common-in-dubai-rental-market/</t>
  </si>
  <si>
    <t>Indians, Russians and British buyers are Dubai's top property investors in 2023</t>
  </si>
  <si>
    <t>https://www.zawya.com/en/business/real-estate/indians-russians-and-british-buyers-are-dubais-top-property-investors-in-2023-lq6layv5</t>
  </si>
  <si>
    <t>Bol News (Pakistan)</t>
  </si>
  <si>
    <t>Indians top Dubai real estate market, surpass Russians for first time</t>
  </si>
  <si>
    <t>https://www.bolnews.com/latest/2024/01/indians-top-dubai-real-estate-market-surpass-russians-for-first-time/</t>
  </si>
  <si>
    <t>Business Recorder (Pakistan)</t>
  </si>
  <si>
    <t>2023: Pakistanis remain among top 10 buyers of Dubai property, Indians top list</t>
  </si>
  <si>
    <t>https://www.brecorder.com/news/40285061</t>
  </si>
  <si>
    <t>Dubai developer Deyaar's 2023 profit jumps over threefold on higher revenue</t>
  </si>
  <si>
    <t>https://www.thenationalnews.com/business/markets/2024/01/22/dubai-developer-deyaars-2023-profit-jumps-over-threefold-on-higher-revenue/</t>
  </si>
  <si>
    <t>Dubai developers entice new buyers with favourable payment terms</t>
  </si>
  <si>
    <t>https://www.thenationalnews.com/business/property/2024/01/24/dubai-developers-entice-new-buyers-with-favourable-payment-terms/</t>
  </si>
  <si>
    <t>Golden visas: UAE 'cancels minimum down payment' for property investors</t>
  </si>
  <si>
    <t>https://www.thenationalnews.com/business/money/2024/01/24/golden-visa-dubai-property/</t>
  </si>
  <si>
    <t>UAE Golden Visa: Minimum down-payment no longer required for property investors</t>
  </si>
  <si>
    <t>https://whatson.ae/2024/01/uae-golden-visa-minimum-down-payment-no-longer-required-for-property-investors/</t>
  </si>
  <si>
    <r>
      <rPr>
        <color rgb="FF1155CC"/>
        <u/>
      </rPr>
      <t>Investing.com</t>
    </r>
    <r>
      <rPr/>
      <t xml:space="preserve"> </t>
    </r>
  </si>
  <si>
    <t>Analysis-Dubai's property boom shows signs of fizzling out</t>
  </si>
  <si>
    <t>https://www.investing.com/news/stock-market-news/analysisdubais-property-boom-shows-signs-of-fizzling-out-3283664</t>
  </si>
  <si>
    <t>Dubai's property boom shows signs of fizzling out</t>
  </si>
  <si>
    <t>https://www.reuters.com/world/middle-east/dubais-property-boom-shows-signs-fizzling-out-2024-01-26/</t>
  </si>
  <si>
    <t>The Edge Malaysia</t>
  </si>
  <si>
    <t>IG (Ishradgul News)</t>
  </si>
  <si>
    <t>Dubai property boom shows signs of abating – Business &amp; Finance IG News</t>
  </si>
  <si>
    <t>https://irshadgul.com/dubai-property-boom-shows-signs-of-abating-business-finance-ig-news/</t>
  </si>
  <si>
    <t>Pi</t>
  </si>
  <si>
    <t>https://proiqra.com/dubais-real-estate-boom-shows-signs-of-faltering-business-finance-pi-news/</t>
  </si>
  <si>
    <t>Gulf -Times</t>
  </si>
  <si>
    <t>Dubai’s property boom shows signs of fizzling out</t>
  </si>
  <si>
    <t>https://www.gulf-times.com/article/676262/opinion/dubais-property-boom-shows-signs-of-fizzling-out</t>
  </si>
  <si>
    <t>Top property management companies for renting homes in Dubai: who are they and why are they needed?</t>
  </si>
  <si>
    <t>https://www.zawya.com/en/press-release/research-and-studies/top-property-management-companies-for-renting-homes-in-dubai-who-are-they-and-why-are-they-needed-j3lw28q2</t>
  </si>
  <si>
    <t>Moving to a new home: Here's what you need to know about rent and utility bills</t>
  </si>
  <si>
    <t>https://www.thenationalnews.com/uae/2024/02/02/moving-to-a-new-home-heres-what-you-need-to-know-about-rent-and-utility-bills/</t>
  </si>
  <si>
    <t>UAE: Despite traffic, tenants move to bigger units in same emirate to enhance lifestyle</t>
  </si>
  <si>
    <t>https://www.khaleejtimes.com/business/realty/uae-despite-traffic-tenants-move-to-bigger-units-in-same-emirate-to-enhance-lifestyle</t>
  </si>
  <si>
    <t>Times Now (India)</t>
  </si>
  <si>
    <t>Is Dubai's Property Market Surge Fuelled By Indian Investors?</t>
  </si>
  <si>
    <t>https://www.timesnownews.com/india/is-dubais-property-market-surge-fuelled-by-indian-investors-article-107430142</t>
  </si>
  <si>
    <t>CBS4 News</t>
  </si>
  <si>
    <t>Leading Real Estate Experts to Headline IPS 2024</t>
  </si>
  <si>
    <t>https://cbs4indy.com/business/press-releases/ein-presswire/689099087/leading-real-estate-experts-to-headline-ips-2024/</t>
  </si>
  <si>
    <t>UAE: Golden Visa demand growing among European property investors</t>
  </si>
  <si>
    <t>https://www.khaleejtimes.com/business/realty/uae-golden-visa-demand-growing-among-european-property-investors</t>
  </si>
  <si>
    <t>Menafn</t>
  </si>
  <si>
    <t>https://menafn.com/1107865247/Leading-Real-Estate-Experts-to-Headline-IPS-2024</t>
  </si>
  <si>
    <t>Up to 200% price increase: Why Dubai property buyers are now selling homes</t>
  </si>
  <si>
    <t>https://www.khaleejtimes.com/business/realty/up-to-200-return-dubai-property-turning-sellers-market-as-investors-take-advantage-of-3-year-pric</t>
  </si>
  <si>
    <t>The Circuit</t>
  </si>
  <si>
    <t>Russian buyers and a post-pandemic bump have also spurred house sales in the UAE.</t>
  </si>
  <si>
    <t>https://circuit.news/2024/02/22/dubai-now-a-sellers-market-after-surge-in-property-transactions/</t>
  </si>
  <si>
    <t>The Daily Circuit</t>
  </si>
  <si>
    <t>https://circuit.news/2024/02/22/the-daily-circuit-dubai-property-a-sellers-market-qatar-fishes-for-startups/</t>
  </si>
  <si>
    <t>Akhbrna News</t>
  </si>
  <si>
    <t>Dubai announces up to a 200% increase in property prices</t>
  </si>
  <si>
    <t>https://english.akhbrna.co/uae-news/dubai-announces-up-to-a-200</t>
  </si>
  <si>
    <t>PressReader</t>
  </si>
  <si>
    <t>Covid property buyer reap profit</t>
  </si>
  <si>
    <t>PressReader.com - Digital Newspaper &amp; Magazine Subscriptions</t>
  </si>
  <si>
    <t>Dubai real estate: As off-plan property sales are booming, which are the best areas to invest in?</t>
  </si>
  <si>
    <t>https://www.arabianbusiness.com/industries/real-estate/dubai-real-estate-as-off-plan-property-sales-are-booming-which-are-the-best-areas-to-invest-in</t>
  </si>
  <si>
    <t>Finance Middle East</t>
  </si>
  <si>
    <t>Will Dubai continue its trend of record-breaking real estate transactions in 2024?</t>
  </si>
  <si>
    <t>https://www.financemiddleeast.com/__trashed/</t>
  </si>
  <si>
    <t>Dubai revises Rera calculator: Residents may see up to 20% increase in rent</t>
  </si>
  <si>
    <t>https://www.khaleejtimes.com/business/realty/dubai-rera-calculator-updated-will-rents-rise</t>
  </si>
  <si>
    <t>Dubai Rera calculator updated: Will rents rise?</t>
  </si>
  <si>
    <t>https://www.zawya.com/en/business/real-estate/dubai-rera-calculator-updated-will-rents-rise-woe9duj0</t>
  </si>
  <si>
    <t>How Dubai’s Updated Rental Calculator Could Impact Tenants and Rents</t>
  </si>
  <si>
    <t>https://www.businessoutreach.in/how-dubais-updated-rental-calculator</t>
  </si>
  <si>
    <t>BNN Breaking</t>
  </si>
  <si>
    <t>Dubai's RERA Index Update Signals Rent Increases for Long-term Tenants: Insights from Industry Expert</t>
  </si>
  <si>
    <t>Dubai's RERA Index Update Signals Rent Increases for Long-term Ten… (bnnbreaking.com)</t>
  </si>
  <si>
    <t>Dubai Rera calculator updated: Will rents rise? (msn.com)</t>
  </si>
  <si>
    <t>samaa.tv</t>
  </si>
  <si>
    <t>Dubai revised rents leave landlords happy, tenants sad</t>
  </si>
  <si>
    <t>https://www.samaa.tv/2087310962-dubai-revised-rents-leave-landlords-happy-tenants-sad</t>
  </si>
  <si>
    <t>Dubai tenants face higher rents after Rera calculator reset</t>
  </si>
  <si>
    <t>https://www.thenationalnews.com/business/property/2024/03/09/dubai-tenants-face-higher-rents-after-rera-calculator-reset/</t>
  </si>
  <si>
    <t>UAE businesses dispute predicted Ramadan downturn</t>
  </si>
  <si>
    <t>https://www.agbi.com/analysis/food-drink/2024/03/uae-businesses-dispute-predicted-ramadan-downturn/</t>
  </si>
  <si>
    <t>Bayut recognises the "Real heroes of real estate" at the Bayut Awards 2023</t>
  </si>
  <si>
    <t>https://www.zawya.com/en/press-release/events-and-conferences/bayut-recognises-the-real-heroes-of-real-estate-at-the-bayut-awards-2023-o8x8amf8</t>
  </si>
  <si>
    <t>Dubai Chronicle</t>
  </si>
  <si>
    <t>Sterling Capital Real Estate Announces Its Premier Launch in Dubai</t>
  </si>
  <si>
    <t>https://www.dubaichronicle.com/2024/03/12/sterling-capital-real-estate-announces-its-premier-launch-in-dubai/</t>
  </si>
  <si>
    <t>The Eastern Herald (India)</t>
  </si>
  <si>
    <t>Indians become largest real estate investors in Dubai</t>
  </si>
  <si>
    <t>https://easternherald.com/2024/03/12/indians-largest-real-estate-investors-dubai/</t>
  </si>
  <si>
    <t>Dubai to increase property sizes after change in Golden Visa criteria sparks demand</t>
  </si>
  <si>
    <t>https://www.khaleejtimes.com/business/realty/dubai-golden-visa-demand-prompts-investors-to-raise-budget-developers-to-increase-unit-sizes</t>
  </si>
  <si>
    <t>Dubai real estate: Should you invest in a villa, townhouse or apartment in 2024? Experts weigh in</t>
  </si>
  <si>
    <t>https://www.arabianbusiness.com/industries/real-estate/dubai-real-estate-should-you-invest-in-a-villa-townhouse-or-apartment-in-2024-experts-weigh-in</t>
  </si>
  <si>
    <t>Dubai: 5 most attractive off-plan investment opportunities in 2024 revealed</t>
  </si>
  <si>
    <t>https://www.zawya.com/en/business/real-estate/dubai-5-most-attractive-off-plan-investment-opportunities-in-2024-revealed-e8lr69xq</t>
  </si>
  <si>
    <t>MenaFn</t>
  </si>
  <si>
    <t>https://menafn.com/1107986712/Dubai-5-Most-Attractive-Off-Plan-Investment-Opportunities-In-2024-Revealed</t>
  </si>
  <si>
    <t>https://www.khaleejtimes.com/business/realty/dubai-5-most-attractive-off-plan-investment-opportunities-in-2024-revealed</t>
  </si>
  <si>
    <t>Gulf News (online + print)</t>
  </si>
  <si>
    <t>Sharjah's new draft property law: Will a rental index replace current leasing terms?</t>
  </si>
  <si>
    <t>https://gulfnews.com/business/property/sharjahs-new-draft-property-law-will-a-rental-index-replace-current-leasing-terms-1.1710821855670</t>
  </si>
  <si>
    <t>Dubai mortgage holders squeezed by end of low fixed rates</t>
  </si>
  <si>
    <t>https://www.agbi.com/real-estate/2024/03/dubai-mortgage-holders-squeezed-by-end-of-low-fixed-rates/</t>
  </si>
  <si>
    <t>Lomond</t>
  </si>
  <si>
    <t>Dubai’s top 11 high-yield investment hotspots unveiled</t>
  </si>
  <si>
    <t>https://www.financemiddleeast.com/dubais-top-11-high-yield-investment-hotspots-unveiled/</t>
  </si>
  <si>
    <t>Finance Middle East - Lnkd</t>
  </si>
  <si>
    <t>Dubai’s bustling property sector</t>
  </si>
  <si>
    <t>https://www.linkedin.com/feed/update/urn:li:activity:7176805898206470145/</t>
  </si>
  <si>
    <t>Dubai: Rent-free months, other incentives dwindle for tenants amid high occupancy</t>
  </si>
  <si>
    <t>https://www.khaleejtimes.com/uae/dubai-rent-free-months-other-incentives-dwindle-for-tenants-amid-high-occupancy</t>
  </si>
  <si>
    <t>What Dubai’s united nations of property buyers want</t>
  </si>
  <si>
    <t>https://www.agbi.com/analysis/real-estate/2024/03/what-dubais-united-nations-of-property-buyers-want/</t>
  </si>
  <si>
    <t>CW-Property</t>
  </si>
  <si>
    <t>CW Property presents Cityscape Conversation: Betterhomes Louis Harding confirmed as a speaker</t>
  </si>
  <si>
    <t>https://property.constructionweekonline.com/cw-property-presents-cityscape-conversation-betterhomes-louis-harding-confirmed-as-a-speaker/</t>
  </si>
  <si>
    <t>Dubai Is Losing Its Allure For Wealthy Russians</t>
  </si>
  <si>
    <t>https://www.bloomberg.com/news/articles/2024-03-28/dubai-s-glitz-dims-for-russians-on-costs-us-sanction-pressures</t>
  </si>
  <si>
    <t>Osul Misr</t>
  </si>
  <si>
    <t>Dubai’s Glitz Dims for Russians On Costs، US Sanction Pressures</t>
  </si>
  <si>
    <t>https://www.osoulmisrmagazine.com/376544</t>
  </si>
  <si>
    <t>Dubai developers tempt off-plan buyers with 1% payment</t>
  </si>
  <si>
    <t>https://www.agbi.com/analysis/real-estate/2024/04/dubai-developers-tempt-off-plan-buyers-with-1-percent-payment/</t>
  </si>
  <si>
    <t>Offplan</t>
  </si>
  <si>
    <t>MSN.com</t>
  </si>
  <si>
    <t>Why are Indians keen to acquire expensive properties in Dubai and London?</t>
  </si>
  <si>
    <t>https://www.msn.com/en-in/money/topstories/why-are-indians-keen-to-acquire-expensive-properties-in-dubai-and-london/ar-BB1lcYQF</t>
  </si>
  <si>
    <t>Dubai real estate: Best property type to sell in 2024, experts reveal</t>
  </si>
  <si>
    <t>https://arabianbusiness.com/industries/real-estate/dubai-real-estate-best-property-type-to-sell-in-2024-experts-reveal</t>
  </si>
  <si>
    <t>The first boxing event is taking place at Burj Khalifa this April</t>
  </si>
  <si>
    <t>https://whatson.ae/2024/04/the-first-boxing-event-is-taking-place-at-burj-khalifa-this-april/</t>
  </si>
  <si>
    <t>This April, Dubai’s Burj Khalifa Will Host Its First Boxing Event At The Armani Pavilion</t>
  </si>
  <si>
    <t>https://curlytales.com/this-april-dubais-burj-khalifa-will-host-its-first-boxing-event-at-the-armani-pavilion/</t>
  </si>
  <si>
    <t>The Siasat Daily</t>
  </si>
  <si>
    <t>Dubai’s Burj Khalifa set to host 1st-ever boxing event on April 21</t>
  </si>
  <si>
    <t>https://www.siasat.com/dubais-burj-khalifa-set-to-host-1st-ever-boxing-event-on-april-21-3006904/</t>
  </si>
  <si>
    <t>Dubai real estate: Indian investors spark new round of growth in property market, driven by 5-year visit visa</t>
  </si>
  <si>
    <t>https://www.arabianbusiness.com/industries/real-estate/dubai-real-estate-indian-investors-spark-new-round-of-growth-in-property-market-driven-by-5-year-visit-visa</t>
  </si>
  <si>
    <t>Rising prices risk making Dubai homes ‘unattainable’</t>
  </si>
  <si>
    <t>https://www.agbi.com/analysis/real-estate/2024/04/dubai-rising-prices-risk-making-homes-unattainable-many/</t>
  </si>
  <si>
    <t>https://ca.movies.yahoo.com/movies/dubai-boom-sees-russian-cash-071659155.html?guccounter=1&amp;guce_referrer=aHR0cHM6Ly93d3cuZ29vZ2xlLmNvbS8&amp;guce_referrer_sig=AQAAAAksfQY9lqCVuzDxRNuQ6bntXNfTntSlpG9B9Pc8Qyseiy1edDZ2i3eKN9M05DcF9V6jpIerCaDu00Y2AIXEeXb_YoeS4hWDrH3agmrBNQDKoNy-I8Rgtt8Sg8dcRChIsfFRvd0mzNZrbuSBVXH3L6v-AvC53XrDOpVoKsHlD6kl</t>
  </si>
  <si>
    <t>Russians Transform Dubai as They Flee Putin’s War: Photo Essay</t>
  </si>
  <si>
    <t>https://www.bloomberg.com/news/articles/2024-04-22/russians-transform-dubai-as-they-flee-putin-s-war-photo-essay</t>
  </si>
  <si>
    <t>UAE: Landlords, developers to bear main cost of property damages after extreme weather</t>
  </si>
  <si>
    <t>https://www.khaleejtimes.com/uae/uae-landlords-developers-to-bear-primary-cost-for-property-damages-after-extreme-weather</t>
  </si>
  <si>
    <t>Dubai real estate: Property market shatters records with over 30,000 transactions in Q1 2024</t>
  </si>
  <si>
    <t>https://www.arabianbusiness.com/industries/real-estate/dubai-real-estate-property-market-shatters-records-with-over-30000-transactions-in-q1-2024</t>
  </si>
  <si>
    <t>Dubai: Why property prices, rentals will continue to rise next year also</t>
  </si>
  <si>
    <t>https://www.zawya.com/en/business/real-estate/dubai-why-property-prices-rentals-will-continue-to-rise-next-year-also-s7t8me42</t>
  </si>
  <si>
    <t>https://www.khaleejtimes.com/uae/dubai-why-property-prices-rentals-will-continue-to-rise-next-year-also</t>
  </si>
  <si>
    <t>Dubai: Tenants Prefer Online Bank Payments Over Cheques As Rents Rise</t>
  </si>
  <si>
    <t>https://menafn.com/1108149482/Dubai-Tenants-Prefer-Online-Bank-Payments-Over-Cheques-As-Rents-Rise</t>
  </si>
  <si>
    <t>https://www.khaleejtimes.com/business/dubai-tenants-prefer-online-bank-payments-over-cheques-as-rents-rise</t>
  </si>
  <si>
    <t>Dubai: Some landlords seek minimum lease duration as rentals continue upward trend</t>
  </si>
  <si>
    <t>https://www.khaleejtimes.com/business/realty/dubai-some-landlords-seek-minimum-lease-duration-as-rentals-continue-upward-trend</t>
  </si>
  <si>
    <t>https://www.zawya.com/en/business/real-estate/dubai-some-landlords-seek-minimum-lease-duration-as-rentals-continue-upward-trend-kuh2n3l1</t>
  </si>
  <si>
    <t>https://www.zawya.com/en/business/real-estate/dubai-tenants-prefer-online-bank-payments-over-cheques-as-rents-rise-nhzntvtp</t>
  </si>
  <si>
    <t>Dubai real estate: British investors overtake Indians, Russians in record numbers as they flock to UAE for Golden Visas, tax-free luxury living</t>
  </si>
  <si>
    <t>https://www.arabianbusiness.com/industries/real-estate/dubai-real-estate-british-investors-overtake-indians-russians-in-record-numbers-as-they-flock-to-uae-for-golden-visas-tax-free-luxury-living</t>
  </si>
  <si>
    <t>UAE: New Airport Plan To Drive Property Demand, Prices In Dubai South</t>
  </si>
  <si>
    <t>https://menafn.com/1108168001/UAE-New-Airport-Plan-To-Drive-Property-Demand-Prices-In-Dubai-South</t>
  </si>
  <si>
    <t>https://www.khaleejtimes.com/uae/uae-new-airport-plan-to-to-drive-property-demand-prices-in-dubai-south</t>
  </si>
  <si>
    <t>https://www.zawya.com/en/business/real-estate/uae-new-airport-plan-to-drive-property-demand-prices-in-dubai-south-adz9afik</t>
  </si>
  <si>
    <t>Why are Dubai buyers snapping up homes worth millions in record time?</t>
  </si>
  <si>
    <t>https://property.constructionweekonline.com/why-are-dubai-buyers-snapping-up-homes-worth-millions-in-record-time/</t>
  </si>
  <si>
    <t>Dubai real estate: JVC, Dubai Marina popularity booms as British buyers hunt for affordable apartments</t>
  </si>
  <si>
    <t>https://www.arabianbusiness.com/industries/real-estate/dubai-real-estate-jvc-dubai-marina-popularity-booms-as-british-buyers-hunt-for-affordable-apartments</t>
  </si>
  <si>
    <t>https://ca.movies.yahoo.com/finance/news/russias-mts-bank-uae-licence-093910337.html</t>
  </si>
  <si>
    <t>CRC reveals top office areas in Q1 2024</t>
  </si>
  <si>
    <t>https://www.zawya.com/en/press-release/research-and-studies/crc-reveals-top-office-areas-in-q1-2024-jls7jcgj</t>
  </si>
  <si>
    <t>Dubai residents stop renting, start buying as mortgage payments start to ‘match’ rental costs: Experts</t>
  </si>
  <si>
    <t>https://www.arabianbusiness.com/industries/real-estate/dubai-residents-stop-renting-start-buying-as-mortgage-payments-start-to-match-rental-costs-experts</t>
  </si>
  <si>
    <t>Revealed: Top 4 locations driving office demand in Dubai</t>
  </si>
  <si>
    <t>https://property.constructionweekonline.com/revealed-top-4-locations-driving-office-demand-in-dubai/</t>
  </si>
  <si>
    <t>Dubai real estate: Commercial property market sees growth in Q1 2024</t>
  </si>
  <si>
    <t>https://www.arabianbusiness.com/industries/real-estate/dubai-real-estate-commercial-property-market-sees-growth-in-q1-2024</t>
  </si>
  <si>
    <t>MenaFN</t>
  </si>
  <si>
    <t>Dubai: New Office Spaces Being Pre-Leased As Demand Outstrips Supply</t>
  </si>
  <si>
    <t>https://menafn.com/1108203482/Dubai-New-Office-Spaces-Being-Pre-Leased-As-Demand-Outstrips-Supply</t>
  </si>
  <si>
    <t>‘Dubai Unlocked’: Pakistanis own properties worth $11bn in emirate city, report says</t>
  </si>
  <si>
    <t>https://www.brecorder.com/news/40303406</t>
  </si>
  <si>
    <t>Indian investors drive Dubai real estate boom</t>
  </si>
  <si>
    <t>https://property.constructionweekonline.com/indian-investors-drive-dubai-real-estate-boom/</t>
  </si>
  <si>
    <t>Dubai tenants opt for smaller flats within city amid record high rents, growing demand</t>
  </si>
  <si>
    <t>https://www.khaleejtimes.com/uae/dubai-tenants-opt-for-smaller-flats-within-city-amid-record-high-rents-growing-demand</t>
  </si>
  <si>
    <t>https://www.zawya.com/en/business/real-estate/dubai-tenants-opt-for-smaller-flats-within-city-amid-record-high-rents-growing-demand-om76s46k</t>
  </si>
  <si>
    <t>Dubai Tenants Opt For Smaller Flats Within City Amid Record High Rents, Growing Demand</t>
  </si>
  <si>
    <t>https://menafn.com/1108232128/Dubai-Tenants-Opt-For-Smaller-Flats-Within-City-Amid-Record-High-Rents-Growing-Demand</t>
  </si>
  <si>
    <t>Dubai: Gap Between Asking And Bid Rates Widens As Landlords Raise Rents</t>
  </si>
  <si>
    <t>https://menafn.com/1108237578/Dubai-Gap-Between-Asking-And-Bid-Rates-Widens-As-Landlords-Raise-Rents</t>
  </si>
  <si>
    <t>Akhbrna.co</t>
  </si>
  <si>
    <t>Tenants in Dubai are resorting to some alternative solutions after the rise in rental prices</t>
  </si>
  <si>
    <t>https://en-news.akhbrna.co/uae-news/tenants-in-dubai-are-resorting-to</t>
  </si>
  <si>
    <t>From buyers to sellers: Russians cool on Dubai real estate</t>
  </si>
  <si>
    <t>https://www.agbi.com/analysis/real-estate/2024/05/from-buyers-to-sellers-russians-cool-on-dubai-real-estate/</t>
  </si>
  <si>
    <t>Betterhomes appoints new Director of Leasing</t>
  </si>
  <si>
    <t>https://www.zawya.com/en/press-release/people-in-the-news/betterhomes-appoints-new-director-of-leasing-wnk9aotc</t>
  </si>
  <si>
    <t>How much should you earn to buy a Dubai property worth $1 million?</t>
  </si>
  <si>
    <t>https://www-thenationalnews-com.cdn.ampproject.org/c/s/www.thenationalnews.com/business/money/2024/05/23/how-much-should-you-earn-to-buy-a-dubai-property-worth-1-million/?outputType=amp</t>
  </si>
  <si>
    <t>Many Dubai tenants must decide fast to renew leases or not as RERA's 'market rates' come into play</t>
  </si>
  <si>
    <t>https://gulfnews.com/business/property/many-dubai-tenants-must-decide-fast-to-renew-leases-or-not-as-reras-market-rates-come-into-play-1.1716524142232</t>
  </si>
  <si>
    <t>MEA Business</t>
  </si>
  <si>
    <t>Meet Betterhomes’ Freshly Appointed Director of Leasing.</t>
  </si>
  <si>
    <t>https://mea-biz.com/meet-betterhomes-freshly-appointed-director-of-leasing/</t>
  </si>
  <si>
    <t>Dubai: Why More Tenants Will Move Out From Rented Properties In The Coming Months</t>
  </si>
  <si>
    <t>https://menafn.com/1108259245/Dubai-Why-More-Tenants-Will-Move-Out-From-Rented-Properties-In-The-Coming-Months</t>
  </si>
  <si>
    <t>UAE offices in demand – in contrast to the West</t>
  </si>
  <si>
    <t>https://www.agbi.com/analysis/real-estate/2024/05/uae-offices-in-demand-in-contrast-to-the-west/</t>
  </si>
  <si>
    <t>Flexibility and amenities key to UAE office sector’s future</t>
  </si>
  <si>
    <t>https://www.agbi.com/analysis/real-estate/2024/05/flexibility-and-amenities-key-to-uae-office-sectors-future/</t>
  </si>
  <si>
    <t>Renting a home in Dubai: How much is the security deposit?</t>
  </si>
  <si>
    <t>https://gulfnews.com/living-in-uae/housing/renting-a-home-in-dubai-how-much-is-the-security-deposit-1.1716906865349</t>
  </si>
  <si>
    <t>Dubai real estate: Home Loan vs. Mortgage – Which is a better property financing option? Experts weigh in</t>
  </si>
  <si>
    <t>https://www.arabianbusiness.com/industries/real-estate/dubai-real-estate-home-loan-vs-mortgage-which-is-a-better-financing-option-experts-weigh-in</t>
  </si>
  <si>
    <t xml:space="preserve">The National (Online+Print) </t>
  </si>
  <si>
    <t>Money &amp; Me: ‘My first commission in Dubai was more than a nurse’s annual salary in the UK’</t>
  </si>
  <si>
    <t>https://www.thenationalnews.com/business/money/2024/06/07/money-me-my-first-commission-in-dubai-was-more-than-a-nurses-annual-salary-in-the-uk/</t>
  </si>
  <si>
    <t>Dubai real estate: The best areas to ‘buy-to-rent’ property, according to experts</t>
  </si>
  <si>
    <t>https://www.arabianbusiness.com/industries/real-estate/dubai-real-estate-the-best-areas-to-buy-to-rent-property-according-to-experts</t>
  </si>
  <si>
    <t>Dubai remains top draw for super rich</t>
  </si>
  <si>
    <t>https://www.khaleejtimes.com/business/realty/dubai-remains-top-draw-for-super-rich</t>
  </si>
  <si>
    <t>Top 50</t>
  </si>
  <si>
    <t>Dubai Remains Top Draw For Super Rich</t>
  </si>
  <si>
    <t>https://menafn.com/1108339294/Dubai-Remains-Top-Draw-For-Super-Rich</t>
  </si>
  <si>
    <t>Dubai Sees 270 Properties Rented For More Than Dh1 Million In 2024</t>
  </si>
  <si>
    <t>https://menafn.com/1108355063/Dubai-Sees-270-Properties-Rented-For-More-Than-Dh1-Million-In-2024#google_vignette</t>
  </si>
  <si>
    <t>Sharjah's existing 3-year rent freeze rule proves big hit with tenants seeking relocations</t>
  </si>
  <si>
    <t>https://gulfnews.com/business/property/sharjahs-existing-3-year-rent-freeze-rule-proves-big-hit-with-tenants-seeking-relocations-1.1718945276737</t>
  </si>
  <si>
    <t>Ultra-wealthy snap up Dubai’s luxury properties seeking better value for money</t>
  </si>
  <si>
    <t>https://www.thenationalnews.com/business/property/2024/06/22/ultra-wealthy-snap-up-dubais-luxury-properties-seeking-better-value-for-money/</t>
  </si>
  <si>
    <t>Alwast News</t>
  </si>
  <si>
    <t>Dubai: Annual rent for some villas, flats exceeds Dh1 million amid demand</t>
  </si>
  <si>
    <t>https://enews.alwast.net/business/dubai-rent-crosses-dh1-million-per</t>
  </si>
  <si>
    <t>Revealed: Who will invest in Dubai's property market in future and why</t>
  </si>
  <si>
    <t>https://www.khaleejtimes.com/business/realty/revealed-who-will-invest-in-dubais-property-market-in-future-and-why</t>
  </si>
  <si>
    <t>Revealed: Who Will Invest In Dubai's Property Market In Future And Why</t>
  </si>
  <si>
    <t>https://menafn.com/1108361510/Revealed-Who-Will-Invest-In-Dubais-Property-Market-In-Future-And-Why</t>
  </si>
  <si>
    <t>Dubai rents set to jump 10% in remainder of 2024</t>
  </si>
  <si>
    <t>https://www.khaleejtimes.com/uae/dubai-rents-set-to-jump-10-in-remainder-of-2024</t>
  </si>
  <si>
    <t>Dubai: Now, 'Own' A Home On The Palm, Downtown For Just Dh200,000 Here's How</t>
  </si>
  <si>
    <t>https://menafn.com/1108369619/Dubai-Now-Own-A-Home-On-The-Palm-Downtown-For-Just-Dh200000-Heres-How</t>
  </si>
  <si>
    <t>Dubai real estate: Off-plan villa sales skyrocket 209% MoM in May, apartments up 38.55%</t>
  </si>
  <si>
    <t>https://www.arabianbusiness.com/industries/real-estate/dubai-real-estate-off-plan-villa-sales-skyrocket-209-mom-in-may-apartments-up-38-55</t>
  </si>
  <si>
    <t>Villa transactions boost off-plan market in May 2024</t>
  </si>
  <si>
    <t>https://www.zawya.com/en/press-release/research-and-studies/villa-transactions-boost-off-plan-market-in-may-2024-gsudzv1l</t>
  </si>
  <si>
    <t>Dubai: Residents, investors opt for off-plan units due to lack of affordable listing</t>
  </si>
  <si>
    <t>https://www.khaleejtimes.com/business/dubai-residents-investors-opt-for-off-plan-units-due-to-lack-of-affordable-listing</t>
  </si>
  <si>
    <t>Dubai: Residents, Investors Opt For Off-Plan Units Due To Lack Of Affordable Listing</t>
  </si>
  <si>
    <t>https://menafn.com/1108395395/Dubai-Residents-Investors-Opt-For-Off-Plan-Units-Due-To-Lack-Of-Affordable-Listing</t>
  </si>
  <si>
    <t>Dubai: Want to buy an off-plan property? Banks have made it easier</t>
  </si>
  <si>
    <t>https://property.constructionweekonline.com/dubai-want-to-buy-an-off-plan-property-banks-have-made-it-easier/</t>
  </si>
  <si>
    <t>Off-plan| Lomond</t>
  </si>
  <si>
    <t>Dubai real estate: How new bank mortgage options make buying property easier than ever with reduced lump sum burden</t>
  </si>
  <si>
    <t>https://www.arabianbusiness.com/industries/real-estate/dubai-real-estate-how-new-bank-mortgage-options-make-buying-property-easier-than-ever-with-reduced-lump-sum-burden</t>
  </si>
  <si>
    <t>Dubai real estate: Property market records 48% increase in Q2 2024 transactions</t>
  </si>
  <si>
    <t>https://www.arabianbusiness.com/industries/real-estate/dubai-real-estate-property-market-records-48-increase-in-q2-2024-transactions</t>
  </si>
  <si>
    <t>UAE: More landlords ask tenants to pay for repairs, maintenance cost</t>
  </si>
  <si>
    <t>https://www.khaleejtimes.com/business/uae-landlords-increasingly-ask-tenants-to-pay-for-repairs-maintenance-cost</t>
  </si>
  <si>
    <t>UAE: More Landlords Ask Tenants To Pay For Repairs, Maintenance Cost</t>
  </si>
  <si>
    <t>https://menafn.com/1108464789/UAE-More-Landlords-Ask-Tenants-To-Pay-For-Repairs-Maintenance-Cost</t>
  </si>
  <si>
    <t>Dubai real estate: Off-plan property market hits $14.1bn in Q2 2024</t>
  </si>
  <si>
    <t>https://www.arabianbusiness.com/industries/real-estate/dubai-real-estate-off-plan-property-market-hits-14-1bn-in-q2-2024</t>
  </si>
  <si>
    <t>Dubai: Want to invest in an off-plan property? Here are the top areas to consider</t>
  </si>
  <si>
    <t>https://property.constructionweekonline.com/dubai-want-to-invest-in-an-off-plan-property-here-are-the-top-areas-to-consider/</t>
  </si>
  <si>
    <t>Dubai real estate: Office market shows resilience as demand outpaces supply</t>
  </si>
  <si>
    <t>https://www.arabianbusiness.com/industries/real-estate/dubai-real-estate-office-market-shows-resilience-as-demand-outpaces-supply</t>
  </si>
  <si>
    <t>Dubai real estate: Here are the top 5 office locations in 2024</t>
  </si>
  <si>
    <t>https://www.constructionweekonline.com/business/top-5-locations-for-offices-dubai</t>
  </si>
  <si>
    <t>Dubai’s office sector sees 20,000 sqm added in the second quarter</t>
  </si>
  <si>
    <t>https://www.khaleejtimes.com/business/realty/dubais-office-sector-sees-20000-sqm-added-in-the-second-quarter</t>
  </si>
  <si>
    <t>Dubai's Office Sector Sees 20,000 Sqm Added In The Second Quarter</t>
  </si>
  <si>
    <t>https://menafn.com/1108472948/Dubais-Office-Sector-Sees-20000-Sqm-Added-In-The-Second-Quarter</t>
  </si>
  <si>
    <t>Dubai set to record handover of 38,174 new homes this year</t>
  </si>
  <si>
    <t>https://www.thenationalnews.com/business/property/2024/07/27/dubai-set-to-record-handover-of-38174-new-homes-this-year/</t>
  </si>
  <si>
    <t>Dubai: Tenants In Some Areas Still Pay Less Than Rera Rental Index</t>
  </si>
  <si>
    <t>https://menafn.com/1108492296/Dubai-Tenants-In-Some-Areas-Still-Pay-Less-Than-Rera-Rental-Index</t>
  </si>
  <si>
    <t>Dubai: Tenants in some areas still pay less than Rera Rental Index</t>
  </si>
  <si>
    <t>https://www.khaleejtimes.com/business/realty/revealed-dubai-areas-where-tenants-still-pay-less-than-rera-rental-index-rates</t>
  </si>
  <si>
    <t xml:space="preserve">Dubai: Why more landlords are asking tenants to vacate properties
</t>
  </si>
  <si>
    <t>https://www.khaleejtimes.com/business/realty/dubai-why-more-landlords-asking-tenants-to-vacate-properties</t>
  </si>
  <si>
    <t>Dubai real estate: Off-plan property market surges to 60% of total transactions in July 2024</t>
  </si>
  <si>
    <t>https://www.arabianbusiness.com/industries/real-estate/dubai-real-estate-off-plan-property-market-surges-to-60-of-total-transactions-in-july-2024</t>
  </si>
  <si>
    <t>Dubai real estate: How much should you earn to buy property worth $1 million?</t>
  </si>
  <si>
    <t>https://www.arabianbusiness.com/industries/real-estate/dubai-real-estate-how-much-should-you-earn-to-buy-property-worth-1-million</t>
  </si>
  <si>
    <t>Dubai's Burj Azizi tower set to be world's second-tallest</t>
  </si>
  <si>
    <t>https://www.thenationalnews.com/business/property/2024/09/04/dubais-burj-azizi-tower-set-to-be-worlds-second-tallest/</t>
  </si>
  <si>
    <t>Dubai real estate market hits new heights in August 2024</t>
  </si>
  <si>
    <t>https://www.zawya.com/en/press-release/companies-news/dubai-real-estate-market-hits-new-heights-in-august-2024-psymw6xh</t>
  </si>
  <si>
    <t>Dubai real estate: Property sales hit $10.4bn in August, says new report</t>
  </si>
  <si>
    <t>https://www.arabianbusiness.com/industries/real-estate/dubai-real-estate-property-sales-hit-10-4bn-in-august-says-new-report</t>
  </si>
  <si>
    <t>Dubai: Most villa community prices more than double in four years</t>
  </si>
  <si>
    <t>https://www.khaleejtimes.com/business/realty/dubai-most-villa-community-prices-more-than-double-in-four-years</t>
  </si>
  <si>
    <t>Prices stabilise in Dubai’s off-plan market as supply grows</t>
  </si>
  <si>
    <t>https://www.agbi.com/real-estate/2024/09/prices-stabilise-dubai-off-plan-market-supply-grows/</t>
  </si>
  <si>
    <t>Dubai real estate: Off-Plan property prices stabilise after 2023 boom, says new report</t>
  </si>
  <si>
    <t>https://www.arabianbusiness.com/industries/real-estate/dubai-real-estate-off-plan-property-prices-stabilise-after-2023-boom-says-new-report?utm_medium=email&amp;utm_medium=email&amp;utm_campaign=Is%20TikTok%20the%20new%20LinkedIn%20Dubai%20off-plan%20property%20prices%20stabilise%20Saudi%20to%20create%2011000%20new%20jobs%20083002%20AM&amp;utm_content=Is%20TikTok%20the%20new%20LinkedIn%20Dubai%20off-plan%20property%20prices%20stabilise%20Saudi%20to%20create%2011000%20new%20jobs%20083002%20AM+CID_125c3ce734e03d1252d65fb1f313b0b5&amp;utm_source=Newsletters&amp;utm_term=Dubai%20real%20estate%20Off-Plan%20property%20prices%20stabilise%20after%202023%20boom%20says%20new%20report</t>
  </si>
  <si>
    <t>Betterhomes - Off Plan</t>
  </si>
  <si>
    <t>Dubai: Slight drop in off-plan property prices as investors move to ready properties</t>
  </si>
  <si>
    <t>https://www.khaleejtimes.com/business/realty/dubai-slight-drop-in-off-plan-property-prices-as-investors-move-to-ready-properties</t>
  </si>
  <si>
    <t>Dubai: Property owners earn Dh13,000 more than tenants, reveals report</t>
  </si>
  <si>
    <t>https://www.khaleejtimes.com/business/realty/dubai-property-owners-earn-dh13000-more-than-tenants-reveals-report</t>
  </si>
  <si>
    <t>Dubai real estate: Property prices set to rise in 2024, survey reveals</t>
  </si>
  <si>
    <r>
      <rPr/>
      <t>Dubai real estate: Property prices set to rise in 2024, survey reveals - Arabian Business: Latest News on the Middle East, Real Estate, Finance, and More</t>
    </r>
  </si>
  <si>
    <t>A 7,000-Year-Old City Emerges as a Haven from Dubai’s Sky-High Rents</t>
  </si>
  <si>
    <t>https://www.bnnbloomberg.ca/business/company-news/2024/09/29/a-7000-year-old-city-emerges-as-a-haven-from-dubais-sky-high-rents/</t>
  </si>
  <si>
    <t>Dubailand vs Dubai Creek Harbour: How much real estate can you buy for $1mn?</t>
  </si>
  <si>
    <t>https://www.arabianbusiness.com/industries/real-estate/dubailand-vs-dubai-creek-harbour-how-much-real-estate-can-you-buy-for-1mn</t>
  </si>
  <si>
    <t>Dubai real estate market: Why wealthy Indians choose to invest</t>
  </si>
  <si>
    <t>https://economymiddleeast.com/news/dubai-real-estate-market-why-wealthy-indians-choose-to-invest/</t>
  </si>
  <si>
    <t>Betterhomes partners with PropertyBox to elevate real estate marketing in UAE</t>
  </si>
  <si>
    <t>https://www.arabianbusiness.com/industries/real-estate/betterhomes-partners-with-propertybox-to-elevate-real-estate-marketing-in-uae</t>
  </si>
  <si>
    <t>FinanceWorld</t>
  </si>
  <si>
    <t>Betterhomes Partners with PropertyBox to Enhance Real Estate Marketing</t>
  </si>
  <si>
    <t>https://thefinanceworld.com/betterhomes-partners-with-propertybox-to-enhance-real-estate-marketing/</t>
  </si>
  <si>
    <t>Dubai real estate demand expected to spike as renters look to buy: Report</t>
  </si>
  <si>
    <t>https://www.arabianbusiness.com/industries/real-estate/dubai-real-estate-demand-expected-to-spike-as-renters-look-to-buy-report</t>
  </si>
  <si>
    <t>Largest-ever leasing deal in Dubai property successfully closed</t>
  </si>
  <si>
    <t>https://www.khaleejtimes.com/business/realty/largest-ever-leasing-deal-in-dubai-property-successfully-closed</t>
  </si>
  <si>
    <t>PRESSR: Prime by Betterhomes closes Dubai’s biggest leasing deal on Jumeirah Bay Island</t>
  </si>
  <si>
    <t>https://in.tradingview.com/news/reuters.com,2024-10-15:newsml_Zaw8MtRMC:0-pressr-prime-by-betterhomes-closes-dubai-s-biggest-leasing-deal-on-jumeirah-bay-island/</t>
  </si>
  <si>
    <t>Jumeirah Bay Island Mansion Sets Rental Record in Dubai</t>
  </si>
  <si>
    <t>https://www.mansionglobal.com/articles/jumeirah-bay-island-mansion-sets-rental-record-in-dubai-fc725df3</t>
  </si>
  <si>
    <t>Prime by Betterhomes closes Dubai’s biggest leasing deal on Jumeirah Bay Island</t>
  </si>
  <si>
    <t>https://www.zawya.com/en/press-release/companies-news/prime-by-betterhomes-closes-dubais-biggest-leasing-deal-on-jumeirah-bay-island-my5jhraj</t>
  </si>
  <si>
    <t>Bizpreneur Middle East</t>
  </si>
  <si>
    <t>https://www.bizpreneurme.com/prime-by-betterhomes-closes-dubais-biggest-leasing-deal-on-jumeirah-bay-island/</t>
  </si>
  <si>
    <t xml:space="preserve">Dubai villa sets record with $4.2m a year rent </t>
  </si>
  <si>
    <t>https://www.arabianbusiness.com/industries/real-estate/dubai-villa-sets-record-with-4-2m-a-year-rent</t>
  </si>
  <si>
    <t>Dubai’s Jumeirah Bay Island sets new real estate record: Mansion leased for $4.2M</t>
  </si>
  <si>
    <t>https://property.constructionweekonline.com/dubais-jumeirah-bay-island-sets-new-real-estate-record-mansion-leased-for-4-2m/</t>
  </si>
  <si>
    <t>Dubai's Jumeira Bay homes set new record, including one for Dh15.5m annual rent</t>
  </si>
  <si>
    <t>https://gulfnews.com/business/property/dubais-jumeira-bay-homes-set-new-record-including-one-for-dh155m-annual-rent-1.1729063442852</t>
  </si>
  <si>
    <t>Bazaar Times</t>
  </si>
  <si>
    <t>Dubai’s Jumeira Bay Homes Set New Record with Annual Rental of $4.2 Million and High-Value Sales</t>
  </si>
  <si>
    <t>https://bazaartimes.com/dubais-jumeira-bay-homes-set-new-record-with-annual-rental-of-4-2-million-and-high-value-sales/</t>
  </si>
  <si>
    <r>
      <rPr>
        <rFont val="Roboto, sans-serif"/>
        <b/>
        <color rgb="FF404040"/>
        <sz val="11.0"/>
      </rPr>
      <t>Dubai</t>
    </r>
    <r>
      <rPr>
        <rFont val="Roboto, sans-serif"/>
        <color rgb="FF404040"/>
        <sz val="11.0"/>
      </rPr>
      <t xml:space="preserve"> </t>
    </r>
    <r>
      <rPr>
        <rFont val="Roboto, sans-serif"/>
        <color rgb="FF404040"/>
        <sz val="11.0"/>
      </rPr>
      <t>villa rented out for Dh15.5 million a year in emirate's largest leasing deal - MSN</t>
    </r>
  </si>
  <si>
    <t>https://www.msn.com/en-ae/news/featured/dubai-villa-rented-out-for-dh155-million-a-year-in-emirates-largest-leasing-deal/ar-AA1smMdm</t>
  </si>
  <si>
    <t>UAE interest rates drop: More Dubai property buyers opt for mortgage over cash</t>
  </si>
  <si>
    <t>https://www.khaleejtimes.com/business/realty/uae-interest-rates-drop-more-dubai-property-buyers-opt-for-mortgage-over-cash</t>
  </si>
  <si>
    <t>https://www.khaleejtimes.com/business/realty/uae-interest-rates-drop-more-dubai-property-buyers-opt-for-mortgage-over-cash?_refresh=true</t>
  </si>
  <si>
    <t>Dubai’s new homes are getting smaller – that's both bad and good</t>
  </si>
  <si>
    <t>https://www.thenationalnews.com/business/property/2024/10/20/dubais-new-homes-are-getting-smaller-thats-both-bad-and-good/</t>
  </si>
  <si>
    <t>Realty Plus</t>
  </si>
  <si>
    <t>Dubai's New Homes Are Shrinking</t>
  </si>
  <si>
    <t>https://www.rprealtyplus.com/international/dubais-new-homes-are-shrinking-117232.html</t>
  </si>
  <si>
    <t>UAE warehousing attracts new institutional investors</t>
  </si>
  <si>
    <t>https://www.agbi.com/analysis/construction/2024/10/uae-warehousing-attracts-new-institutional-investors/</t>
  </si>
  <si>
    <t>Betterhomes / CRC</t>
  </si>
  <si>
    <t>Dubai’s real estate debate: Waterfront vs city view properties</t>
  </si>
  <si>
    <t>https://www.constructionweekonline.com/business/insights/dubais-real-estate-debate-waterfront-vs-city-view-properties</t>
  </si>
  <si>
    <t>Dubai waterfront vs city view properties: Which is a better investment? Experts weigh in</t>
  </si>
  <si>
    <t>https://www.arabianbusiness.com/industries/real-estate/dubai-waterfront-vs-city-view-properties-which-is-a-better-investment-experts-weigh-in</t>
  </si>
  <si>
    <t>Financial Express</t>
  </si>
  <si>
    <t>Dubai Dreams: Why Indian Buyers are Turning to Dubai’s Real Estate Market this Festive Season</t>
  </si>
  <si>
    <t>https://www.financialexpress.com/business/industry-dubai-dreams-why-indian-buyers-are-turning-to-dubais-real-estate-market-this-festive-season-3651183/</t>
  </si>
  <si>
    <t>Prop News Time</t>
  </si>
  <si>
    <t>Dubai Homes Shrink To Decade Low Sizes As Developers Focus On Affordability And Sustainability</t>
  </si>
  <si>
    <t>https://www.propnewstime.com/getdetailsStories/MTE1Nzg=/dubai-homes-shrink-to-decade-low-sizes-as-developers-focus-on-affordability-and-sustainability</t>
  </si>
  <si>
    <t>Pantheon Development launches $272M mixed-use project in booming RAK</t>
  </si>
  <si>
    <t>https://www.constructionweekonline.com/news/pantheon-development-launches-272m-mixed-use-project-in-booming-rak</t>
  </si>
  <si>
    <t>Dubai's Pantheon Development unveils ‘One Central’ project in Ras Al Khaimah</t>
  </si>
  <si>
    <t>https://www.zawya.com/en/projects/construction/dubais-pantheon-development-unveils-one-central-project-in-ras-al-khaimah-yf8x8dcp</t>
  </si>
  <si>
    <t>Dubai’s Pantheon Development set to unveil AED 1bn project in RAK</t>
  </si>
  <si>
    <t>https://www.arabianbusiness.com/industries/real-estate/dubais-pantheon-development-set-to-unveil-aed-1bn-project-in-rak</t>
  </si>
  <si>
    <t>Construction &amp; Real Estate - Pantheon unveils $272m mixed-use project in Ras Al Khaimah</t>
  </si>
  <si>
    <t>https://tradearabia.com/touch/article/CONS/428135</t>
  </si>
  <si>
    <t>Buoyant property market puts billions in Dubai’s coffers</t>
  </si>
  <si>
    <t>https://www.agbi.com/analysis/tax/2024/11/property-market-dubai-government-fees/</t>
  </si>
  <si>
    <t>Jobx News</t>
  </si>
  <si>
    <t>Dubai Property Owners vs Tenants: Income Gap Hits Dh13,000 in 2024</t>
  </si>
  <si>
    <t>https://blog.jobxdubai.com/2024/11/09/dubai-property-owners-vs-tenants-income-gap-hits-dh13000-in-2024/</t>
  </si>
  <si>
    <t>Dubai: New property project launches continue as more residents look to own homes</t>
  </si>
  <si>
    <t>https://www.khaleejtimes.com/business/realty/dubai-new-property-project-launches-continue-as-more-residents-look-to-own-homes</t>
  </si>
  <si>
    <t>Dubai Real Estate Market Roundup: October 2024</t>
  </si>
  <si>
    <t>https://www.openpr.com/news/3731886/dubai-real-estate-market-roundup-october-2024</t>
  </si>
  <si>
    <t>Dubai rentals data shows demand continuing to stay strong</t>
  </si>
  <si>
    <t>https://www.khaleejtimes.com/business/dubai-rentals-data-shows-demand-continuing-to-stay-strong</t>
  </si>
  <si>
    <t xml:space="preserve">	
Dubai rentals data shows demand continuing to stay strong</t>
  </si>
  <si>
    <t>https://www.msn.com/en-ae/money/news/dubai-rentals-data-shows-demand-continuing-to-stay-strong/ar-AA1ueoYF?ocid=finance-verthp-feeds</t>
  </si>
  <si>
    <t>World Arabia</t>
  </si>
  <si>
    <t>Dubai's Rental and Sales Market Dynamics in October</t>
  </si>
  <si>
    <t>https://world-arabia.com/articles/dubai-s-rental-and-sales-market-dynamics-in-october/</t>
  </si>
  <si>
    <t>Dubai real estate: Al Jaddaf emerges as property investment hotspot – should you invest now? Experts weigh in</t>
  </si>
  <si>
    <t>https://www.arabianbusiness.com/industries/real-estate/dubai-real-estate-al-jaddaf-emerges-as-property-investment-hotspot-should-you-invest-now-experts-weigh-in</t>
  </si>
  <si>
    <t>Dubai real estate outperforms London and New York with superior 7% investment yields and double-digit price increases</t>
  </si>
  <si>
    <t>https://www.arabianbusiness.com/industries/real-estate/dubai-real-estate-outperforms-london-and-new-york-with-superior-7-investment-yields-and-double-digit-price-increases?utm_medium=email&amp;utm_medium=email&amp;utm_campaign=RTA%20announces%20new%20Salik%20and%20parking%20fees%20Dubai%20real%20estate%20investment%20success%20UAE%20scam%20report%20Free%20du%20data%20051004%20AM&amp;utm_content=RTA%20announces%20new%20Salik%20and%20parking%20fees%20Dubai%20real%20estate%20investment%20success%20UAE%20scam%20report%20Free%20du%20data%20051004%20AM+CID_d723c948698359f5a01bb9f0d3042dcc&amp;utm_source=Newsletters&amp;utm_term=Dubai%20real%20estate%20outperforms%20London%20and%20New%20York%20with%20superior%207%20investment%20yields%20and%20double-digit%20price%20increases</t>
  </si>
  <si>
    <t>Dubai’s ultra-luxury real estate market to continue its record pace of growth</t>
  </si>
  <si>
    <t>https://www.pressreader.com/uae/khaleej-times/20241202/281509346752171</t>
  </si>
  <si>
    <t>https://www.khaleejtimes.com/business/realty/dubais-ultra-luxury-real-estate-market-to-continue-its-record-pace-of-growth</t>
  </si>
  <si>
    <t>Aldar acquires unfinished commercial tower in DIFC</t>
  </si>
  <si>
    <t>https://www.agbi.com/real-estate/2024/12/aldar-dubai-unfinished-commercial-tower-difc-626m/</t>
  </si>
  <si>
    <t>Betterhomes &amp; CRC</t>
  </si>
  <si>
    <t>dxboffplan.com</t>
  </si>
  <si>
    <t>Dubai Real Estate Investment Outperforms London and New York</t>
  </si>
  <si>
    <t>https://dxboffplan.com/the-real-estate-market-in-dubai-outperforms-that-of-london-and-new-york-with-superior-investment-yields-of-7-and-double-digit-price-increases/#:~:text=Investing%20in%20real%20estate%20in,attracts%20both%20homebuyers%20and%20speculators</t>
  </si>
  <si>
    <t>propertynews.ae</t>
  </si>
  <si>
    <t>The real estate market in Dubai outperforms that of London and New York with superior investment yields of 7% and double-digit price increases</t>
  </si>
  <si>
    <t>https://www.propertynews.ae/uae/the-real-estate-market-in-dubai-outperforms-that-of-london-and-new-york-with-superior-investment-yields-of-7-and-double-digit-price-increases/</t>
  </si>
  <si>
    <t>Which areas in Dubai will see the most hike in rentals?</t>
  </si>
  <si>
    <t>https://www.pressreader.com/uae/khaleej-times/20241209/281689735393222</t>
  </si>
  <si>
    <t>Dubai emerges as the global real estate standout against London and New York</t>
  </si>
  <si>
    <t>https://www.khaleejtimes.com/business/dubai-emerges-as-the-global-real-estate-standout-against-london-and-new-york</t>
  </si>
  <si>
    <t>Dubai rents to increase in 2025: Which areas will see a hike in rentals?</t>
  </si>
  <si>
    <t>https://www.khaleejtimes.com/business/realty/dubai-rents-to-increase-in-2025-which-areas-will-see-a-hike-in-rentals</t>
  </si>
  <si>
    <t>Dubai REITs take off as investors seek lower cost entry to emirate’s booming property market: Experts</t>
  </si>
  <si>
    <t>https://www.arabianbusiness.com/industries/real-estate/dubai-reits-take-off-as-investors-seek-lower-cost-entry-to-emirates-booming-property-market-experts?utm_medium=email&amp;utm_medium=email&amp;utm_campaign=Dubai%20REITs%20take%20off%20Major%20UAE%20VAT%20rule%20changes%20NEOM%20invests%20in%20construction%20robots%20091803%20AM&amp;utm_content=Dubai%20REITs%20take%20off%20Major%20UAE%20VAT%20rule%20changes%20NEOM%20invests%20in%20construction%20robots%20091803%20AM+CID_97a2c878e27541f582c03fa94aae1823&amp;utm_source=Newsletters&amp;utm_term=Dubai%20REITs%20take%20off%20as%20investors%20seek%20lower%20cost%20entry%20to%20emirates%20booming%20property%20market%20Experts</t>
  </si>
  <si>
    <t>Rents in Dubai: Tenants in older buildings may be able to negotiate rentals with landlords</t>
  </si>
  <si>
    <t>https://www.khaleejtimes.com/business/realty/rents-in-dubai-tenants-in-older-buildings-may-be-able-to-negotiate-rentals-with-landlords</t>
  </si>
  <si>
    <t>Dubai: High demand for 1, 2-bedroom apartments amid rising rents</t>
  </si>
  <si>
    <t>https://www.khaleejtimes.com/business/realty/dubai-high-demand-for-12-bedroom-apartments-amid-rising-rents</t>
  </si>
  <si>
    <t>https://www.msn.com/en-ae/news/featured/dubai-high-demand-for-12-bedroom-apartments-amid-rising-rents/ar-AA1wj4Cf</t>
  </si>
  <si>
    <t>Dubai real estate market: 5 trends investors need to know in 2025</t>
  </si>
  <si>
    <t>https://economymiddleeast.com/news/dubai-real-estate-market-5-trends-investors-need-to-know-in-2025/</t>
  </si>
  <si>
    <t>Dubai: What key trends will drive the property market in 2025?</t>
  </si>
  <si>
    <t>https://www.khaleejtimes.com/business/realty/dubai-what-key-trends-will-drive-the-property-market-in-2025</t>
  </si>
  <si>
    <t>Business as usual for movers in Dubai amid lockdown</t>
  </si>
  <si>
    <t>http://tradearabia.com/news/CONS_366645.html</t>
  </si>
  <si>
    <t>Residential rents in Dubai see a sharp drop, especially in these areas</t>
  </si>
  <si>
    <t>https://www.khaleejtimes.com/business/real-estate/residential-rents-in-dubai-see-a-sharp-drop-especially-in-these-areas--</t>
  </si>
  <si>
    <t>How Dubai's new Route 2020 will drive demand for residential, commercial properties</t>
  </si>
  <si>
    <t>https://www.zawya.com/mena/en/business/story/How_Dubais_new_Route_2020_will_drive_demand_for_residential_commercial_properties-ZAWYA20200730052256/</t>
  </si>
  <si>
    <t>Living in Jumeirah meant compounds with common pools, says Dubai’s villa lady</t>
  </si>
  <si>
    <t>https://gulfnews.com/business/property/living-in-jumeirah-meant-compounds-with-common-pools-says-dubais-villa-lady-1.1601554872716</t>
  </si>
  <si>
    <t>Podcast: Dubai's new brokerage for working mothers</t>
  </si>
  <si>
    <t>https://www.constructionweekonline.com/business/267754-podcast-dubais-new-brokerage-for-working-mothers</t>
  </si>
  <si>
    <t>The best of the best: All the major award winners from 2019</t>
  </si>
  <si>
    <t>https://www.arabianbusiness.com/events/436138-the-best-of-the-best-all-the-major-award-winners-from-2019</t>
  </si>
  <si>
    <t>Coronavirus: What impact will Covid-19 have on Dubai's property market?</t>
  </si>
  <si>
    <t>https://www.arabianbusiness.com/property/443757-coronavirus-what-impact-will-covid-19-have-on-dubais-property-market</t>
  </si>
  <si>
    <t>Global Business Outlook</t>
  </si>
  <si>
    <t>Dubai real estate market ‘will tremendously improve after Covid-19</t>
  </si>
  <si>
    <t>https://www.globalbusinessoutlook.com/dubai-real-estate-market-will-tremendously-improve-after-covid-19/</t>
  </si>
  <si>
    <t>Euonews</t>
  </si>
  <si>
    <t>Gauging the impact of the global pandemic on the Real Estate market in Dubai</t>
  </si>
  <si>
    <t>https://www.euronews.com/2020/09/16/gauging-the-impact-of-the-global-pandemic-on-the-real-estate-market-in-dubai</t>
  </si>
  <si>
    <t>Dubai homeowner increased value of property with effective landscaping</t>
  </si>
  <si>
    <t>https://gulfnews.com/business/property/dubai-homeowner-increased-value-of-property-with-effective-landscaping-1.1604301168796</t>
  </si>
  <si>
    <t>Property Finder Blog</t>
  </si>
  <si>
    <t>Renting and Moving During Times of Crisis</t>
  </si>
  <si>
    <t>https://www.propertyfinder.ae/blog/renting-and-moving-during-crisis/</t>
  </si>
  <si>
    <t>European Life Magazine</t>
  </si>
  <si>
    <t>The Post- Crisis Outlook on the UAE Real Estate Market</t>
  </si>
  <si>
    <t>https://www.europeanlifemagazine.com/real-estate/the-post-crisis-outlook-on-the-uae-real-estate-market/</t>
  </si>
  <si>
    <t>Some more time before the market bottoms out</t>
  </si>
  <si>
    <t>https://www.propertyfinder.ae/blog/some-more-time-before-the-market-bottoms-out/</t>
  </si>
  <si>
    <t>SME</t>
  </si>
  <si>
    <t>Betterhomes launches new real estate brokerage for working parents</t>
  </si>
  <si>
    <t>https://www.sme10x.com/10x-industry/betterhomes-launches-new-real-estate-brokerage-for-working-parents</t>
  </si>
  <si>
    <t>Betterhomes, Linda's</t>
  </si>
  <si>
    <t>Jan</t>
  </si>
  <si>
    <t>Feb</t>
  </si>
  <si>
    <t>Mar</t>
  </si>
  <si>
    <t>Apr</t>
  </si>
  <si>
    <t>Jun</t>
  </si>
  <si>
    <t>Jul</t>
  </si>
  <si>
    <t>Aug</t>
  </si>
  <si>
    <t>Sep</t>
  </si>
  <si>
    <t>Oct</t>
  </si>
  <si>
    <t>Nov</t>
  </si>
  <si>
    <t>Dec</t>
  </si>
  <si>
    <t>Mentions</t>
  </si>
  <si>
    <t>Target</t>
  </si>
  <si>
    <t>Routine for Amaya:</t>
  </si>
  <si>
    <t>Wake Up</t>
  </si>
  <si>
    <t>Alois &amp; Elsa</t>
  </si>
  <si>
    <t>Breakfast</t>
  </si>
  <si>
    <t>Elsa</t>
  </si>
  <si>
    <t>Walk</t>
  </si>
  <si>
    <t>Appa</t>
  </si>
  <si>
    <t>Nap 1</t>
  </si>
  <si>
    <t>Milk (180ml)</t>
  </si>
  <si>
    <t>Play</t>
  </si>
  <si>
    <t xml:space="preserve">Take over </t>
  </si>
  <si>
    <t>Alois</t>
  </si>
  <si>
    <t>Lunch</t>
  </si>
  <si>
    <t>Nap 2</t>
  </si>
  <si>
    <t xml:space="preserve">Play </t>
  </si>
  <si>
    <t>Nanny</t>
  </si>
  <si>
    <t>Fruits</t>
  </si>
  <si>
    <t>Dinner</t>
  </si>
  <si>
    <t>Bath/Night read</t>
  </si>
  <si>
    <t>Milk (210ml)</t>
  </si>
  <si>
    <t>Bedtime</t>
  </si>
  <si>
    <t>Links</t>
  </si>
  <si>
    <t>Smashi</t>
  </si>
  <si>
    <t>Smashi rate card</t>
  </si>
  <si>
    <t>Lovin Dubai rate card</t>
  </si>
  <si>
    <t>Layalina Privee</t>
  </si>
  <si>
    <t>Layalina Privee proposal</t>
  </si>
  <si>
    <t>AD Middle East</t>
  </si>
  <si>
    <t>Asdaf News</t>
  </si>
  <si>
    <t>from USD 100 to USD 500</t>
  </si>
  <si>
    <t>Go Dubai</t>
  </si>
  <si>
    <t>AED 500 for a general post without link
AED 800 for a post that includes a backlink</t>
  </si>
  <si>
    <t>Don Mosbeh</t>
  </si>
  <si>
    <t>Don Mosbeh Media Kit</t>
  </si>
  <si>
    <t>Karim Haddad</t>
  </si>
  <si>
    <t>Karim Haddad Media Kit</t>
  </si>
  <si>
    <t>topics we can do PR</t>
  </si>
  <si>
    <r>
      <rPr>
        <rFont val="Arial"/>
        <color theme="1"/>
      </rPr>
      <t xml:space="preserve">5 standout projects shaping </t>
    </r>
    <r>
      <rPr>
        <rFont val="Arial"/>
        <color theme="4"/>
      </rPr>
      <t xml:space="preserve">$117bn </t>
    </r>
    <r>
      <rPr>
        <rFont val="Arial"/>
        <color theme="1"/>
      </rPr>
      <t>Dubai real estate boom</t>
    </r>
  </si>
  <si>
    <t>for Dubai Islands PR benchmark</t>
  </si>
  <si>
    <t>https://www.khaleejtimes.com/business/property/dubai-islands-draws-global-buyers-with-prime-waterfront-appeal-and-capital-growth-potential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</si>
</sst>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d mmmm yyyy"/>
    <numFmt numFmtId="166" formatCode="dd mmmm yyyy"/>
    <numFmt numFmtId="167" formatCode="mmm-yyyy"/>
    <numFmt numFmtId="168" formatCode="h:mm am/pm"/>
  </numFmts>
  <fonts count="153">
    <font>
      <sz val="10.0"/>
      <color rgb="FF000000"/>
      <name val="Arial"/>
      <scheme val="minor"/>
    </font>
    <font>
      <color theme="1"/>
      <name val="Arial"/>
      <scheme val="minor"/>
    </font>
    <font>
      <b/>
      <color theme="1"/>
      <name val="Arial"/>
      <scheme val="minor"/>
    </font>
    <font>
      <b/>
      <color rgb="FF000000"/>
      <name val="Arial"/>
    </font>
    <font>
      <color rgb="FF000000"/>
      <name val="Arial"/>
    </font>
    <font>
      <color rgb="FF990000"/>
      <name val="Arial"/>
    </font>
    <font>
      <color rgb="FF38761D"/>
      <name val="Arial"/>
    </font>
    <font>
      <color rgb="FFCC0000"/>
      <name val="Arial"/>
    </font>
    <font>
      <b/>
      <sz val="12.0"/>
      <color rgb="FFFFFFFF"/>
      <name val="Arial"/>
      <scheme val="minor"/>
    </font>
    <font>
      <sz val="12.0"/>
      <color rgb="FFFFFFFF"/>
      <name val="Arial"/>
      <scheme val="minor"/>
    </font>
    <font>
      <u/>
      <color rgb="FF0000FF"/>
    </font>
    <font>
      <u/>
      <color rgb="FF0000FF"/>
    </font>
    <font>
      <u/>
      <color rgb="FF0000FF"/>
    </font>
    <font>
      <u/>
      <color rgb="FF0000FF"/>
    </font>
    <font>
      <u/>
      <color rgb="FF333333"/>
      <name val="Roboto"/>
    </font>
    <font>
      <color rgb="FF93C47D"/>
      <name val="Arial"/>
      <scheme val="minor"/>
    </font>
    <font>
      <color theme="1"/>
      <name val="Arial"/>
    </font>
    <font>
      <u/>
      <color rgb="FF0000FF"/>
      <name val="Arial"/>
    </font>
    <font>
      <u/>
      <color rgb="FF93C47D"/>
      <name val="Arial"/>
    </font>
    <font>
      <u/>
      <color rgb="FF0000FF"/>
      <name val="Arial"/>
    </font>
    <font>
      <color rgb="FF6AA84F"/>
      <name val="Arial"/>
      <scheme val="minor"/>
    </font>
    <font>
      <u/>
      <color rgb="FF0000FF"/>
    </font>
    <font>
      <u/>
      <sz val="9.0"/>
      <color rgb="FF0000FF"/>
    </font>
    <font>
      <u/>
      <sz val="9.0"/>
      <color rgb="FF0000FF"/>
    </font>
    <font>
      <color rgb="FF000000"/>
      <name val="Geller-headline"/>
    </font>
    <font>
      <u/>
      <sz val="9.0"/>
      <color rgb="FF0000FF"/>
    </font>
    <font>
      <u/>
      <color rgb="FF0000FF"/>
    </font>
    <font>
      <b/>
      <color rgb="FF1C4587"/>
      <name val="Arial"/>
      <scheme val="minor"/>
    </font>
    <font>
      <color rgb="FF1C4587"/>
      <name val="Arial"/>
      <scheme val="minor"/>
    </font>
    <font>
      <u/>
      <color rgb="FF0000FF"/>
    </font>
    <font>
      <u/>
      <color rgb="FF0000FF"/>
      <name val="Arial"/>
    </font>
    <font>
      <color rgb="FF111111"/>
      <name val="Arial"/>
    </font>
    <font>
      <u/>
      <color rgb="FF0000FF"/>
    </font>
    <font>
      <u/>
      <color rgb="FF0000FF"/>
    </font>
    <font>
      <u/>
      <color rgb="FF0000FF"/>
    </font>
    <font>
      <u/>
      <color rgb="FF0000FF"/>
    </font>
    <font>
      <u/>
      <color rgb="FF0000FF"/>
      <name val="Arial"/>
    </font>
    <font>
      <u/>
      <color rgb="FF1155CC"/>
      <name val="Arial"/>
    </font>
    <font>
      <u/>
      <color rgb="FF0000FF"/>
    </font>
    <font>
      <u/>
      <color rgb="FF1155CC"/>
    </font>
    <font>
      <u/>
      <color rgb="FF0000FF"/>
    </font>
    <font>
      <u/>
      <color rgb="FF0000FF"/>
    </font>
    <font>
      <u/>
      <color rgb="FF0000FF"/>
    </font>
    <font>
      <u/>
      <color rgb="FF0000FF"/>
    </font>
    <font>
      <u/>
      <color rgb="FF0000FF"/>
    </font>
    <font>
      <u/>
      <color rgb="FF0000FF"/>
    </font>
    <font>
      <u/>
      <color rgb="FF0000FF"/>
    </font>
    <font>
      <u/>
      <color rgb="FF0000FF"/>
      <name val="Arial"/>
    </font>
    <font>
      <u/>
      <color rgb="FF0000FF"/>
    </font>
    <font>
      <u/>
      <color rgb="FF0000FF"/>
    </font>
    <font>
      <u/>
      <color rgb="FF1155CC"/>
    </font>
    <font>
      <u/>
      <color rgb="FF0000FF"/>
      <name val="Arial"/>
    </font>
    <font>
      <u/>
      <color rgb="FF0000FF"/>
    </font>
    <font>
      <u/>
      <color rgb="FF0000FF"/>
    </font>
    <font>
      <u/>
      <color rgb="FF0000FF"/>
    </font>
    <font>
      <u/>
      <color rgb="FF0000FF"/>
    </font>
    <font>
      <u/>
      <color rgb="FF0000FF"/>
    </font>
    <font>
      <u/>
      <color rgb="FF0000FF"/>
    </font>
    <font>
      <u/>
      <color rgb="FF1155CC"/>
      <name val="Arial"/>
      <scheme val="minor"/>
    </font>
    <font>
      <color rgb="FF333333"/>
      <name val="Roboto"/>
    </font>
    <font>
      <sz val="12.0"/>
      <color rgb="FF333333"/>
      <name val="Roboto"/>
    </font>
    <font>
      <color rgb="FF111111"/>
      <name val="Arial"/>
      <scheme val="minor"/>
    </font>
    <font>
      <u/>
      <color rgb="FF1155CC"/>
      <name val="Arial"/>
    </font>
    <font>
      <u/>
      <color rgb="FF1155CC"/>
      <name val="Arial"/>
    </font>
    <font>
      <b/>
      <sz val="15.0"/>
      <color rgb="FF073763"/>
      <name val="Arial"/>
      <scheme val="minor"/>
    </font>
    <font/>
    <font>
      <b/>
      <color rgb="FF073763"/>
      <name val="Arial"/>
      <scheme val="minor"/>
    </font>
    <font>
      <color rgb="FF073763"/>
      <name val="Arial"/>
      <scheme val="minor"/>
    </font>
    <font>
      <b/>
      <sz val="17.0"/>
      <color rgb="FF073763"/>
      <name val="Arial"/>
      <scheme val="minor"/>
    </font>
    <font>
      <u/>
      <color rgb="FF0000FF"/>
    </font>
    <font>
      <u/>
      <color rgb="FF0000FF"/>
      <name val="Arial"/>
    </font>
    <font>
      <u/>
      <color rgb="FF1155CC"/>
      <name val="Arial"/>
    </font>
    <font>
      <u/>
      <color rgb="FF0000FF"/>
      <name val="Arial"/>
    </font>
    <font>
      <u/>
      <color rgb="FF0000FF"/>
    </font>
    <font>
      <u/>
      <color rgb="FF0000FF"/>
    </font>
    <font>
      <u/>
      <color rgb="FF0000FF"/>
    </font>
    <font>
      <u/>
      <color rgb="FF0000FF"/>
    </font>
    <font>
      <u/>
      <color rgb="FF0000FF"/>
      <name val="Arial"/>
    </font>
    <font>
      <u/>
      <color rgb="FF0000FF"/>
      <name val="Arial"/>
    </font>
    <font>
      <u/>
      <color rgb="FF0000FF"/>
    </font>
    <font>
      <u/>
      <color rgb="FF0000FF"/>
    </font>
    <font>
      <u/>
      <color rgb="FF0000FF"/>
    </font>
    <font>
      <u/>
      <color rgb="FF0000FF"/>
    </font>
    <font>
      <u/>
      <color rgb="FF0000FF"/>
    </font>
    <font>
      <u/>
      <color rgb="FF333333"/>
      <name val="Roboto"/>
    </font>
    <font>
      <u/>
      <sz val="12.0"/>
      <color rgb="FF333333"/>
      <name val="Roboto"/>
    </font>
    <font>
      <u/>
      <color rgb="FF0000FF"/>
      <name val="Arial"/>
    </font>
    <font>
      <u/>
      <color rgb="FF0000FF"/>
      <name val="Arial"/>
    </font>
    <font>
      <u/>
      <color rgb="FF0000FF"/>
      <name val="Arial"/>
    </font>
    <font>
      <u/>
      <color rgb="FF333333"/>
      <name val="Roboto"/>
    </font>
    <font>
      <u/>
      <color rgb="FF333333"/>
      <name val="Roboto"/>
    </font>
    <font>
      <u/>
      <color rgb="FF0000FF"/>
    </font>
    <font>
      <u/>
      <color rgb="FF0000FF"/>
    </font>
    <font>
      <u/>
      <color rgb="FF0000FF"/>
    </font>
    <font>
      <u/>
      <color rgb="FF0000FF"/>
    </font>
    <font>
      <u/>
      <color rgb="FF0000FF"/>
    </font>
    <font>
      <u/>
      <color rgb="FF0000FF"/>
    </font>
    <font>
      <u/>
      <color rgb="FF0000FF"/>
    </font>
    <font>
      <u/>
      <color rgb="FF0000FF"/>
    </font>
    <font>
      <u/>
      <color rgb="FF0000FF"/>
      <name val="Arial"/>
    </font>
    <font>
      <u/>
      <color rgb="FF0000FF"/>
    </font>
    <font>
      <u/>
      <color rgb="FF1155CC"/>
    </font>
    <font>
      <u/>
      <color rgb="FF0000FF"/>
    </font>
    <font>
      <u/>
      <color rgb="FF0000FF"/>
    </font>
    <font>
      <u/>
      <color rgb="FF0000FF"/>
    </font>
    <font>
      <u/>
      <color rgb="FF0000FF"/>
    </font>
    <font>
      <u/>
      <color rgb="FF0000FF"/>
    </font>
    <font>
      <color rgb="FF111111"/>
      <name val="GlosaHeadline-Black"/>
    </font>
    <font>
      <u/>
      <color rgb="FF0000FF"/>
    </font>
    <font>
      <u/>
      <color rgb="FF0000FF"/>
    </font>
    <font>
      <u/>
      <color rgb="FF0000FF"/>
    </font>
    <font>
      <u/>
      <color rgb="FF0000FF"/>
    </font>
    <font>
      <u/>
      <color rgb="FF1155CC"/>
    </font>
    <font>
      <u/>
      <color rgb="FF0000FF"/>
    </font>
    <font>
      <u/>
      <color rgb="FF0000FF"/>
    </font>
    <font>
      <u/>
      <color rgb="FF0000FF"/>
    </font>
    <font>
      <u/>
      <color rgb="FF0000FF"/>
    </font>
    <font>
      <u/>
      <color rgb="FF0000FF"/>
      <name val="Arial"/>
    </font>
    <font>
      <u/>
      <color rgb="FF1155CC"/>
      <name val="Arial"/>
    </font>
    <font>
      <u/>
      <color rgb="FF0000FF"/>
      <name val="Arial"/>
    </font>
    <font>
      <u/>
      <color rgb="FF1155CC"/>
      <name val="Arial"/>
    </font>
    <font>
      <u/>
      <color rgb="FF0000FF"/>
    </font>
    <font>
      <u/>
      <color rgb="FF0000FF"/>
    </font>
    <font>
      <u/>
      <color rgb="FF0000FF"/>
    </font>
    <font>
      <u/>
      <color rgb="FF0000FF"/>
    </font>
    <font>
      <u/>
      <color rgb="FF1155CC"/>
    </font>
    <font>
      <u/>
      <color rgb="FF0000FF"/>
    </font>
    <font>
      <u/>
      <color rgb="FF1155CC"/>
    </font>
    <font>
      <u/>
      <color rgb="FF0000FF"/>
    </font>
    <font>
      <u/>
      <color rgb="FF0000FF"/>
    </font>
    <font>
      <u/>
      <color rgb="FF0000FF"/>
    </font>
    <font>
      <u/>
      <color rgb="FF0000FF"/>
    </font>
    <font>
      <u/>
      <color rgb="FF1155CC"/>
    </font>
    <font>
      <u/>
      <color rgb="FF1155CC"/>
    </font>
    <font>
      <color rgb="FF292B2C"/>
      <name val="Arial"/>
      <scheme val="minor"/>
    </font>
    <font>
      <u/>
      <color rgb="FF1155CC"/>
    </font>
    <font>
      <u/>
      <color rgb="FF0000FF"/>
      <name val="Arial"/>
    </font>
    <font>
      <u/>
      <color rgb="FF1155CC"/>
      <name val="Arial"/>
    </font>
    <font>
      <color rgb="FF111111"/>
      <name val="-apple-system"/>
    </font>
    <font>
      <u/>
      <color rgb="FF0000FF"/>
    </font>
    <font>
      <u/>
      <color rgb="FF0000FF"/>
    </font>
    <font>
      <u/>
      <color rgb="FF0000FF"/>
      <name val="Arial"/>
    </font>
    <font>
      <u/>
      <color rgb="FF0000FF"/>
    </font>
    <font>
      <u/>
      <color rgb="FF0000FF"/>
    </font>
    <font>
      <u/>
      <color rgb="FF0000FF"/>
    </font>
    <font>
      <u/>
      <color rgb="FF0000FF"/>
    </font>
    <font>
      <u/>
      <color rgb="FF1155CC"/>
    </font>
    <font>
      <u/>
      <color rgb="FF0000FF"/>
    </font>
    <font>
      <u/>
      <color rgb="FF0000FF"/>
    </font>
    <font>
      <b/>
      <color rgb="FFFFFFFF"/>
      <name val="Arial"/>
      <scheme val="minor"/>
    </font>
    <font>
      <u/>
      <color rgb="FF0000FF"/>
    </font>
    <font>
      <color rgb="FF000000"/>
      <name val="Verdana"/>
    </font>
    <font>
      <u/>
      <color rgb="FF0000FF"/>
    </font>
  </fonts>
  <fills count="10">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FCE5CD"/>
        <bgColor rgb="FFFCE5CD"/>
      </patternFill>
    </fill>
    <fill>
      <patternFill patternType="solid">
        <fgColor rgb="FFCCCCCC"/>
        <bgColor rgb="FFCCCCCC"/>
      </patternFill>
    </fill>
    <fill>
      <patternFill patternType="solid">
        <fgColor rgb="FFEAD1DC"/>
        <bgColor rgb="FFEAD1DC"/>
      </patternFill>
    </fill>
    <fill>
      <patternFill patternType="solid">
        <fgColor rgb="FF4A86E8"/>
        <bgColor rgb="FF4A86E8"/>
      </patternFill>
    </fill>
    <fill>
      <patternFill patternType="solid">
        <fgColor rgb="FF20124D"/>
        <bgColor rgb="FF20124D"/>
      </patternFill>
    </fill>
    <fill>
      <patternFill patternType="solid">
        <fgColor rgb="FF1C4587"/>
        <bgColor rgb="FF1C4587"/>
      </patternFill>
    </fill>
  </fills>
  <borders count="4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E4E4E4"/>
      </left>
      <right style="thin">
        <color rgb="FFE4E4E4"/>
      </right>
    </border>
    <border>
      <left style="thin">
        <color rgb="FF000000"/>
      </left>
      <right style="thin">
        <color rgb="FF000000"/>
      </right>
      <top style="thick">
        <color rgb="FF000000"/>
      </top>
      <bottom style="thin">
        <color rgb="FF000000"/>
      </bottom>
    </border>
    <border>
      <top style="thick">
        <color rgb="FF000000"/>
      </top>
    </border>
    <border>
      <left style="thin">
        <color rgb="FF000000"/>
      </left>
      <right style="thin">
        <color rgb="FF000000"/>
      </right>
    </border>
    <border>
      <left style="thin">
        <color rgb="FF000000"/>
      </left>
      <right style="thin">
        <color rgb="FF000000"/>
      </right>
      <top style="thick">
        <color rgb="FF0C343D"/>
      </top>
    </border>
    <border>
      <left style="thin">
        <color rgb="FF000000"/>
      </left>
      <right style="thin">
        <color rgb="FF000000"/>
      </right>
      <top style="thick">
        <color rgb="FF0C343D"/>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1C4587"/>
      </bottom>
    </border>
    <border>
      <left style="thin">
        <color rgb="FF000000"/>
      </left>
      <right style="thin">
        <color rgb="FF000000"/>
      </right>
      <bottom style="medium">
        <color rgb="FF1C4587"/>
      </bottom>
    </border>
    <border>
      <left style="thin">
        <color rgb="FF000000"/>
      </left>
      <bottom style="medium">
        <color rgb="FF1C4587"/>
      </bottom>
    </border>
    <border>
      <left style="thin">
        <color rgb="FF000000"/>
      </left>
      <bottom style="medium">
        <color rgb="FF000000"/>
      </bottom>
    </border>
    <border>
      <left style="thin">
        <color rgb="FF000000"/>
      </left>
      <top style="medium">
        <color rgb="FF000000"/>
      </top>
      <bottom style="thin">
        <color rgb="FF000000"/>
      </bottom>
    </border>
    <border>
      <left style="thin">
        <color rgb="FFE4E4E4"/>
      </left>
      <right style="thin">
        <color rgb="FFE4E4E4"/>
      </right>
      <top style="thin">
        <color rgb="FFE4E4E4"/>
      </top>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medium">
        <color rgb="FF000000"/>
      </top>
    </border>
    <border>
      <right style="thin">
        <color rgb="FFE4E4E4"/>
      </right>
    </border>
    <border>
      <top style="medium">
        <color rgb="FF000000"/>
      </top>
      <bottom style="thin">
        <color rgb="FF000000"/>
      </bottom>
    </border>
    <border>
      <left style="thin">
        <color rgb="FF000000"/>
      </left>
      <top style="thin">
        <color rgb="FF000000"/>
      </top>
      <bottom style="thick">
        <color rgb="FF000000"/>
      </bottom>
    </border>
    <border>
      <top style="thin">
        <color rgb="FF000000"/>
      </top>
      <bottom style="thin">
        <color rgb="FF000000"/>
      </bottom>
    </border>
    <border>
      <left style="thin">
        <color rgb="FF000000"/>
      </left>
      <right style="thin">
        <color rgb="FF000000"/>
      </right>
      <bottom style="thick">
        <color rgb="FF000000"/>
      </bottom>
    </border>
    <border>
      <bottom style="thick">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000000"/>
      </left>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n">
        <color rgb="FF000000"/>
      </right>
      <top style="thick">
        <color rgb="FF000000"/>
      </top>
    </border>
    <border>
      <left style="thin">
        <color rgb="FF000000"/>
      </left>
      <right style="thin">
        <color rgb="FF000000"/>
      </right>
      <bottom style="medium">
        <color rgb="FF000000"/>
      </bottom>
    </border>
  </borders>
  <cellStyleXfs count="1">
    <xf borderId="0" fillId="0" fontId="0" numFmtId="0" applyAlignment="1" applyFont="1"/>
  </cellStyleXfs>
  <cellXfs count="52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readingOrder="0"/>
    </xf>
    <xf borderId="1" fillId="0" fontId="2" numFmtId="0" xfId="0" applyAlignment="1" applyBorder="1" applyFont="1">
      <alignment horizontal="center" readingOrder="0"/>
    </xf>
    <xf borderId="2" fillId="0" fontId="1" numFmtId="0" xfId="0" applyAlignment="1" applyBorder="1" applyFont="1">
      <alignment horizontal="left"/>
    </xf>
    <xf borderId="2" fillId="0" fontId="1" numFmtId="0" xfId="0" applyAlignment="1" applyBorder="1" applyFont="1">
      <alignment horizontal="center"/>
    </xf>
    <xf borderId="2" fillId="0" fontId="1" numFmtId="0" xfId="0" applyBorder="1" applyFont="1"/>
    <xf borderId="3" fillId="0" fontId="1" numFmtId="0" xfId="0" applyAlignment="1" applyBorder="1" applyFont="1">
      <alignment horizontal="center" readingOrder="0"/>
    </xf>
    <xf borderId="4" fillId="0" fontId="1" numFmtId="0" xfId="0" applyBorder="1" applyFont="1"/>
    <xf borderId="4" fillId="0" fontId="2" numFmtId="0" xfId="0" applyAlignment="1" applyBorder="1" applyFont="1">
      <alignment readingOrder="0"/>
    </xf>
    <xf borderId="5" fillId="0" fontId="1" numFmtId="0" xfId="0" applyAlignment="1" applyBorder="1" applyFont="1">
      <alignment horizontal="center" readingOrder="0"/>
    </xf>
    <xf borderId="0" fillId="0" fontId="1" numFmtId="0" xfId="0" applyAlignment="1" applyFont="1">
      <alignment horizontal="left" readingOrder="0"/>
    </xf>
    <xf borderId="6" fillId="0" fontId="1" numFmtId="0" xfId="0" applyAlignment="1" applyBorder="1" applyFont="1">
      <alignment horizontal="center" readingOrder="0"/>
    </xf>
    <xf borderId="4" fillId="0" fontId="1" numFmtId="0" xfId="0" applyAlignment="1" applyBorder="1" applyFont="1">
      <alignment readingOrder="0"/>
    </xf>
    <xf borderId="0" fillId="0" fontId="2" numFmtId="0" xfId="0" applyAlignment="1" applyFont="1">
      <alignment horizontal="center" readingOrder="0"/>
    </xf>
    <xf borderId="7" fillId="0" fontId="1" numFmtId="0" xfId="0" applyAlignment="1" applyBorder="1" applyFont="1">
      <alignment horizontal="center" readingOrder="0"/>
    </xf>
    <xf borderId="8" fillId="0" fontId="1" numFmtId="0" xfId="0" applyAlignment="1" applyBorder="1" applyFont="1">
      <alignment horizontal="left" readingOrder="0"/>
    </xf>
    <xf borderId="8" fillId="0" fontId="1" numFmtId="0" xfId="0" applyAlignment="1" applyBorder="1" applyFont="1">
      <alignment horizontal="center"/>
    </xf>
    <xf borderId="8" fillId="0" fontId="1" numFmtId="0" xfId="0" applyBorder="1" applyFont="1"/>
    <xf borderId="9" fillId="0" fontId="1" numFmtId="0" xfId="0" applyAlignment="1" applyBorder="1" applyFont="1">
      <alignment horizontal="center"/>
    </xf>
    <xf borderId="4" fillId="0" fontId="2" numFmtId="0" xfId="0" applyAlignment="1" applyBorder="1" applyFont="1">
      <alignment horizontal="center" readingOrder="0"/>
    </xf>
    <xf borderId="4" fillId="0" fontId="1" numFmtId="0" xfId="0" applyAlignment="1" applyBorder="1" applyFont="1">
      <alignment horizontal="center" readingOrder="0"/>
    </xf>
    <xf borderId="0" fillId="0" fontId="2" numFmtId="0" xfId="0" applyAlignment="1" applyFont="1">
      <alignment horizontal="center"/>
    </xf>
    <xf borderId="0" fillId="0" fontId="1" numFmtId="0" xfId="0" applyAlignment="1" applyFont="1">
      <alignment horizontal="left"/>
    </xf>
    <xf borderId="4" fillId="0" fontId="1" numFmtId="10" xfId="0" applyAlignment="1" applyBorder="1" applyFont="1" applyNumberFormat="1">
      <alignment horizontal="center" readingOrder="0"/>
    </xf>
    <xf borderId="4" fillId="0" fontId="3" numFmtId="0" xfId="0" applyAlignment="1" applyBorder="1" applyFont="1">
      <alignment horizontal="center" readingOrder="0" shrinkToFit="0" wrapText="1"/>
    </xf>
    <xf borderId="4" fillId="0" fontId="4" numFmtId="0" xfId="0" applyAlignment="1" applyBorder="1" applyFont="1">
      <alignment horizontal="center" readingOrder="0" shrinkToFit="0" wrapText="1"/>
    </xf>
    <xf borderId="4" fillId="0" fontId="5" numFmtId="0" xfId="0" applyAlignment="1" applyBorder="1" applyFont="1">
      <alignment horizontal="center" readingOrder="0" shrinkToFit="0" wrapText="1"/>
    </xf>
    <xf borderId="4" fillId="0" fontId="6" numFmtId="0" xfId="0" applyAlignment="1" applyBorder="1" applyFont="1">
      <alignment horizontal="center" readingOrder="0" shrinkToFit="0" wrapText="1"/>
    </xf>
    <xf borderId="4" fillId="0" fontId="7" numFmtId="0" xfId="0" applyAlignment="1" applyBorder="1" applyFont="1">
      <alignment horizontal="center" readingOrder="0" shrinkToFit="0" wrapText="1"/>
    </xf>
    <xf borderId="0" fillId="0" fontId="2" numFmtId="0" xfId="0" applyAlignment="1" applyFont="1">
      <alignment readingOrder="0"/>
    </xf>
    <xf borderId="4" fillId="2" fontId="8" numFmtId="0" xfId="0" applyAlignment="1" applyBorder="1" applyFill="1" applyFont="1">
      <alignment horizontal="center" readingOrder="0"/>
    </xf>
    <xf borderId="4" fillId="2" fontId="9" numFmtId="0" xfId="0" applyAlignment="1" applyBorder="1" applyFont="1">
      <alignment horizontal="left" readingOrder="0"/>
    </xf>
    <xf borderId="4" fillId="2" fontId="8" numFmtId="164" xfId="0" applyAlignment="1" applyBorder="1" applyFont="1" applyNumberFormat="1">
      <alignment horizontal="center" readingOrder="0" shrinkToFit="0" wrapText="0"/>
    </xf>
    <xf borderId="4" fillId="2" fontId="8" numFmtId="3" xfId="0" applyAlignment="1" applyBorder="1" applyFont="1" applyNumberFormat="1">
      <alignment horizontal="center" readingOrder="0" shrinkToFit="0" wrapText="0"/>
    </xf>
    <xf borderId="4" fillId="2" fontId="8" numFmtId="0" xfId="0" applyAlignment="1" applyBorder="1" applyFont="1">
      <alignment horizontal="left" readingOrder="0" shrinkToFit="0" wrapText="0"/>
    </xf>
    <xf borderId="10" fillId="2" fontId="8" numFmtId="0" xfId="0" applyAlignment="1" applyBorder="1" applyFont="1">
      <alignment horizontal="center" readingOrder="0"/>
    </xf>
    <xf borderId="4" fillId="3" fontId="1" numFmtId="165" xfId="0" applyAlignment="1" applyBorder="1" applyFill="1" applyFont="1" applyNumberFormat="1">
      <alignment horizontal="center" readingOrder="0"/>
    </xf>
    <xf borderId="11" fillId="3" fontId="1" numFmtId="0" xfId="0" applyAlignment="1" applyBorder="1" applyFont="1">
      <alignment horizontal="center" readingOrder="0"/>
    </xf>
    <xf borderId="4" fillId="3" fontId="1" numFmtId="0" xfId="0" applyAlignment="1" applyBorder="1" applyFont="1">
      <alignment horizontal="left" readingOrder="0"/>
    </xf>
    <xf borderId="4" fillId="3" fontId="1" numFmtId="164" xfId="0" applyAlignment="1" applyBorder="1" applyFont="1" applyNumberFormat="1">
      <alignment horizontal="center" readingOrder="0" shrinkToFit="0" wrapText="0"/>
    </xf>
    <xf borderId="4" fillId="3" fontId="1" numFmtId="3" xfId="0" applyAlignment="1" applyBorder="1" applyFont="1" applyNumberFormat="1">
      <alignment horizontal="center" readingOrder="0" shrinkToFit="0" wrapText="0"/>
    </xf>
    <xf borderId="4" fillId="3" fontId="1" numFmtId="0" xfId="0" applyAlignment="1" applyBorder="1" applyFont="1">
      <alignment horizontal="left" readingOrder="0" shrinkToFit="0" wrapText="0"/>
    </xf>
    <xf borderId="4" fillId="3" fontId="10" numFmtId="0" xfId="0" applyAlignment="1" applyBorder="1" applyFont="1">
      <alignment horizontal="left" readingOrder="0" shrinkToFit="0" wrapText="0"/>
    </xf>
    <xf borderId="4" fillId="3" fontId="1" numFmtId="0" xfId="0" applyAlignment="1" applyBorder="1" applyFont="1">
      <alignment horizontal="center" readingOrder="0"/>
    </xf>
    <xf borderId="12" fillId="3" fontId="11" numFmtId="0" xfId="0" applyAlignment="1" applyBorder="1" applyFont="1">
      <alignment horizontal="left" readingOrder="0" shrinkToFit="0" wrapText="0"/>
    </xf>
    <xf borderId="12" fillId="3" fontId="1" numFmtId="0" xfId="0" applyAlignment="1" applyBorder="1" applyFont="1">
      <alignment horizontal="center" readingOrder="0"/>
    </xf>
    <xf borderId="12" fillId="3" fontId="1" numFmtId="0" xfId="0" applyAlignment="1" applyBorder="1" applyFont="1">
      <alignment horizontal="left" readingOrder="0" shrinkToFit="0" wrapText="0"/>
    </xf>
    <xf borderId="4" fillId="0" fontId="12" numFmtId="0" xfId="0" applyAlignment="1" applyBorder="1" applyFont="1">
      <alignment readingOrder="0" shrinkToFit="0" wrapText="0"/>
    </xf>
    <xf borderId="4" fillId="3" fontId="13" numFmtId="0" xfId="0" applyAlignment="1" applyBorder="1" applyFont="1">
      <alignment horizontal="left" readingOrder="0" shrinkToFit="0" wrapText="0"/>
    </xf>
    <xf borderId="4" fillId="0" fontId="1" numFmtId="164" xfId="0" applyAlignment="1" applyBorder="1" applyFont="1" applyNumberFormat="1">
      <alignment horizontal="center" readingOrder="0"/>
    </xf>
    <xf borderId="0" fillId="3" fontId="14" numFmtId="0" xfId="0" applyAlignment="1" applyFont="1">
      <alignment horizontal="left" readingOrder="0"/>
    </xf>
    <xf borderId="0" fillId="3" fontId="1" numFmtId="0" xfId="0" applyAlignment="1" applyFont="1">
      <alignment horizontal="center" readingOrder="0"/>
    </xf>
    <xf borderId="4" fillId="3" fontId="1" numFmtId="0" xfId="0" applyAlignment="1" applyBorder="1" applyFont="1">
      <alignment horizontal="left" readingOrder="0"/>
    </xf>
    <xf borderId="4" fillId="4" fontId="15" numFmtId="0" xfId="0" applyAlignment="1" applyBorder="1" applyFill="1" applyFont="1">
      <alignment horizontal="left" readingOrder="0" shrinkToFit="0" wrapText="0"/>
    </xf>
    <xf borderId="0" fillId="4" fontId="16" numFmtId="0" xfId="0" applyAlignment="1" applyFont="1">
      <alignment readingOrder="0" vertical="top"/>
    </xf>
    <xf borderId="0" fillId="0" fontId="17" numFmtId="0" xfId="0" applyAlignment="1" applyFont="1">
      <alignment readingOrder="0" vertical="top"/>
    </xf>
    <xf borderId="13" fillId="4" fontId="18" numFmtId="0" xfId="0" applyAlignment="1" applyBorder="1" applyFont="1">
      <alignment readingOrder="0" vertical="top"/>
    </xf>
    <xf borderId="13" fillId="0" fontId="19" numFmtId="0" xfId="0" applyAlignment="1" applyBorder="1" applyFont="1">
      <alignment readingOrder="0" vertical="top"/>
    </xf>
    <xf borderId="4" fillId="4" fontId="1" numFmtId="0" xfId="0" applyAlignment="1" applyBorder="1" applyFont="1">
      <alignment horizontal="left" readingOrder="0" shrinkToFit="0" wrapText="0"/>
    </xf>
    <xf borderId="4" fillId="3" fontId="20" numFmtId="0" xfId="0" applyAlignment="1" applyBorder="1" applyFont="1">
      <alignment horizontal="left" readingOrder="0" shrinkToFit="0" wrapText="0"/>
    </xf>
    <xf borderId="4" fillId="3" fontId="1" numFmtId="0" xfId="0" applyAlignment="1" applyBorder="1" applyFont="1">
      <alignment horizontal="left" readingOrder="0" shrinkToFit="0" wrapText="0"/>
    </xf>
    <xf borderId="12" fillId="3" fontId="1" numFmtId="165" xfId="0" applyAlignment="1" applyBorder="1" applyFont="1" applyNumberFormat="1">
      <alignment horizontal="center" readingOrder="0"/>
    </xf>
    <xf borderId="12" fillId="3" fontId="1" numFmtId="0" xfId="0" applyAlignment="1" applyBorder="1" applyFont="1">
      <alignment horizontal="left" readingOrder="0"/>
    </xf>
    <xf borderId="12" fillId="3" fontId="1" numFmtId="164" xfId="0" applyAlignment="1" applyBorder="1" applyFont="1" applyNumberFormat="1">
      <alignment horizontal="center" readingOrder="0" shrinkToFit="0" wrapText="0"/>
    </xf>
    <xf borderId="12" fillId="3" fontId="1" numFmtId="3" xfId="0" applyAlignment="1" applyBorder="1" applyFont="1" applyNumberFormat="1">
      <alignment horizontal="center" readingOrder="0" shrinkToFit="0" wrapText="0"/>
    </xf>
    <xf borderId="0" fillId="0" fontId="21" numFmtId="0" xfId="0" applyAlignment="1" applyFont="1">
      <alignment readingOrder="0"/>
    </xf>
    <xf borderId="14" fillId="3" fontId="1" numFmtId="165" xfId="0" applyAlignment="1" applyBorder="1" applyFont="1" applyNumberFormat="1">
      <alignment horizontal="center" readingOrder="0"/>
    </xf>
    <xf borderId="14" fillId="3" fontId="1" numFmtId="0" xfId="0" applyAlignment="1" applyBorder="1" applyFont="1">
      <alignment horizontal="center" readingOrder="0"/>
    </xf>
    <xf borderId="14" fillId="3" fontId="1" numFmtId="0" xfId="0" applyAlignment="1" applyBorder="1" applyFont="1">
      <alignment horizontal="left" readingOrder="0"/>
    </xf>
    <xf borderId="14" fillId="3" fontId="1" numFmtId="164" xfId="0" applyAlignment="1" applyBorder="1" applyFont="1" applyNumberFormat="1">
      <alignment horizontal="center" readingOrder="0" shrinkToFit="0" wrapText="0"/>
    </xf>
    <xf borderId="14" fillId="3" fontId="1" numFmtId="3" xfId="0" applyAlignment="1" applyBorder="1" applyFont="1" applyNumberFormat="1">
      <alignment horizontal="center" readingOrder="0" shrinkToFit="0" wrapText="0"/>
    </xf>
    <xf borderId="14" fillId="3" fontId="1" numFmtId="0" xfId="0" applyAlignment="1" applyBorder="1" applyFont="1">
      <alignment horizontal="left" readingOrder="0" shrinkToFit="0" wrapText="0"/>
    </xf>
    <xf borderId="15" fillId="0" fontId="22" numFmtId="0" xfId="0" applyAlignment="1" applyBorder="1" applyFont="1">
      <alignment readingOrder="0"/>
    </xf>
    <xf borderId="0" fillId="0" fontId="23" numFmtId="0" xfId="0" applyAlignment="1" applyFont="1">
      <alignment readingOrder="0"/>
    </xf>
    <xf borderId="4" fillId="3" fontId="1" numFmtId="0" xfId="0" applyAlignment="1" applyBorder="1" applyFont="1">
      <alignment horizontal="center" readingOrder="0" shrinkToFit="0" wrapText="0"/>
    </xf>
    <xf borderId="0" fillId="0" fontId="24" numFmtId="0" xfId="0" applyAlignment="1" applyFont="1">
      <alignment horizontal="center" readingOrder="0"/>
    </xf>
    <xf borderId="4" fillId="3" fontId="25" numFmtId="0" xfId="0" applyAlignment="1" applyBorder="1" applyFont="1">
      <alignment horizontal="left" readingOrder="0" shrinkToFit="0" wrapText="0"/>
    </xf>
    <xf borderId="12" fillId="3" fontId="26" numFmtId="0" xfId="0" applyAlignment="1" applyBorder="1" applyFont="1">
      <alignment horizontal="left" readingOrder="0" shrinkToFit="0" wrapText="0"/>
    </xf>
    <xf borderId="16" fillId="3" fontId="1" numFmtId="165" xfId="0" applyAlignment="1" applyBorder="1" applyFont="1" applyNumberFormat="1">
      <alignment horizontal="center" readingOrder="0"/>
    </xf>
    <xf borderId="16" fillId="3" fontId="1" numFmtId="0" xfId="0" applyAlignment="1" applyBorder="1" applyFont="1">
      <alignment horizontal="center" readingOrder="0"/>
    </xf>
    <xf borderId="16" fillId="3" fontId="1" numFmtId="0" xfId="0" applyAlignment="1" applyBorder="1" applyFont="1">
      <alignment horizontal="left" readingOrder="0"/>
    </xf>
    <xf borderId="16" fillId="3" fontId="1" numFmtId="164" xfId="0" applyAlignment="1" applyBorder="1" applyFont="1" applyNumberFormat="1">
      <alignment horizontal="center" readingOrder="0" shrinkToFit="0" wrapText="0"/>
    </xf>
    <xf borderId="16" fillId="3" fontId="1" numFmtId="3" xfId="0" applyAlignment="1" applyBorder="1" applyFont="1" applyNumberFormat="1">
      <alignment horizontal="center" readingOrder="0" shrinkToFit="0" wrapText="0"/>
    </xf>
    <xf borderId="16" fillId="3" fontId="1" numFmtId="0" xfId="0" applyAlignment="1" applyBorder="1" applyFont="1">
      <alignment horizontal="left" readingOrder="0" shrinkToFit="0" wrapText="0"/>
    </xf>
    <xf borderId="16" fillId="3" fontId="1" numFmtId="0" xfId="0" applyAlignment="1" applyBorder="1" applyFont="1">
      <alignment horizontal="left" readingOrder="0" shrinkToFit="0" wrapText="0"/>
    </xf>
    <xf borderId="17" fillId="3" fontId="27" numFmtId="0" xfId="0" applyAlignment="1" applyBorder="1" applyFont="1">
      <alignment horizontal="center" readingOrder="0"/>
    </xf>
    <xf borderId="17" fillId="3" fontId="28" numFmtId="0" xfId="0" applyAlignment="1" applyBorder="1" applyFont="1">
      <alignment horizontal="center" readingOrder="0"/>
    </xf>
    <xf borderId="17" fillId="3" fontId="28" numFmtId="0" xfId="0" applyAlignment="1" applyBorder="1" applyFont="1">
      <alignment horizontal="left" readingOrder="0"/>
    </xf>
    <xf borderId="17" fillId="3" fontId="27" numFmtId="164" xfId="0" applyAlignment="1" applyBorder="1" applyFont="1" applyNumberFormat="1">
      <alignment horizontal="center" readingOrder="0" shrinkToFit="0" wrapText="0"/>
    </xf>
    <xf borderId="17" fillId="3" fontId="27" numFmtId="3" xfId="0" applyAlignment="1" applyBorder="1" applyFont="1" applyNumberFormat="1">
      <alignment horizontal="center" readingOrder="0"/>
    </xf>
    <xf borderId="17" fillId="3" fontId="28" numFmtId="0" xfId="0" applyAlignment="1" applyBorder="1" applyFont="1">
      <alignment horizontal="left" readingOrder="0" shrinkToFit="0" wrapText="0"/>
    </xf>
    <xf borderId="18" fillId="3" fontId="1" numFmtId="165" xfId="0" applyAlignment="1" applyBorder="1" applyFont="1" applyNumberFormat="1">
      <alignment horizontal="center" readingOrder="0"/>
    </xf>
    <xf borderId="18" fillId="3" fontId="1" numFmtId="0" xfId="0" applyAlignment="1" applyBorder="1" applyFont="1">
      <alignment horizontal="center" readingOrder="0"/>
    </xf>
    <xf borderId="18" fillId="3" fontId="1" numFmtId="0" xfId="0" applyAlignment="1" applyBorder="1" applyFont="1">
      <alignment horizontal="left" readingOrder="0"/>
    </xf>
    <xf borderId="18" fillId="3" fontId="1" numFmtId="164" xfId="0" applyAlignment="1" applyBorder="1" applyFont="1" applyNumberFormat="1">
      <alignment horizontal="center" readingOrder="0" shrinkToFit="0" wrapText="0"/>
    </xf>
    <xf borderId="18" fillId="3" fontId="1" numFmtId="3" xfId="0" applyAlignment="1" applyBorder="1" applyFont="1" applyNumberFormat="1">
      <alignment horizontal="center" readingOrder="0"/>
    </xf>
    <xf borderId="18" fillId="3" fontId="1" numFmtId="0" xfId="0" applyAlignment="1" applyBorder="1" applyFont="1">
      <alignment horizontal="left" readingOrder="0" shrinkToFit="0" wrapText="0"/>
    </xf>
    <xf borderId="18" fillId="3" fontId="29" numFmtId="0" xfId="0" applyAlignment="1" applyBorder="1" applyFont="1">
      <alignment horizontal="left" readingOrder="0" shrinkToFit="0" wrapText="0"/>
    </xf>
    <xf borderId="4" fillId="0" fontId="24" numFmtId="0" xfId="0" applyAlignment="1" applyBorder="1" applyFont="1">
      <alignment horizontal="center" readingOrder="0"/>
    </xf>
    <xf borderId="4" fillId="0" fontId="30" numFmtId="0" xfId="0" applyAlignment="1" applyBorder="1" applyFont="1">
      <alignment readingOrder="0" vertical="top"/>
    </xf>
    <xf borderId="4" fillId="3" fontId="31" numFmtId="3" xfId="0" applyAlignment="1" applyBorder="1" applyFont="1" applyNumberFormat="1">
      <alignment horizontal="center" readingOrder="0" shrinkToFit="0" wrapText="0"/>
    </xf>
    <xf quotePrefix="1" borderId="4" fillId="0" fontId="32" numFmtId="0" xfId="0" applyAlignment="1" applyBorder="1" applyFont="1">
      <alignment readingOrder="0"/>
    </xf>
    <xf borderId="4" fillId="0" fontId="33" numFmtId="0" xfId="0" applyAlignment="1" applyBorder="1" applyFont="1">
      <alignment readingOrder="0"/>
    </xf>
    <xf borderId="4" fillId="0" fontId="1" numFmtId="0" xfId="0" applyAlignment="1" applyBorder="1" applyFont="1">
      <alignment horizontal="center" readingOrder="0" shrinkToFit="0" wrapText="0"/>
    </xf>
    <xf borderId="4" fillId="0" fontId="34" numFmtId="0" xfId="0" applyAlignment="1" applyBorder="1" applyFont="1">
      <alignment readingOrder="0" shrinkToFit="0" wrapText="0"/>
    </xf>
    <xf borderId="4" fillId="3" fontId="35" numFmtId="0" xfId="0" applyAlignment="1" applyBorder="1" applyFont="1">
      <alignment horizontal="left" readingOrder="0"/>
    </xf>
    <xf borderId="0" fillId="0" fontId="24" numFmtId="0" xfId="0" applyAlignment="1" applyFont="1">
      <alignment horizontal="left" readingOrder="0"/>
    </xf>
    <xf borderId="4" fillId="3" fontId="36" numFmtId="0" xfId="0" applyAlignment="1" applyBorder="1" applyFont="1">
      <alignment readingOrder="0" shrinkToFit="0" wrapText="0"/>
    </xf>
    <xf borderId="4" fillId="0" fontId="1" numFmtId="3" xfId="0" applyAlignment="1" applyBorder="1" applyFont="1" applyNumberFormat="1">
      <alignment horizontal="center" readingOrder="0"/>
    </xf>
    <xf borderId="4" fillId="3" fontId="37" numFmtId="0" xfId="0" applyAlignment="1" applyBorder="1" applyFont="1">
      <alignment readingOrder="0" shrinkToFit="0" wrapText="0"/>
    </xf>
    <xf borderId="7" fillId="3" fontId="1" numFmtId="0" xfId="0" applyAlignment="1" applyBorder="1" applyFont="1">
      <alignment horizontal="center" readingOrder="0"/>
    </xf>
    <xf borderId="4" fillId="3" fontId="1" numFmtId="165" xfId="0" applyAlignment="1" applyBorder="1" applyFont="1" applyNumberFormat="1">
      <alignment horizontal="center" readingOrder="0"/>
    </xf>
    <xf borderId="4" fillId="3" fontId="1" numFmtId="3" xfId="0" applyAlignment="1" applyBorder="1" applyFont="1" applyNumberFormat="1">
      <alignment horizontal="center" readingOrder="0" shrinkToFit="0" wrapText="0"/>
    </xf>
    <xf borderId="0" fillId="3" fontId="1" numFmtId="0" xfId="0" applyAlignment="1" applyFont="1">
      <alignment horizontal="left" readingOrder="0"/>
    </xf>
    <xf borderId="0" fillId="3" fontId="1" numFmtId="0" xfId="0" applyAlignment="1" applyFont="1">
      <alignment horizontal="left" readingOrder="0" shrinkToFit="0" wrapText="0"/>
    </xf>
    <xf borderId="4" fillId="5" fontId="2" numFmtId="0" xfId="0" applyAlignment="1" applyBorder="1" applyFill="1" applyFont="1">
      <alignment horizontal="center" readingOrder="0"/>
    </xf>
    <xf borderId="4" fillId="5" fontId="1" numFmtId="0" xfId="0" applyAlignment="1" applyBorder="1" applyFont="1">
      <alignment horizontal="center" readingOrder="0"/>
    </xf>
    <xf borderId="0" fillId="5" fontId="1" numFmtId="0" xfId="0" applyAlignment="1" applyFont="1">
      <alignment horizontal="left" readingOrder="0"/>
    </xf>
    <xf borderId="4" fillId="5" fontId="1" numFmtId="0" xfId="0" applyAlignment="1" applyBorder="1" applyFont="1">
      <alignment horizontal="center" readingOrder="0" shrinkToFit="0" wrapText="0"/>
    </xf>
    <xf borderId="0" fillId="5" fontId="1" numFmtId="0" xfId="0" applyAlignment="1" applyFont="1">
      <alignment horizontal="left" readingOrder="0" shrinkToFit="0" wrapText="0"/>
    </xf>
    <xf borderId="4" fillId="5" fontId="1" numFmtId="0" xfId="0" applyAlignment="1" applyBorder="1" applyFont="1">
      <alignment readingOrder="0" shrinkToFit="0" wrapText="0"/>
    </xf>
    <xf borderId="7" fillId="5" fontId="1" numFmtId="0" xfId="0" applyAlignment="1" applyBorder="1" applyFont="1">
      <alignment horizontal="center" readingOrder="0"/>
    </xf>
    <xf borderId="4" fillId="3" fontId="2" numFmtId="0" xfId="0" applyAlignment="1" applyBorder="1" applyFont="1">
      <alignment horizontal="center" readingOrder="0"/>
    </xf>
    <xf borderId="4" fillId="0" fontId="1" numFmtId="0" xfId="0" applyAlignment="1" applyBorder="1" applyFont="1">
      <alignment readingOrder="0" shrinkToFit="0" wrapText="0"/>
    </xf>
    <xf borderId="4" fillId="6" fontId="1" numFmtId="165" xfId="0" applyAlignment="1" applyBorder="1" applyFill="1" applyFont="1" applyNumberFormat="1">
      <alignment horizontal="center" readingOrder="0"/>
    </xf>
    <xf borderId="4" fillId="6" fontId="1" numFmtId="0" xfId="0" applyAlignment="1" applyBorder="1" applyFont="1">
      <alignment horizontal="center" readingOrder="0"/>
    </xf>
    <xf borderId="4" fillId="6" fontId="1" numFmtId="0" xfId="0" applyAlignment="1" applyBorder="1" applyFont="1">
      <alignment horizontal="left" readingOrder="0"/>
    </xf>
    <xf borderId="4" fillId="6" fontId="1" numFmtId="3" xfId="0" applyAlignment="1" applyBorder="1" applyFont="1" applyNumberFormat="1">
      <alignment horizontal="center" readingOrder="0"/>
    </xf>
    <xf borderId="4" fillId="6" fontId="1" numFmtId="0" xfId="0" applyAlignment="1" applyBorder="1" applyFont="1">
      <alignment horizontal="left" readingOrder="0" shrinkToFit="0" wrapText="0"/>
    </xf>
    <xf borderId="4" fillId="6" fontId="38" numFmtId="0" xfId="0" applyAlignment="1" applyBorder="1" applyFont="1">
      <alignment horizontal="left" readingOrder="0" shrinkToFit="0" wrapText="0"/>
    </xf>
    <xf borderId="7" fillId="6" fontId="1" numFmtId="0" xfId="0" applyAlignment="1" applyBorder="1" applyFont="1">
      <alignment horizontal="center" readingOrder="0"/>
    </xf>
    <xf borderId="4" fillId="6" fontId="1" numFmtId="0" xfId="0" applyAlignment="1" applyBorder="1" applyFont="1">
      <alignment horizontal="center" readingOrder="0" shrinkToFit="0" wrapText="0"/>
    </xf>
    <xf borderId="4" fillId="6" fontId="1" numFmtId="3" xfId="0" applyAlignment="1" applyBorder="1" applyFont="1" applyNumberFormat="1">
      <alignment horizontal="center" readingOrder="0" shrinkToFit="0" wrapText="0"/>
    </xf>
    <xf borderId="4" fillId="6" fontId="39" numFmtId="0" xfId="0" applyAlignment="1" applyBorder="1" applyFont="1">
      <alignment horizontal="left" readingOrder="0" shrinkToFit="0" wrapText="0"/>
    </xf>
    <xf borderId="4" fillId="6" fontId="16" numFmtId="0" xfId="0" applyAlignment="1" applyBorder="1" applyFont="1">
      <alignment horizontal="left" readingOrder="0" shrinkToFit="0" wrapText="0"/>
    </xf>
    <xf borderId="0" fillId="6" fontId="1" numFmtId="0" xfId="0" applyAlignment="1" applyFont="1">
      <alignment readingOrder="0"/>
    </xf>
    <xf borderId="10" fillId="6" fontId="1" numFmtId="0" xfId="0" applyAlignment="1" applyBorder="1" applyFont="1">
      <alignment horizontal="center" readingOrder="0"/>
    </xf>
    <xf borderId="0" fillId="0" fontId="1" numFmtId="3" xfId="0" applyAlignment="1" applyFont="1" applyNumberFormat="1">
      <alignment horizontal="center" readingOrder="0"/>
    </xf>
    <xf borderId="0" fillId="0" fontId="40" numFmtId="0" xfId="0" applyAlignment="1" applyFont="1">
      <alignment readingOrder="0" shrinkToFit="0" wrapText="0"/>
    </xf>
    <xf borderId="4" fillId="6" fontId="1" numFmtId="164" xfId="0" applyAlignment="1" applyBorder="1" applyFont="1" applyNumberFormat="1">
      <alignment horizontal="center" readingOrder="0" shrinkToFit="0" wrapText="0"/>
    </xf>
    <xf borderId="0" fillId="6" fontId="24" numFmtId="0" xfId="0" applyAlignment="1" applyFont="1">
      <alignment horizontal="left" readingOrder="0"/>
    </xf>
    <xf borderId="0" fillId="6" fontId="41" numFmtId="0" xfId="0" applyAlignment="1" applyFont="1">
      <alignment readingOrder="0" shrinkToFit="0" wrapText="0"/>
    </xf>
    <xf borderId="0" fillId="6" fontId="1" numFmtId="0" xfId="0" applyAlignment="1" applyFont="1">
      <alignment horizontal="center" readingOrder="0"/>
    </xf>
    <xf borderId="4" fillId="6" fontId="1" numFmtId="0" xfId="0" applyAlignment="1" applyBorder="1" applyFont="1">
      <alignment readingOrder="0" shrinkToFit="0" wrapText="0"/>
    </xf>
    <xf borderId="4" fillId="6" fontId="42" numFmtId="0" xfId="0" applyAlignment="1" applyBorder="1" applyFont="1">
      <alignment readingOrder="0" shrinkToFit="0" wrapText="0"/>
    </xf>
    <xf borderId="0" fillId="3" fontId="1" numFmtId="164" xfId="0" applyAlignment="1" applyFont="1" applyNumberFormat="1">
      <alignment horizontal="center" readingOrder="0" shrinkToFit="0" wrapText="0"/>
    </xf>
    <xf borderId="0" fillId="3" fontId="1" numFmtId="3" xfId="0" applyAlignment="1" applyFont="1" applyNumberFormat="1">
      <alignment horizontal="center" readingOrder="0" shrinkToFit="0" wrapText="0"/>
    </xf>
    <xf borderId="0" fillId="3" fontId="31" numFmtId="0" xfId="0" applyAlignment="1" applyFont="1">
      <alignment horizontal="left" readingOrder="0" shrinkToFit="0" wrapText="0"/>
    </xf>
    <xf borderId="4" fillId="3" fontId="43" numFmtId="0" xfId="0" applyAlignment="1" applyBorder="1" applyFont="1">
      <alignment readingOrder="0" shrinkToFit="0" wrapText="0"/>
    </xf>
    <xf borderId="4" fillId="3" fontId="44" numFmtId="0" xfId="0" applyAlignment="1" applyBorder="1" applyFont="1">
      <alignment horizontal="left" readingOrder="0"/>
    </xf>
    <xf borderId="10" fillId="3" fontId="1" numFmtId="0" xfId="0" applyAlignment="1" applyBorder="1" applyFont="1">
      <alignment horizontal="center" readingOrder="0"/>
    </xf>
    <xf borderId="8" fillId="3" fontId="31" numFmtId="3" xfId="0" applyAlignment="1" applyBorder="1" applyFont="1" applyNumberFormat="1">
      <alignment horizontal="center" readingOrder="0" shrinkToFit="0" wrapText="0"/>
    </xf>
    <xf borderId="8" fillId="3" fontId="31" numFmtId="0" xfId="0" applyAlignment="1" applyBorder="1" applyFont="1">
      <alignment readingOrder="0" shrinkToFit="0" wrapText="0"/>
    </xf>
    <xf borderId="0" fillId="3" fontId="1" numFmtId="0" xfId="0" applyAlignment="1" applyFont="1">
      <alignment horizontal="center" readingOrder="0" shrinkToFit="0" wrapText="0"/>
    </xf>
    <xf borderId="12" fillId="3" fontId="45" numFmtId="0" xfId="0" applyAlignment="1" applyBorder="1" applyFont="1">
      <alignment horizontal="left" readingOrder="0"/>
    </xf>
    <xf borderId="19" fillId="3" fontId="1" numFmtId="164" xfId="0" applyAlignment="1" applyBorder="1" applyFont="1" applyNumberFormat="1">
      <alignment horizontal="center" readingOrder="0" shrinkToFit="0" wrapText="0"/>
    </xf>
    <xf borderId="19" fillId="3" fontId="1" numFmtId="3" xfId="0" applyAlignment="1" applyBorder="1" applyFont="1" applyNumberFormat="1">
      <alignment horizontal="center" readingOrder="0" shrinkToFit="0" wrapText="0"/>
    </xf>
    <xf borderId="11" fillId="3" fontId="1" numFmtId="164" xfId="0" applyAlignment="1" applyBorder="1" applyFont="1" applyNumberFormat="1">
      <alignment horizontal="center" readingOrder="0" shrinkToFit="0" wrapText="0"/>
    </xf>
    <xf borderId="14" fillId="3" fontId="46" numFmtId="0" xfId="0" applyAlignment="1" applyBorder="1" applyFont="1">
      <alignment horizontal="left" readingOrder="0" shrinkToFit="0" wrapText="0"/>
    </xf>
    <xf borderId="8" fillId="6" fontId="31" numFmtId="3" xfId="0" applyAlignment="1" applyBorder="1" applyFont="1" applyNumberFormat="1">
      <alignment horizontal="center" readingOrder="0" shrinkToFit="0" wrapText="0"/>
    </xf>
    <xf borderId="4" fillId="6" fontId="47" numFmtId="0" xfId="0" applyAlignment="1" applyBorder="1" applyFont="1">
      <alignment readingOrder="0" vertical="bottom"/>
    </xf>
    <xf borderId="4" fillId="6" fontId="16" numFmtId="0" xfId="0" applyAlignment="1" applyBorder="1" applyFont="1">
      <alignment horizontal="center" vertical="bottom"/>
    </xf>
    <xf borderId="11" fillId="3" fontId="16" numFmtId="0" xfId="0" applyAlignment="1" applyBorder="1" applyFont="1">
      <alignment horizontal="center" readingOrder="0" shrinkToFit="0" wrapText="0"/>
    </xf>
    <xf borderId="11" fillId="3" fontId="16" numFmtId="0" xfId="0" applyAlignment="1" applyBorder="1" applyFont="1">
      <alignment horizontal="left" readingOrder="0" shrinkToFit="0" wrapText="0"/>
    </xf>
    <xf borderId="11" fillId="3" fontId="48" numFmtId="0" xfId="0" applyAlignment="1" applyBorder="1" applyFont="1">
      <alignment horizontal="left" readingOrder="0" shrinkToFit="0" wrapText="0"/>
    </xf>
    <xf borderId="5" fillId="3" fontId="1" numFmtId="0" xfId="0" applyAlignment="1" applyBorder="1" applyFont="1">
      <alignment horizontal="center" readingOrder="0"/>
    </xf>
    <xf borderId="11" fillId="3" fontId="1" numFmtId="0" xfId="0" applyAlignment="1" applyBorder="1" applyFont="1">
      <alignment horizontal="center" readingOrder="0" shrinkToFit="0" wrapText="0"/>
    </xf>
    <xf borderId="11" fillId="3" fontId="1" numFmtId="0" xfId="0" applyAlignment="1" applyBorder="1" applyFont="1">
      <alignment horizontal="left" readingOrder="0" shrinkToFit="0" wrapText="0"/>
    </xf>
    <xf borderId="11" fillId="3" fontId="1" numFmtId="0" xfId="0" applyAlignment="1" applyBorder="1" applyFont="1">
      <alignment horizontal="left" readingOrder="0"/>
    </xf>
    <xf borderId="11" fillId="3" fontId="1" numFmtId="3" xfId="0" applyAlignment="1" applyBorder="1" applyFont="1" applyNumberFormat="1">
      <alignment horizontal="center" readingOrder="0" shrinkToFit="0" wrapText="0"/>
    </xf>
    <xf borderId="4" fillId="3" fontId="16" numFmtId="0" xfId="0" applyAlignment="1" applyBorder="1" applyFont="1">
      <alignment readingOrder="0" vertical="bottom"/>
    </xf>
    <xf borderId="4" fillId="3" fontId="49" numFmtId="0" xfId="0" applyAlignment="1" applyBorder="1" applyFont="1">
      <alignment readingOrder="0" shrinkToFit="0" wrapText="0"/>
    </xf>
    <xf borderId="4" fillId="3" fontId="50" numFmtId="0" xfId="0" applyAlignment="1" applyBorder="1" applyFont="1">
      <alignment horizontal="left" readingOrder="0" shrinkToFit="0" wrapText="0"/>
    </xf>
    <xf borderId="4" fillId="3" fontId="16" numFmtId="0" xfId="0" applyAlignment="1" applyBorder="1" applyFont="1">
      <alignment horizontal="center" readingOrder="0" shrinkToFit="0" wrapText="0"/>
    </xf>
    <xf borderId="4" fillId="3" fontId="16" numFmtId="0" xfId="0" applyAlignment="1" applyBorder="1" applyFont="1">
      <alignment horizontal="left" readingOrder="0" shrinkToFit="0" wrapText="0"/>
    </xf>
    <xf borderId="4" fillId="3" fontId="51" numFmtId="0" xfId="0" applyAlignment="1" applyBorder="1" applyFont="1">
      <alignment horizontal="left" readingOrder="0" shrinkToFit="0" wrapText="0"/>
    </xf>
    <xf borderId="20" fillId="3" fontId="1" numFmtId="0" xfId="0" applyAlignment="1" applyBorder="1" applyFont="1">
      <alignment horizontal="center" readingOrder="0"/>
    </xf>
    <xf borderId="20" fillId="0" fontId="1" numFmtId="0" xfId="0" applyAlignment="1" applyBorder="1" applyFont="1">
      <alignment readingOrder="0"/>
    </xf>
    <xf borderId="20" fillId="3" fontId="1" numFmtId="164" xfId="0" applyAlignment="1" applyBorder="1" applyFont="1" applyNumberFormat="1">
      <alignment horizontal="center" readingOrder="0" shrinkToFit="0" wrapText="0"/>
    </xf>
    <xf borderId="20" fillId="3" fontId="1" numFmtId="3" xfId="0" applyAlignment="1" applyBorder="1" applyFont="1" applyNumberFormat="1">
      <alignment horizontal="center" readingOrder="0" shrinkToFit="0" wrapText="0"/>
    </xf>
    <xf borderId="20" fillId="3" fontId="1" numFmtId="0" xfId="0" applyAlignment="1" applyBorder="1" applyFont="1">
      <alignment horizontal="left" readingOrder="0" shrinkToFit="0" wrapText="0"/>
    </xf>
    <xf borderId="20" fillId="3" fontId="52" numFmtId="0" xfId="0" applyAlignment="1" applyBorder="1" applyFont="1">
      <alignment horizontal="left" readingOrder="0" shrinkToFit="0" wrapText="0"/>
    </xf>
    <xf borderId="21" fillId="3" fontId="1" numFmtId="0" xfId="0" applyAlignment="1" applyBorder="1" applyFont="1">
      <alignment horizontal="center" readingOrder="0"/>
    </xf>
    <xf borderId="11" fillId="3" fontId="16" numFmtId="0" xfId="0" applyAlignment="1" applyBorder="1" applyFont="1">
      <alignment readingOrder="0" vertical="bottom"/>
    </xf>
    <xf borderId="0" fillId="3" fontId="53" numFmtId="0" xfId="0" applyAlignment="1" applyFont="1">
      <alignment readingOrder="0" shrinkToFit="0" wrapText="0"/>
    </xf>
    <xf borderId="1" fillId="3" fontId="1" numFmtId="0" xfId="0" applyAlignment="1" applyBorder="1" applyFont="1">
      <alignment horizontal="center" readingOrder="0"/>
    </xf>
    <xf borderId="0" fillId="0" fontId="54" numFmtId="0" xfId="0" applyAlignment="1" applyFont="1">
      <alignment readingOrder="0"/>
    </xf>
    <xf borderId="22" fillId="3" fontId="1" numFmtId="0" xfId="0" applyAlignment="1" applyBorder="1" applyFont="1">
      <alignment horizontal="center" readingOrder="0"/>
    </xf>
    <xf borderId="22" fillId="3" fontId="1" numFmtId="0" xfId="0" applyAlignment="1" applyBorder="1" applyFont="1">
      <alignment horizontal="left" readingOrder="0"/>
    </xf>
    <xf borderId="23" fillId="3" fontId="16" numFmtId="0" xfId="0" applyAlignment="1" applyBorder="1" applyFont="1">
      <alignment horizontal="center" readingOrder="0" shrinkToFit="0" wrapText="0"/>
    </xf>
    <xf borderId="23" fillId="3" fontId="16" numFmtId="0" xfId="0" applyAlignment="1" applyBorder="1" applyFont="1">
      <alignment horizontal="left" readingOrder="0" shrinkToFit="0" wrapText="0"/>
    </xf>
    <xf borderId="23" fillId="3" fontId="55" numFmtId="0" xfId="0" applyAlignment="1" applyBorder="1" applyFont="1">
      <alignment horizontal="left" readingOrder="0" shrinkToFit="0" wrapText="0"/>
    </xf>
    <xf borderId="24" fillId="3" fontId="1" numFmtId="0" xfId="0" applyAlignment="1" applyBorder="1" applyFont="1">
      <alignment horizontal="center" readingOrder="0"/>
    </xf>
    <xf borderId="11" fillId="3" fontId="1" numFmtId="0" xfId="0" applyAlignment="1" applyBorder="1" applyFont="1">
      <alignment readingOrder="0" shrinkToFit="0" wrapText="0"/>
    </xf>
    <xf borderId="11" fillId="3" fontId="56" numFmtId="0" xfId="0" applyAlignment="1" applyBorder="1" applyFont="1">
      <alignment horizontal="left" readingOrder="0" shrinkToFit="0" wrapText="0"/>
    </xf>
    <xf borderId="11" fillId="3" fontId="2" numFmtId="0" xfId="0" applyAlignment="1" applyBorder="1" applyFont="1">
      <alignment horizontal="center" readingOrder="0"/>
    </xf>
    <xf borderId="7" fillId="3" fontId="1" numFmtId="0" xfId="0" applyAlignment="1" applyBorder="1" applyFont="1">
      <alignment horizontal="left" readingOrder="0"/>
    </xf>
    <xf borderId="12" fillId="0" fontId="1" numFmtId="164" xfId="0" applyAlignment="1" applyBorder="1" applyFont="1" applyNumberFormat="1">
      <alignment horizontal="center" readingOrder="0"/>
    </xf>
    <xf borderId="4" fillId="3" fontId="1" numFmtId="0" xfId="0" applyAlignment="1" applyBorder="1" applyFont="1">
      <alignment readingOrder="0" shrinkToFit="0" wrapText="0"/>
    </xf>
    <xf borderId="10" fillId="3" fontId="57" numFmtId="0" xfId="0" applyAlignment="1" applyBorder="1" applyFont="1">
      <alignment readingOrder="0" shrinkToFit="0" wrapText="0"/>
    </xf>
    <xf borderId="11" fillId="3" fontId="1" numFmtId="0" xfId="0" applyAlignment="1" applyBorder="1" applyFont="1">
      <alignment readingOrder="0" shrinkToFit="0" wrapText="0"/>
    </xf>
    <xf borderId="11" fillId="3" fontId="1" numFmtId="0" xfId="0" applyAlignment="1" applyBorder="1" applyFont="1">
      <alignment horizontal="center" readingOrder="0"/>
    </xf>
    <xf borderId="11" fillId="3" fontId="1" numFmtId="165" xfId="0" applyAlignment="1" applyBorder="1" applyFont="1" applyNumberFormat="1">
      <alignment horizontal="center" readingOrder="0"/>
    </xf>
    <xf borderId="11" fillId="3" fontId="1" numFmtId="164" xfId="0" applyAlignment="1" applyBorder="1" applyFont="1" applyNumberFormat="1">
      <alignment horizontal="center" readingOrder="0" shrinkToFit="0" wrapText="0"/>
    </xf>
    <xf borderId="4" fillId="3" fontId="1" numFmtId="0" xfId="0" applyAlignment="1" applyBorder="1" applyFont="1">
      <alignment horizontal="center" readingOrder="0" shrinkToFit="0" wrapText="0"/>
    </xf>
    <xf borderId="10" fillId="3" fontId="1" numFmtId="0" xfId="0" applyAlignment="1" applyBorder="1" applyFont="1">
      <alignment readingOrder="0" shrinkToFit="0" wrapText="0"/>
    </xf>
    <xf borderId="10" fillId="3" fontId="1" numFmtId="0" xfId="0" applyAlignment="1" applyBorder="1" applyFont="1">
      <alignment horizontal="left" readingOrder="0" shrinkToFit="0" wrapText="0"/>
    </xf>
    <xf borderId="10" fillId="3" fontId="1" numFmtId="0" xfId="0" applyAlignment="1" applyBorder="1" applyFont="1">
      <alignment horizontal="left" readingOrder="0" shrinkToFit="0" wrapText="0"/>
    </xf>
    <xf borderId="0" fillId="0" fontId="1" numFmtId="0" xfId="0" applyAlignment="1" applyFont="1">
      <alignment readingOrder="0" shrinkToFit="0" wrapText="0"/>
    </xf>
    <xf borderId="4" fillId="3" fontId="1" numFmtId="0" xfId="0" applyAlignment="1" applyBorder="1" applyFont="1">
      <alignment readingOrder="0" shrinkToFit="0" wrapText="0"/>
    </xf>
    <xf borderId="4" fillId="3" fontId="1" numFmtId="164" xfId="0" applyAlignment="1" applyBorder="1" applyFont="1" applyNumberFormat="1">
      <alignment horizontal="center" readingOrder="0" shrinkToFit="0" wrapText="0"/>
    </xf>
    <xf borderId="4" fillId="3" fontId="1" numFmtId="0" xfId="0" applyAlignment="1" applyBorder="1" applyFont="1">
      <alignment horizontal="center" readingOrder="0" shrinkToFit="0" wrapText="0"/>
    </xf>
    <xf borderId="11" fillId="3" fontId="16" numFmtId="0" xfId="0" applyAlignment="1" applyBorder="1" applyFont="1">
      <alignment horizontal="center" readingOrder="0" vertical="bottom"/>
    </xf>
    <xf borderId="11" fillId="3" fontId="1" numFmtId="3" xfId="0" applyAlignment="1" applyBorder="1" applyFont="1" applyNumberFormat="1">
      <alignment horizontal="center" readingOrder="0" shrinkToFit="0" wrapText="0"/>
    </xf>
    <xf borderId="11" fillId="3" fontId="1" numFmtId="0" xfId="0" applyAlignment="1" applyBorder="1" applyFont="1">
      <alignment readingOrder="0" shrinkToFit="0" wrapText="0"/>
    </xf>
    <xf borderId="16" fillId="3" fontId="1" numFmtId="0" xfId="0" applyAlignment="1" applyBorder="1" applyFont="1">
      <alignment horizontal="left" readingOrder="0"/>
    </xf>
    <xf borderId="20" fillId="3" fontId="1" numFmtId="165" xfId="0" applyAlignment="1" applyBorder="1" applyFont="1" applyNumberFormat="1">
      <alignment horizontal="center" readingOrder="0"/>
    </xf>
    <xf borderId="20" fillId="3" fontId="1" numFmtId="0" xfId="0" applyAlignment="1" applyBorder="1" applyFont="1">
      <alignment horizontal="left" readingOrder="0"/>
    </xf>
    <xf borderId="20" fillId="3" fontId="1" numFmtId="0" xfId="0" applyAlignment="1" applyBorder="1" applyFont="1">
      <alignment horizontal="center" readingOrder="0" shrinkToFit="0" wrapText="0"/>
    </xf>
    <xf borderId="20" fillId="3" fontId="1" numFmtId="0" xfId="0" applyAlignment="1" applyBorder="1" applyFont="1">
      <alignment horizontal="left" readingOrder="0" shrinkToFit="0" wrapText="0"/>
    </xf>
    <xf borderId="25" fillId="3" fontId="1" numFmtId="0" xfId="0" applyAlignment="1" applyBorder="1" applyFont="1">
      <alignment horizontal="center" readingOrder="0"/>
    </xf>
    <xf borderId="11" fillId="3" fontId="1" numFmtId="0" xfId="0" applyAlignment="1" applyBorder="1" applyFont="1">
      <alignment horizontal="center" readingOrder="0" shrinkToFit="0" wrapText="0"/>
    </xf>
    <xf borderId="11" fillId="3" fontId="1" numFmtId="0" xfId="0" applyAlignment="1" applyBorder="1" applyFont="1">
      <alignment horizontal="left" readingOrder="0" shrinkToFit="0" wrapText="0"/>
    </xf>
    <xf borderId="26" fillId="3" fontId="1" numFmtId="0" xfId="0" applyAlignment="1" applyBorder="1" applyFont="1">
      <alignment horizontal="center" readingOrder="0"/>
    </xf>
    <xf borderId="12" fillId="3" fontId="1" numFmtId="0" xfId="0" applyAlignment="1" applyBorder="1" applyFont="1">
      <alignment horizontal="left" readingOrder="0"/>
    </xf>
    <xf borderId="12" fillId="3" fontId="1" numFmtId="0" xfId="0" applyAlignment="1" applyBorder="1" applyFont="1">
      <alignment horizontal="center" readingOrder="0" shrinkToFit="0" wrapText="0"/>
    </xf>
    <xf borderId="12" fillId="3" fontId="1" numFmtId="3" xfId="0" applyAlignment="1" applyBorder="1" applyFont="1" applyNumberFormat="1">
      <alignment horizontal="center" readingOrder="0" shrinkToFit="0" wrapText="0"/>
    </xf>
    <xf borderId="12" fillId="3" fontId="1" numFmtId="0" xfId="0" applyAlignment="1" applyBorder="1" applyFont="1">
      <alignment horizontal="left" readingOrder="0" shrinkToFit="0" wrapText="0"/>
    </xf>
    <xf borderId="13" fillId="0" fontId="16" numFmtId="0" xfId="0" applyAlignment="1" applyBorder="1" applyFont="1">
      <alignment readingOrder="0" shrinkToFit="0" vertical="top" wrapText="0"/>
    </xf>
    <xf borderId="27" fillId="0" fontId="16" numFmtId="0" xfId="0" applyAlignment="1" applyBorder="1" applyFont="1">
      <alignment readingOrder="0" shrinkToFit="0" vertical="top" wrapText="0"/>
    </xf>
    <xf borderId="28" fillId="3" fontId="1" numFmtId="165" xfId="0" applyAlignment="1" applyBorder="1" applyFont="1" applyNumberFormat="1">
      <alignment horizontal="center" readingOrder="0"/>
    </xf>
    <xf borderId="29" fillId="3" fontId="1" numFmtId="0" xfId="0" applyAlignment="1" applyBorder="1" applyFont="1">
      <alignment horizontal="center" readingOrder="0"/>
    </xf>
    <xf borderId="28" fillId="3" fontId="1" numFmtId="0" xfId="0" applyAlignment="1" applyBorder="1" applyFont="1">
      <alignment horizontal="left" readingOrder="0"/>
    </xf>
    <xf borderId="28" fillId="3" fontId="1" numFmtId="0" xfId="0" applyAlignment="1" applyBorder="1" applyFont="1">
      <alignment horizontal="center" readingOrder="0" shrinkToFit="0" wrapText="0"/>
    </xf>
    <xf borderId="28" fillId="3" fontId="1" numFmtId="0" xfId="0" applyAlignment="1" applyBorder="1" applyFont="1">
      <alignment horizontal="left" readingOrder="0" shrinkToFit="0" wrapText="0"/>
    </xf>
    <xf borderId="28" fillId="3" fontId="1" numFmtId="0" xfId="0" applyAlignment="1" applyBorder="1" applyFont="1">
      <alignment horizontal="center" readingOrder="0"/>
    </xf>
    <xf borderId="30" fillId="3" fontId="1" numFmtId="0" xfId="0" applyAlignment="1" applyBorder="1" applyFont="1">
      <alignment horizontal="center" readingOrder="0"/>
    </xf>
    <xf borderId="9" fillId="3" fontId="16" numFmtId="0" xfId="0" applyAlignment="1" applyBorder="1" applyFont="1">
      <alignment horizontal="center" readingOrder="0" vertical="bottom"/>
    </xf>
    <xf borderId="4" fillId="3" fontId="58" numFmtId="0" xfId="0" applyAlignment="1" applyBorder="1" applyFont="1">
      <alignment horizontal="left" readingOrder="0" shrinkToFit="0" wrapText="0"/>
    </xf>
    <xf borderId="4" fillId="3" fontId="1" numFmtId="0" xfId="0" applyAlignment="1" applyBorder="1" applyFont="1">
      <alignment readingOrder="0" shrinkToFit="0" wrapText="0"/>
    </xf>
    <xf borderId="4" fillId="3" fontId="1" numFmtId="0" xfId="0" applyAlignment="1" applyBorder="1" applyFont="1">
      <alignment readingOrder="0"/>
    </xf>
    <xf borderId="16" fillId="0" fontId="1" numFmtId="0" xfId="0" applyAlignment="1" applyBorder="1" applyFont="1">
      <alignment horizontal="center" readingOrder="0"/>
    </xf>
    <xf borderId="12" fillId="3" fontId="1" numFmtId="0" xfId="0" applyAlignment="1" applyBorder="1" applyFont="1">
      <alignment readingOrder="0" shrinkToFit="0" wrapText="0"/>
    </xf>
    <xf borderId="16" fillId="3" fontId="1" numFmtId="0" xfId="0" applyAlignment="1" applyBorder="1" applyFont="1">
      <alignment readingOrder="0" shrinkToFit="0" wrapText="0"/>
    </xf>
    <xf borderId="4" fillId="3" fontId="1" numFmtId="3" xfId="0" applyAlignment="1" applyBorder="1" applyFont="1" applyNumberFormat="1">
      <alignment horizontal="center" readingOrder="0" shrinkToFit="0" wrapText="0"/>
    </xf>
    <xf borderId="31" fillId="0" fontId="1" numFmtId="0" xfId="0" applyAlignment="1" applyBorder="1" applyFont="1">
      <alignment horizontal="center" readingOrder="0"/>
    </xf>
    <xf borderId="31" fillId="3" fontId="1" numFmtId="0" xfId="0" applyAlignment="1" applyBorder="1" applyFont="1">
      <alignment horizontal="left" readingOrder="0"/>
    </xf>
    <xf borderId="28" fillId="3" fontId="1" numFmtId="3" xfId="0" applyAlignment="1" applyBorder="1" applyFont="1" applyNumberFormat="1">
      <alignment horizontal="center" readingOrder="0" shrinkToFit="0" wrapText="0"/>
    </xf>
    <xf borderId="28" fillId="3" fontId="1" numFmtId="3" xfId="0" applyAlignment="1" applyBorder="1" applyFont="1" applyNumberFormat="1">
      <alignment horizontal="center" readingOrder="0" shrinkToFit="0" wrapText="0"/>
    </xf>
    <xf borderId="28" fillId="0" fontId="1" numFmtId="0" xfId="0" applyAlignment="1" applyBorder="1" applyFont="1">
      <alignment readingOrder="0" shrinkToFit="0" wrapText="0"/>
    </xf>
    <xf borderId="12" fillId="0" fontId="1" numFmtId="0" xfId="0" applyAlignment="1" applyBorder="1" applyFont="1">
      <alignment horizontal="center" readingOrder="0"/>
    </xf>
    <xf borderId="0" fillId="3" fontId="59" numFmtId="0" xfId="0" applyAlignment="1" applyFont="1">
      <alignment horizontal="left" readingOrder="0" shrinkToFit="0" wrapText="0"/>
    </xf>
    <xf borderId="0" fillId="3" fontId="60" numFmtId="0" xfId="0" applyAlignment="1" applyFont="1">
      <alignment readingOrder="0" shrinkToFit="0" wrapText="0"/>
    </xf>
    <xf borderId="0" fillId="0" fontId="16" numFmtId="0" xfId="0" applyAlignment="1" applyFont="1">
      <alignment readingOrder="0" shrinkToFit="0" vertical="top" wrapText="0"/>
    </xf>
    <xf borderId="12" fillId="3" fontId="1" numFmtId="164" xfId="0" applyAlignment="1" applyBorder="1" applyFont="1" applyNumberFormat="1">
      <alignment horizontal="center" readingOrder="0" shrinkToFit="0" wrapText="0"/>
    </xf>
    <xf borderId="4" fillId="0" fontId="16" numFmtId="0" xfId="0" applyAlignment="1" applyBorder="1" applyFont="1">
      <alignment readingOrder="0" shrinkToFit="0" vertical="top" wrapText="0"/>
    </xf>
    <xf borderId="32" fillId="0" fontId="16" numFmtId="0" xfId="0" applyAlignment="1" applyBorder="1" applyFont="1">
      <alignment readingOrder="0" shrinkToFit="0" vertical="top" wrapText="0"/>
    </xf>
    <xf borderId="4" fillId="3" fontId="1" numFmtId="165" xfId="0" applyAlignment="1" applyBorder="1" applyFont="1" applyNumberFormat="1">
      <alignment horizontal="center" readingOrder="0" shrinkToFit="0" wrapText="0"/>
    </xf>
    <xf borderId="4" fillId="3" fontId="59" numFmtId="0" xfId="0" applyAlignment="1" applyBorder="1" applyFont="1">
      <alignment horizontal="left" readingOrder="0" shrinkToFit="0" wrapText="0"/>
    </xf>
    <xf borderId="4" fillId="3" fontId="59" numFmtId="0" xfId="0" applyAlignment="1" applyBorder="1" applyFont="1">
      <alignment horizontal="left" readingOrder="0"/>
    </xf>
    <xf borderId="4" fillId="0" fontId="16" numFmtId="0" xfId="0" applyAlignment="1" applyBorder="1" applyFont="1">
      <alignment readingOrder="0" vertical="top"/>
    </xf>
    <xf borderId="12" fillId="0" fontId="1" numFmtId="0" xfId="0" applyAlignment="1" applyBorder="1" applyFont="1">
      <alignment readingOrder="0"/>
    </xf>
    <xf borderId="28" fillId="0" fontId="1" numFmtId="0" xfId="0" applyAlignment="1" applyBorder="1" applyFont="1">
      <alignment readingOrder="0"/>
    </xf>
    <xf borderId="28" fillId="0" fontId="1" numFmtId="0" xfId="0" applyAlignment="1" applyBorder="1" applyFont="1">
      <alignment horizontal="center"/>
    </xf>
    <xf borderId="28" fillId="0" fontId="1" numFmtId="0" xfId="0" applyAlignment="1" applyBorder="1" applyFont="1">
      <alignment readingOrder="0"/>
    </xf>
    <xf borderId="4" fillId="3" fontId="1" numFmtId="3" xfId="0" applyAlignment="1" applyBorder="1" applyFont="1" applyNumberFormat="1">
      <alignment horizontal="center" readingOrder="0"/>
    </xf>
    <xf borderId="13" fillId="0" fontId="16" numFmtId="0" xfId="0" applyAlignment="1" applyBorder="1" applyFont="1">
      <alignment readingOrder="0" vertical="top"/>
    </xf>
    <xf borderId="12" fillId="3" fontId="1" numFmtId="165" xfId="0" applyAlignment="1" applyBorder="1" applyFont="1" applyNumberFormat="1">
      <alignment horizontal="center" readingOrder="0" shrinkToFit="0" wrapText="0"/>
    </xf>
    <xf borderId="31" fillId="3" fontId="1" numFmtId="165" xfId="0" applyAlignment="1" applyBorder="1" applyFont="1" applyNumberFormat="1">
      <alignment horizontal="center" readingOrder="0"/>
    </xf>
    <xf borderId="28" fillId="3" fontId="16" numFmtId="0" xfId="0" applyAlignment="1" applyBorder="1" applyFont="1">
      <alignment readingOrder="0" vertical="bottom"/>
    </xf>
    <xf borderId="6" fillId="3" fontId="1" numFmtId="0" xfId="0" applyAlignment="1" applyBorder="1" applyFont="1">
      <alignment horizontal="center" readingOrder="0"/>
    </xf>
    <xf borderId="0" fillId="3" fontId="1" numFmtId="0" xfId="0" applyAlignment="1" applyFont="1">
      <alignment readingOrder="0" shrinkToFit="0" wrapText="0"/>
    </xf>
    <xf borderId="4" fillId="0" fontId="1" numFmtId="0" xfId="0" applyAlignment="1" applyBorder="1" applyFont="1">
      <alignment readingOrder="0"/>
    </xf>
    <xf borderId="0" fillId="0" fontId="1" numFmtId="0" xfId="0" applyAlignment="1" applyFont="1">
      <alignment readingOrder="0" shrinkToFit="0" wrapText="0"/>
    </xf>
    <xf borderId="12" fillId="0" fontId="61" numFmtId="164" xfId="0" applyAlignment="1" applyBorder="1" applyFont="1" applyNumberFormat="1">
      <alignment horizontal="center" readingOrder="0"/>
    </xf>
    <xf borderId="12" fillId="0" fontId="61" numFmtId="3" xfId="0" applyAlignment="1" applyBorder="1" applyFont="1" applyNumberFormat="1">
      <alignment horizontal="center" readingOrder="0"/>
    </xf>
    <xf borderId="12" fillId="0" fontId="61" numFmtId="0" xfId="0" applyAlignment="1" applyBorder="1" applyFont="1">
      <alignment readingOrder="0"/>
    </xf>
    <xf borderId="12" fillId="3" fontId="1" numFmtId="3" xfId="0" applyAlignment="1" applyBorder="1" applyFont="1" applyNumberFormat="1">
      <alignment horizontal="center" readingOrder="0" shrinkToFit="0" wrapText="0"/>
    </xf>
    <xf borderId="28" fillId="3" fontId="1" numFmtId="165" xfId="0" applyAlignment="1" applyBorder="1" applyFont="1" applyNumberFormat="1">
      <alignment horizontal="center" readingOrder="0" shrinkToFit="0" wrapText="0"/>
    </xf>
    <xf borderId="28" fillId="0" fontId="1" numFmtId="164" xfId="0" applyAlignment="1" applyBorder="1" applyFont="1" applyNumberFormat="1">
      <alignment horizontal="center" readingOrder="0"/>
    </xf>
    <xf borderId="28" fillId="3" fontId="1" numFmtId="0" xfId="0" applyAlignment="1" applyBorder="1" applyFont="1">
      <alignment horizontal="left" readingOrder="0" shrinkToFit="0" wrapText="0"/>
    </xf>
    <xf borderId="4" fillId="0" fontId="1" numFmtId="164" xfId="0" applyAlignment="1" applyBorder="1" applyFont="1" applyNumberFormat="1">
      <alignment horizontal="center"/>
    </xf>
    <xf borderId="4" fillId="0" fontId="1" numFmtId="3" xfId="0" applyAlignment="1" applyBorder="1" applyFont="1" applyNumberFormat="1">
      <alignment horizontal="center"/>
    </xf>
    <xf borderId="12" fillId="3" fontId="1" numFmtId="0" xfId="0" applyAlignment="1" applyBorder="1" applyFont="1">
      <alignment readingOrder="0" shrinkToFit="0" wrapText="0"/>
    </xf>
    <xf borderId="31" fillId="3" fontId="1" numFmtId="164" xfId="0" applyAlignment="1" applyBorder="1" applyFont="1" applyNumberFormat="1">
      <alignment horizontal="center" readingOrder="0" shrinkToFit="0" wrapText="0"/>
    </xf>
    <xf borderId="31" fillId="3" fontId="1" numFmtId="3" xfId="0" applyAlignment="1" applyBorder="1" applyFont="1" applyNumberFormat="1">
      <alignment horizontal="center" readingOrder="0" shrinkToFit="0" wrapText="0"/>
    </xf>
    <xf borderId="28" fillId="0" fontId="1" numFmtId="0" xfId="0" applyAlignment="1" applyBorder="1" applyFont="1">
      <alignment readingOrder="0" shrinkToFit="0" wrapText="0"/>
    </xf>
    <xf borderId="33" fillId="3" fontId="1" numFmtId="0" xfId="0" applyAlignment="1" applyBorder="1" applyFont="1">
      <alignment horizontal="center" readingOrder="0"/>
    </xf>
    <xf borderId="13" fillId="0" fontId="16" numFmtId="0" xfId="0" applyAlignment="1" applyBorder="1" applyFont="1">
      <alignment readingOrder="0" vertical="top"/>
    </xf>
    <xf borderId="4" fillId="3" fontId="1" numFmtId="0" xfId="0" applyAlignment="1" applyBorder="1" applyFont="1">
      <alignment readingOrder="0"/>
    </xf>
    <xf borderId="0" fillId="3" fontId="59" numFmtId="0" xfId="0" applyAlignment="1" applyFont="1">
      <alignment horizontal="left" readingOrder="0"/>
    </xf>
    <xf borderId="0" fillId="3" fontId="1" numFmtId="164" xfId="0" applyAlignment="1" applyFont="1" applyNumberFormat="1">
      <alignment horizontal="center" readingOrder="0" shrinkToFit="0" wrapText="0"/>
    </xf>
    <xf borderId="0" fillId="3" fontId="1" numFmtId="3" xfId="0" applyAlignment="1" applyFont="1" applyNumberFormat="1">
      <alignment horizontal="center" readingOrder="0" shrinkToFit="0" wrapText="0"/>
    </xf>
    <xf borderId="0" fillId="3" fontId="1" numFmtId="0" xfId="0" applyAlignment="1" applyFont="1">
      <alignment readingOrder="0" shrinkToFit="0" wrapText="0"/>
    </xf>
    <xf borderId="0" fillId="3" fontId="1" numFmtId="0" xfId="0" applyAlignment="1" applyFont="1">
      <alignment horizontal="left" readingOrder="0" shrinkToFit="0" wrapText="0"/>
    </xf>
    <xf borderId="19" fillId="3" fontId="1" numFmtId="165" xfId="0" applyAlignment="1" applyBorder="1" applyFont="1" applyNumberFormat="1">
      <alignment horizontal="center" readingOrder="0"/>
    </xf>
    <xf borderId="19" fillId="3" fontId="1" numFmtId="0" xfId="0" applyAlignment="1" applyBorder="1" applyFont="1">
      <alignment horizontal="center" readingOrder="0"/>
    </xf>
    <xf borderId="19" fillId="3" fontId="1" numFmtId="0" xfId="0" applyAlignment="1" applyBorder="1" applyFont="1">
      <alignment horizontal="left" readingOrder="0"/>
    </xf>
    <xf borderId="19" fillId="3" fontId="1" numFmtId="164" xfId="0" applyAlignment="1" applyBorder="1" applyFont="1" applyNumberFormat="1">
      <alignment horizontal="center" readingOrder="0" shrinkToFit="0" wrapText="0"/>
    </xf>
    <xf borderId="19" fillId="3" fontId="1" numFmtId="3" xfId="0" applyAlignment="1" applyBorder="1" applyFont="1" applyNumberFormat="1">
      <alignment horizontal="center" readingOrder="0" shrinkToFit="0" wrapText="0"/>
    </xf>
    <xf borderId="19" fillId="3" fontId="1" numFmtId="0" xfId="0" applyAlignment="1" applyBorder="1" applyFont="1">
      <alignment readingOrder="0" shrinkToFit="0" wrapText="0"/>
    </xf>
    <xf borderId="19" fillId="3" fontId="1" numFmtId="0" xfId="0" applyAlignment="1" applyBorder="1" applyFont="1">
      <alignment readingOrder="0" shrinkToFit="0" wrapText="0"/>
    </xf>
    <xf borderId="34" fillId="3" fontId="1" numFmtId="0" xfId="0" applyAlignment="1" applyBorder="1" applyFont="1">
      <alignment horizontal="center" readingOrder="0"/>
    </xf>
    <xf borderId="4" fillId="3" fontId="16" numFmtId="0" xfId="0" applyAlignment="1" applyBorder="1" applyFont="1">
      <alignment horizontal="center" vertical="bottom"/>
    </xf>
    <xf borderId="30" fillId="3" fontId="16" numFmtId="0" xfId="0" applyAlignment="1" applyBorder="1" applyFont="1">
      <alignment vertical="bottom"/>
    </xf>
    <xf borderId="30" fillId="3" fontId="16" numFmtId="164" xfId="0" applyAlignment="1" applyBorder="1" applyFont="1" applyNumberFormat="1">
      <alignment horizontal="center" readingOrder="0" shrinkToFit="0" vertical="bottom" wrapText="0"/>
    </xf>
    <xf borderId="30" fillId="3" fontId="16" numFmtId="3" xfId="0" applyAlignment="1" applyBorder="1" applyFont="1" applyNumberFormat="1">
      <alignment horizontal="center" readingOrder="0" shrinkToFit="0" vertical="bottom" wrapText="0"/>
    </xf>
    <xf borderId="30" fillId="3" fontId="16" numFmtId="0" xfId="0" applyAlignment="1" applyBorder="1" applyFont="1">
      <alignment readingOrder="0" shrinkToFit="0" vertical="bottom" wrapText="0"/>
    </xf>
    <xf borderId="30" fillId="3" fontId="62" numFmtId="0" xfId="0" applyAlignment="1" applyBorder="1" applyFont="1">
      <alignment shrinkToFit="0" vertical="bottom" wrapText="0"/>
    </xf>
    <xf borderId="35" fillId="3" fontId="16" numFmtId="0" xfId="0" applyAlignment="1" applyBorder="1" applyFont="1">
      <alignment horizontal="center" vertical="bottom"/>
    </xf>
    <xf borderId="11" fillId="3" fontId="16" numFmtId="0" xfId="0" applyAlignment="1" applyBorder="1" applyFont="1">
      <alignment horizontal="center" vertical="bottom"/>
    </xf>
    <xf borderId="9" fillId="3" fontId="16" numFmtId="0" xfId="0" applyAlignment="1" applyBorder="1" applyFont="1">
      <alignment vertical="bottom"/>
    </xf>
    <xf borderId="9" fillId="3" fontId="16" numFmtId="164" xfId="0" applyAlignment="1" applyBorder="1" applyFont="1" applyNumberFormat="1">
      <alignment horizontal="center" readingOrder="0" shrinkToFit="0" vertical="bottom" wrapText="0"/>
    </xf>
    <xf borderId="9" fillId="3" fontId="16" numFmtId="3" xfId="0" applyAlignment="1" applyBorder="1" applyFont="1" applyNumberFormat="1">
      <alignment horizontal="center" readingOrder="0" shrinkToFit="0" vertical="bottom" wrapText="0"/>
    </xf>
    <xf borderId="9" fillId="3" fontId="16" numFmtId="0" xfId="0" applyAlignment="1" applyBorder="1" applyFont="1">
      <alignment readingOrder="0" shrinkToFit="0" vertical="bottom" wrapText="0"/>
    </xf>
    <xf borderId="9" fillId="3" fontId="63" numFmtId="0" xfId="0" applyAlignment="1" applyBorder="1" applyFont="1">
      <alignment shrinkToFit="0" vertical="bottom" wrapText="0"/>
    </xf>
    <xf borderId="8" fillId="3" fontId="16" numFmtId="0" xfId="0" applyAlignment="1" applyBorder="1" applyFont="1">
      <alignment horizontal="center" vertical="bottom"/>
    </xf>
    <xf borderId="36" fillId="3" fontId="1" numFmtId="0" xfId="0" applyAlignment="1" applyBorder="1" applyFont="1">
      <alignment horizontal="center" readingOrder="0"/>
    </xf>
    <xf borderId="19" fillId="3" fontId="1" numFmtId="0" xfId="0" applyAlignment="1" applyBorder="1" applyFont="1">
      <alignment horizontal="left" readingOrder="0" shrinkToFit="0" wrapText="0"/>
    </xf>
    <xf borderId="37" fillId="0" fontId="1" numFmtId="0" xfId="0" applyAlignment="1" applyBorder="1" applyFont="1">
      <alignment readingOrder="0" shrinkToFit="0" wrapText="0"/>
    </xf>
    <xf borderId="37" fillId="3" fontId="16" numFmtId="0" xfId="0" applyAlignment="1" applyBorder="1" applyFont="1">
      <alignment horizontal="center" vertical="bottom"/>
    </xf>
    <xf borderId="11" fillId="3" fontId="1" numFmtId="166" xfId="0" applyAlignment="1" applyBorder="1" applyFont="1" applyNumberFormat="1">
      <alignment horizontal="center" readingOrder="0"/>
    </xf>
    <xf borderId="4" fillId="0" fontId="1" numFmtId="164" xfId="0" applyAlignment="1" applyBorder="1" applyFont="1" applyNumberFormat="1">
      <alignment horizontal="center" readingOrder="0" shrinkToFit="0" wrapText="0"/>
    </xf>
    <xf borderId="4" fillId="0" fontId="1" numFmtId="3" xfId="0" applyAlignment="1" applyBorder="1" applyFont="1" applyNumberFormat="1">
      <alignment horizontal="center" readingOrder="0" shrinkToFit="0" wrapText="0"/>
    </xf>
    <xf borderId="4" fillId="0" fontId="1" numFmtId="0" xfId="0" applyAlignment="1" applyBorder="1" applyFont="1">
      <alignment readingOrder="0" shrinkToFit="0" wrapText="0"/>
    </xf>
    <xf borderId="4" fillId="3" fontId="1" numFmtId="166" xfId="0" applyAlignment="1" applyBorder="1" applyFont="1" applyNumberFormat="1">
      <alignment horizontal="center" readingOrder="0"/>
    </xf>
    <xf borderId="4" fillId="3" fontId="16" numFmtId="0" xfId="0" applyAlignment="1" applyBorder="1" applyFont="1">
      <alignment vertical="bottom"/>
    </xf>
    <xf borderId="0" fillId="0" fontId="1" numFmtId="0" xfId="0" applyAlignment="1" applyFont="1">
      <alignment shrinkToFit="0" wrapText="0"/>
    </xf>
    <xf borderId="19" fillId="3" fontId="1" numFmtId="166" xfId="0" applyAlignment="1" applyBorder="1" applyFont="1" applyNumberFormat="1">
      <alignment horizontal="center" readingOrder="0"/>
    </xf>
    <xf borderId="19" fillId="3" fontId="16" numFmtId="0" xfId="0" applyAlignment="1" applyBorder="1" applyFont="1">
      <alignment horizontal="center" vertical="bottom"/>
    </xf>
    <xf borderId="19" fillId="3" fontId="1" numFmtId="0" xfId="0" applyAlignment="1" applyBorder="1" applyFont="1">
      <alignment horizontal="left" readingOrder="0" shrinkToFit="0" wrapText="0"/>
    </xf>
    <xf borderId="11" fillId="3" fontId="1" numFmtId="164" xfId="0" applyAlignment="1" applyBorder="1" applyFont="1" applyNumberFormat="1">
      <alignment horizontal="center" readingOrder="0" shrinkToFit="0" wrapText="0"/>
    </xf>
    <xf borderId="11" fillId="3" fontId="1" numFmtId="3" xfId="0" applyAlignment="1" applyBorder="1" applyFont="1" applyNumberFormat="1">
      <alignment horizontal="center" readingOrder="0" shrinkToFit="0" wrapText="0"/>
    </xf>
    <xf borderId="4" fillId="3" fontId="1" numFmtId="0" xfId="0" applyAlignment="1" applyBorder="1" applyFont="1">
      <alignment horizontal="left" readingOrder="0"/>
    </xf>
    <xf borderId="4" fillId="3" fontId="1" numFmtId="0" xfId="0" applyAlignment="1" applyBorder="1" applyFont="1">
      <alignment horizontal="left" readingOrder="0"/>
    </xf>
    <xf borderId="4" fillId="3" fontId="1" numFmtId="0" xfId="0" applyAlignment="1" applyBorder="1" applyFont="1">
      <alignment horizontal="center"/>
    </xf>
    <xf borderId="4" fillId="3" fontId="1" numFmtId="0" xfId="0" applyAlignment="1" applyBorder="1" applyFont="1">
      <alignment horizontal="left"/>
    </xf>
    <xf borderId="4" fillId="3" fontId="1" numFmtId="164" xfId="0" applyAlignment="1" applyBorder="1" applyFont="1" applyNumberFormat="1">
      <alignment horizontal="center" shrinkToFit="0" wrapText="0"/>
    </xf>
    <xf borderId="4" fillId="3" fontId="1" numFmtId="3" xfId="0" applyAlignment="1" applyBorder="1" applyFont="1" applyNumberFormat="1">
      <alignment horizontal="center" shrinkToFit="0" wrapText="0"/>
    </xf>
    <xf borderId="4" fillId="3" fontId="1" numFmtId="0" xfId="0" applyAlignment="1" applyBorder="1" applyFont="1">
      <alignment horizontal="left" shrinkToFit="0" wrapText="0"/>
    </xf>
    <xf borderId="10" fillId="3" fontId="1" numFmtId="0" xfId="0" applyAlignment="1" applyBorder="1" applyFont="1">
      <alignment horizontal="center"/>
    </xf>
    <xf borderId="38" fillId="0" fontId="64" numFmtId="0" xfId="0" applyAlignment="1" applyBorder="1" applyFont="1">
      <alignment horizontal="center" readingOrder="0" vertical="center"/>
    </xf>
    <xf borderId="39" fillId="0" fontId="65" numFmtId="0" xfId="0" applyBorder="1" applyFont="1"/>
    <xf borderId="40" fillId="0" fontId="66" numFmtId="0" xfId="0" applyAlignment="1" applyBorder="1" applyFont="1">
      <alignment horizontal="center" vertical="center"/>
    </xf>
    <xf borderId="0" fillId="0" fontId="67" numFmtId="0" xfId="0" applyAlignment="1" applyFont="1">
      <alignment horizontal="center" vertical="center"/>
    </xf>
    <xf borderId="41" fillId="0" fontId="68" numFmtId="0" xfId="0" applyAlignment="1" applyBorder="1" applyFont="1">
      <alignment horizontal="center" readingOrder="0" vertical="center"/>
    </xf>
    <xf borderId="40" fillId="0" fontId="66" numFmtId="0" xfId="0" applyBorder="1" applyFont="1"/>
    <xf borderId="40" fillId="0" fontId="1" numFmtId="0" xfId="0" applyBorder="1" applyFont="1"/>
    <xf borderId="42" fillId="0" fontId="65" numFmtId="0" xfId="0" applyBorder="1" applyFont="1"/>
    <xf borderId="40" fillId="0" fontId="1" numFmtId="0" xfId="0" applyAlignment="1" applyBorder="1" applyFont="1">
      <alignment readingOrder="0"/>
    </xf>
    <xf borderId="43" fillId="0" fontId="65" numFmtId="0" xfId="0" applyBorder="1" applyFont="1"/>
    <xf borderId="40" fillId="0" fontId="66" numFmtId="0" xfId="0" applyAlignment="1" applyBorder="1" applyFont="1">
      <alignment readingOrder="0"/>
    </xf>
    <xf borderId="0" fillId="0" fontId="67" numFmtId="0" xfId="0" applyFont="1"/>
    <xf borderId="38" fillId="0" fontId="66" numFmtId="0" xfId="0" applyAlignment="1" applyBorder="1" applyFont="1">
      <alignment horizontal="center" readingOrder="0" vertical="center"/>
    </xf>
    <xf borderId="40" fillId="0" fontId="66" numFmtId="0" xfId="0" applyAlignment="1" applyBorder="1" applyFont="1">
      <alignment horizontal="center" readingOrder="0" vertical="center"/>
    </xf>
    <xf borderId="0" fillId="0" fontId="66" numFmtId="0" xfId="0" applyAlignment="1" applyFont="1">
      <alignment horizontal="center" vertical="center"/>
    </xf>
    <xf borderId="38" fillId="0" fontId="1" numFmtId="0" xfId="0" applyAlignment="1" applyBorder="1" applyFont="1">
      <alignment readingOrder="0"/>
    </xf>
    <xf borderId="0" fillId="2" fontId="8" numFmtId="0" xfId="0" applyAlignment="1" applyFont="1">
      <alignment horizontal="center" readingOrder="0"/>
    </xf>
    <xf borderId="0" fillId="3" fontId="1" numFmtId="165" xfId="0" applyAlignment="1" applyFont="1" applyNumberFormat="1">
      <alignment horizontal="center" readingOrder="0"/>
    </xf>
    <xf borderId="12" fillId="3" fontId="1" numFmtId="0" xfId="0" applyAlignment="1" applyBorder="1" applyFont="1">
      <alignment horizontal="center" readingOrder="0" shrinkToFit="0" wrapText="0"/>
    </xf>
    <xf borderId="4" fillId="3" fontId="1" numFmtId="0" xfId="0" applyAlignment="1" applyBorder="1" applyFont="1">
      <alignment horizontal="left" readingOrder="0" shrinkToFit="0" wrapText="0"/>
    </xf>
    <xf borderId="19" fillId="3" fontId="69" numFmtId="0" xfId="0" applyAlignment="1" applyBorder="1" applyFont="1">
      <alignment horizontal="left" readingOrder="0" shrinkToFit="0" wrapText="0"/>
    </xf>
    <xf borderId="0" fillId="0" fontId="1" numFmtId="0" xfId="0" applyAlignment="1" applyFont="1">
      <alignment horizontal="center" readingOrder="0" shrinkToFit="0" wrapText="0"/>
    </xf>
    <xf borderId="7" fillId="3" fontId="1" numFmtId="0" xfId="0" applyAlignment="1" applyBorder="1" applyFont="1">
      <alignment horizontal="center" readingOrder="0" shrinkToFit="0" wrapText="0"/>
    </xf>
    <xf borderId="7" fillId="3" fontId="1" numFmtId="0" xfId="0" applyAlignment="1" applyBorder="1" applyFont="1">
      <alignment horizontal="left" readingOrder="0" shrinkToFit="0" wrapText="0"/>
    </xf>
    <xf borderId="15" fillId="3" fontId="70" numFmtId="0" xfId="0" applyAlignment="1" applyBorder="1" applyFont="1">
      <alignment readingOrder="0" shrinkToFit="0" wrapText="0"/>
    </xf>
    <xf borderId="0" fillId="0" fontId="1" numFmtId="0" xfId="0" applyFont="1"/>
    <xf borderId="11" fillId="3" fontId="71" numFmtId="0" xfId="0" applyAlignment="1" applyBorder="1" applyFont="1">
      <alignment readingOrder="0" shrinkToFit="0" wrapText="0"/>
    </xf>
    <xf borderId="4" fillId="3" fontId="72" numFmtId="0" xfId="0" applyAlignment="1" applyBorder="1" applyFont="1">
      <alignment readingOrder="0" shrinkToFit="0" vertical="bottom" wrapText="0"/>
    </xf>
    <xf borderId="4" fillId="3" fontId="16" numFmtId="0" xfId="0" applyAlignment="1" applyBorder="1" applyFont="1">
      <alignment horizontal="center" vertical="bottom"/>
    </xf>
    <xf borderId="22" fillId="3" fontId="1" numFmtId="165" xfId="0" applyAlignment="1" applyBorder="1" applyFont="1" applyNumberFormat="1">
      <alignment horizontal="center" readingOrder="0"/>
    </xf>
    <xf borderId="23" fillId="3" fontId="73" numFmtId="0" xfId="0" applyAlignment="1" applyBorder="1" applyFont="1">
      <alignment horizontal="left" readingOrder="0" shrinkToFit="0" wrapText="0"/>
    </xf>
    <xf borderId="10" fillId="3" fontId="74" numFmtId="0" xfId="0" applyAlignment="1" applyBorder="1" applyFont="1">
      <alignment horizontal="left" readingOrder="0" shrinkToFit="0" wrapText="0"/>
    </xf>
    <xf borderId="10" fillId="3" fontId="75" numFmtId="0" xfId="0" applyAlignment="1" applyBorder="1" applyFont="1">
      <alignment horizontal="left" readingOrder="0" shrinkToFit="0" wrapText="0"/>
    </xf>
    <xf borderId="11" fillId="3" fontId="76" numFmtId="0" xfId="0" applyAlignment="1" applyBorder="1" applyFont="1">
      <alignment readingOrder="0" shrinkToFit="0" wrapText="0"/>
    </xf>
    <xf borderId="13" fillId="0" fontId="77" numFmtId="0" xfId="0" applyAlignment="1" applyBorder="1" applyFont="1">
      <alignment readingOrder="0" shrinkToFit="0" vertical="top" wrapText="0"/>
    </xf>
    <xf borderId="27" fillId="0" fontId="78" numFmtId="0" xfId="0" applyAlignment="1" applyBorder="1" applyFont="1">
      <alignment readingOrder="0" shrinkToFit="0" vertical="top" wrapText="0"/>
    </xf>
    <xf borderId="16" fillId="3" fontId="79" numFmtId="0" xfId="0" applyAlignment="1" applyBorder="1" applyFont="1">
      <alignment horizontal="left" readingOrder="0" shrinkToFit="0" wrapText="0"/>
    </xf>
    <xf borderId="28" fillId="3" fontId="80" numFmtId="0" xfId="0" applyAlignment="1" applyBorder="1" applyFont="1">
      <alignment horizontal="left" readingOrder="0" shrinkToFit="0" wrapText="0"/>
    </xf>
    <xf borderId="12" fillId="3" fontId="81" numFmtId="0" xfId="0" applyAlignment="1" applyBorder="1" applyFont="1">
      <alignment readingOrder="0" shrinkToFit="0" wrapText="0"/>
    </xf>
    <xf borderId="16" fillId="3" fontId="82" numFmtId="0" xfId="0" applyAlignment="1" applyBorder="1" applyFont="1">
      <alignment readingOrder="0" shrinkToFit="0" wrapText="0"/>
    </xf>
    <xf borderId="28" fillId="0" fontId="83" numFmtId="0" xfId="0" applyAlignment="1" applyBorder="1" applyFont="1">
      <alignment readingOrder="0" shrinkToFit="0" wrapText="0"/>
    </xf>
    <xf borderId="0" fillId="3" fontId="84" numFmtId="0" xfId="0" applyAlignment="1" applyFont="1">
      <alignment horizontal="left" readingOrder="0" shrinkToFit="0" wrapText="0"/>
    </xf>
    <xf borderId="0" fillId="3" fontId="85" numFmtId="0" xfId="0" applyAlignment="1" applyFont="1">
      <alignment readingOrder="0" shrinkToFit="0" wrapText="0"/>
    </xf>
    <xf borderId="0" fillId="0" fontId="86" numFmtId="0" xfId="0" applyAlignment="1" applyFont="1">
      <alignment readingOrder="0" shrinkToFit="0" vertical="top" wrapText="0"/>
    </xf>
    <xf borderId="4" fillId="0" fontId="87" numFmtId="0" xfId="0" applyAlignment="1" applyBorder="1" applyFont="1">
      <alignment readingOrder="0" shrinkToFit="0" vertical="top" wrapText="0"/>
    </xf>
    <xf borderId="32" fillId="0" fontId="88" numFmtId="0" xfId="0" applyAlignment="1" applyBorder="1" applyFont="1">
      <alignment readingOrder="0" shrinkToFit="0" vertical="top" wrapText="0"/>
    </xf>
    <xf borderId="4" fillId="3" fontId="89" numFmtId="0" xfId="0" applyAlignment="1" applyBorder="1" applyFont="1">
      <alignment horizontal="left" readingOrder="0" shrinkToFit="0" wrapText="0"/>
    </xf>
    <xf borderId="4" fillId="3" fontId="90" numFmtId="0" xfId="0" applyAlignment="1" applyBorder="1" applyFont="1">
      <alignment horizontal="left" readingOrder="0"/>
    </xf>
    <xf borderId="28" fillId="0" fontId="91" numFmtId="0" xfId="0" applyAlignment="1" applyBorder="1" applyFont="1">
      <alignment readingOrder="0"/>
    </xf>
    <xf borderId="28" fillId="0" fontId="92" numFmtId="0" xfId="0" applyAlignment="1" applyBorder="1" applyFont="1">
      <alignment readingOrder="0"/>
    </xf>
    <xf borderId="4" fillId="0" fontId="93" numFmtId="0" xfId="0" applyAlignment="1" applyBorder="1" applyFont="1">
      <alignment readingOrder="0"/>
    </xf>
    <xf borderId="0" fillId="0" fontId="94" numFmtId="0" xfId="0" applyAlignment="1" applyFont="1">
      <alignment readingOrder="0" shrinkToFit="0" wrapText="0"/>
    </xf>
    <xf borderId="28" fillId="3" fontId="95" numFmtId="0" xfId="0" applyAlignment="1" applyBorder="1" applyFont="1">
      <alignment horizontal="left" readingOrder="0" shrinkToFit="0" wrapText="0"/>
    </xf>
    <xf borderId="12" fillId="3" fontId="96" numFmtId="0" xfId="0" applyAlignment="1" applyBorder="1" applyFont="1">
      <alignment readingOrder="0" shrinkToFit="0" wrapText="0"/>
    </xf>
    <xf borderId="28" fillId="0" fontId="97" numFmtId="0" xfId="0" applyAlignment="1" applyBorder="1" applyFont="1">
      <alignment readingOrder="0" shrinkToFit="0" wrapText="0"/>
    </xf>
    <xf borderId="11" fillId="3" fontId="98" numFmtId="0" xfId="0" applyAlignment="1" applyBorder="1" applyFont="1">
      <alignment readingOrder="0" shrinkToFit="0" wrapText="0"/>
    </xf>
    <xf borderId="13" fillId="0" fontId="99" numFmtId="0" xfId="0" applyAlignment="1" applyBorder="1" applyFont="1">
      <alignment readingOrder="0" vertical="top"/>
    </xf>
    <xf borderId="0" fillId="3" fontId="1" numFmtId="166" xfId="0" applyAlignment="1" applyFont="1" applyNumberFormat="1">
      <alignment horizontal="center" readingOrder="0"/>
    </xf>
    <xf borderId="0" fillId="3" fontId="1" numFmtId="0" xfId="0" applyAlignment="1" applyFont="1">
      <alignment horizontal="center"/>
    </xf>
    <xf borderId="0" fillId="0" fontId="1" numFmtId="165" xfId="0" applyFont="1" applyNumberFormat="1"/>
    <xf borderId="0" fillId="0" fontId="1" numFmtId="164" xfId="0" applyFont="1" applyNumberFormat="1"/>
    <xf borderId="0" fillId="0" fontId="1" numFmtId="3" xfId="0" applyFont="1" applyNumberFormat="1"/>
    <xf borderId="4" fillId="2" fontId="8" numFmtId="0" xfId="0" applyAlignment="1" applyBorder="1" applyFont="1">
      <alignment horizontal="left" readingOrder="0"/>
    </xf>
    <xf borderId="12" fillId="3" fontId="100" numFmtId="0" xfId="0" applyAlignment="1" applyBorder="1" applyFont="1">
      <alignment horizontal="left" readingOrder="0"/>
    </xf>
    <xf borderId="4" fillId="3" fontId="101" numFmtId="0" xfId="0" applyAlignment="1" applyBorder="1" applyFont="1">
      <alignment horizontal="left" readingOrder="0"/>
    </xf>
    <xf borderId="19" fillId="3" fontId="102" numFmtId="0" xfId="0" applyAlignment="1" applyBorder="1" applyFont="1">
      <alignment horizontal="left" readingOrder="0"/>
    </xf>
    <xf borderId="11" fillId="3" fontId="103" numFmtId="0" xfId="0" applyAlignment="1" applyBorder="1" applyFont="1">
      <alignment horizontal="left" readingOrder="0"/>
    </xf>
    <xf borderId="4" fillId="3" fontId="104" numFmtId="0" xfId="0" applyAlignment="1" applyBorder="1" applyFont="1">
      <alignment readingOrder="0"/>
    </xf>
    <xf borderId="0" fillId="3" fontId="105" numFmtId="0" xfId="0" applyAlignment="1" applyFont="1">
      <alignment readingOrder="0"/>
    </xf>
    <xf borderId="19" fillId="3" fontId="1" numFmtId="0" xfId="0" applyAlignment="1" applyBorder="1" applyFont="1">
      <alignment readingOrder="0"/>
    </xf>
    <xf borderId="19" fillId="3" fontId="106" numFmtId="0" xfId="0" applyAlignment="1" applyBorder="1" applyFont="1">
      <alignment readingOrder="0"/>
    </xf>
    <xf borderId="4" fillId="3" fontId="107" numFmtId="0" xfId="0" applyAlignment="1" applyBorder="1" applyFont="1">
      <alignment horizontal="left" readingOrder="0"/>
    </xf>
    <xf borderId="4" fillId="3" fontId="1" numFmtId="0" xfId="0" applyAlignment="1" applyBorder="1" applyFont="1">
      <alignment readingOrder="0"/>
    </xf>
    <xf borderId="44" fillId="3" fontId="1" numFmtId="0" xfId="0" applyAlignment="1" applyBorder="1" applyFont="1">
      <alignment horizontal="center" readingOrder="0"/>
    </xf>
    <xf borderId="14" fillId="3" fontId="1" numFmtId="0" xfId="0" applyAlignment="1" applyBorder="1" applyFont="1">
      <alignment readingOrder="0"/>
    </xf>
    <xf borderId="14" fillId="3" fontId="108" numFmtId="0" xfId="0" applyAlignment="1" applyBorder="1" applyFont="1">
      <alignment horizontal="left" readingOrder="0"/>
    </xf>
    <xf borderId="10" fillId="3" fontId="109" numFmtId="0" xfId="0" applyAlignment="1" applyBorder="1" applyFont="1">
      <alignment readingOrder="0"/>
    </xf>
    <xf borderId="10" fillId="3" fontId="110" numFmtId="0" xfId="0" applyAlignment="1" applyBorder="1" applyFont="1">
      <alignment horizontal="left" readingOrder="0"/>
    </xf>
    <xf borderId="19" fillId="3" fontId="16" numFmtId="0" xfId="0" applyAlignment="1" applyBorder="1" applyFont="1">
      <alignment horizontal="center" readingOrder="0" vertical="bottom"/>
    </xf>
    <xf borderId="19" fillId="3" fontId="16" numFmtId="0" xfId="0" applyAlignment="1" applyBorder="1" applyFont="1">
      <alignment readingOrder="0" vertical="bottom"/>
    </xf>
    <xf borderId="19" fillId="3" fontId="1" numFmtId="0" xfId="0" applyAlignment="1" applyBorder="1" applyFont="1">
      <alignment readingOrder="0"/>
    </xf>
    <xf borderId="11" fillId="3" fontId="1" numFmtId="0" xfId="0" applyAlignment="1" applyBorder="1" applyFont="1">
      <alignment readingOrder="0"/>
    </xf>
    <xf borderId="11" fillId="3" fontId="111" numFmtId="0" xfId="0" applyAlignment="1" applyBorder="1" applyFont="1">
      <alignment readingOrder="0"/>
    </xf>
    <xf borderId="4" fillId="3" fontId="16" numFmtId="0" xfId="0" applyAlignment="1" applyBorder="1" applyFont="1">
      <alignment horizontal="center" readingOrder="0" vertical="bottom"/>
    </xf>
    <xf borderId="11" fillId="3" fontId="1" numFmtId="0" xfId="0" applyAlignment="1" applyBorder="1" applyFont="1">
      <alignment horizontal="left" readingOrder="0"/>
    </xf>
    <xf borderId="37" fillId="3" fontId="1" numFmtId="0" xfId="0" applyAlignment="1" applyBorder="1" applyFont="1">
      <alignment horizontal="left" readingOrder="0"/>
    </xf>
    <xf borderId="19" fillId="3" fontId="112" numFmtId="0" xfId="0" applyAlignment="1" applyBorder="1" applyFont="1">
      <alignment horizontal="left" readingOrder="0"/>
    </xf>
    <xf borderId="11" fillId="3" fontId="16" numFmtId="0" xfId="0" applyAlignment="1" applyBorder="1" applyFont="1">
      <alignment horizontal="left" readingOrder="0"/>
    </xf>
    <xf borderId="9" fillId="3" fontId="1" numFmtId="0" xfId="0" applyAlignment="1" applyBorder="1" applyFont="1">
      <alignment horizontal="center" readingOrder="0"/>
    </xf>
    <xf borderId="19" fillId="3" fontId="1" numFmtId="0" xfId="0" applyAlignment="1" applyBorder="1" applyFont="1">
      <alignment horizontal="left" readingOrder="0"/>
    </xf>
    <xf borderId="4" fillId="3" fontId="113" numFmtId="0" xfId="0" applyAlignment="1" applyBorder="1" applyFont="1">
      <alignment readingOrder="0"/>
    </xf>
    <xf borderId="19" fillId="3" fontId="1" numFmtId="0" xfId="0" applyAlignment="1" applyBorder="1" applyFont="1">
      <alignment readingOrder="0"/>
    </xf>
    <xf borderId="0" fillId="3" fontId="114" numFmtId="0" xfId="0" applyAlignment="1" applyFont="1">
      <alignment readingOrder="0"/>
    </xf>
    <xf borderId="0" fillId="3" fontId="115" numFmtId="0" xfId="0" applyAlignment="1" applyFont="1">
      <alignment horizontal="left" readingOrder="0"/>
    </xf>
    <xf borderId="19" fillId="3" fontId="116" numFmtId="0" xfId="0" applyAlignment="1" applyBorder="1" applyFont="1">
      <alignment readingOrder="0"/>
    </xf>
    <xf borderId="30" fillId="3" fontId="117" numFmtId="0" xfId="0" applyAlignment="1" applyBorder="1" applyFont="1">
      <alignment readingOrder="0" vertical="bottom"/>
    </xf>
    <xf borderId="30" fillId="3" fontId="118" numFmtId="0" xfId="0" applyAlignment="1" applyBorder="1" applyFont="1">
      <alignment vertical="bottom"/>
    </xf>
    <xf borderId="9" fillId="3" fontId="119" numFmtId="0" xfId="0" applyAlignment="1" applyBorder="1" applyFont="1">
      <alignment readingOrder="0" vertical="bottom"/>
    </xf>
    <xf borderId="9" fillId="3" fontId="120" numFmtId="0" xfId="0" applyAlignment="1" applyBorder="1" applyFont="1">
      <alignment vertical="bottom"/>
    </xf>
    <xf borderId="19" fillId="3" fontId="121" numFmtId="0" xfId="0" applyAlignment="1" applyBorder="1" applyFont="1">
      <alignment horizontal="left" readingOrder="0"/>
    </xf>
    <xf borderId="37" fillId="0" fontId="122" numFmtId="0" xfId="0" applyAlignment="1" applyBorder="1" applyFont="1">
      <alignment readingOrder="0"/>
    </xf>
    <xf borderId="11" fillId="3" fontId="123" numFmtId="0" xfId="0" applyAlignment="1" applyBorder="1" applyFont="1">
      <alignment horizontal="left" readingOrder="0"/>
    </xf>
    <xf borderId="4" fillId="7" fontId="8" numFmtId="0" xfId="0" applyAlignment="1" applyBorder="1" applyFill="1" applyFont="1">
      <alignment horizontal="center" readingOrder="0"/>
    </xf>
    <xf borderId="4" fillId="7" fontId="9" numFmtId="0" xfId="0" applyAlignment="1" applyBorder="1" applyFont="1">
      <alignment horizontal="left" readingOrder="0"/>
    </xf>
    <xf borderId="4" fillId="7" fontId="8" numFmtId="0" xfId="0" applyAlignment="1" applyBorder="1" applyFont="1">
      <alignment horizontal="left" readingOrder="0"/>
    </xf>
    <xf borderId="0" fillId="7" fontId="1" numFmtId="0" xfId="0" applyFont="1"/>
    <xf borderId="0" fillId="3" fontId="1" numFmtId="0" xfId="0" applyFont="1"/>
    <xf borderId="45" fillId="3" fontId="1" numFmtId="0" xfId="0" applyAlignment="1" applyBorder="1" applyFont="1">
      <alignment horizontal="left" readingOrder="0"/>
    </xf>
    <xf borderId="45" fillId="3" fontId="1" numFmtId="0" xfId="0" applyAlignment="1" applyBorder="1" applyFont="1">
      <alignment horizontal="left" readingOrder="0"/>
    </xf>
    <xf borderId="45" fillId="3" fontId="124" numFmtId="0" xfId="0" applyAlignment="1" applyBorder="1" applyFont="1">
      <alignment horizontal="left" readingOrder="0"/>
    </xf>
    <xf borderId="45" fillId="3" fontId="1" numFmtId="165" xfId="0" applyAlignment="1" applyBorder="1" applyFont="1" applyNumberFormat="1">
      <alignment horizontal="center" readingOrder="0"/>
    </xf>
    <xf borderId="46" fillId="3" fontId="1" numFmtId="0" xfId="0" applyAlignment="1" applyBorder="1" applyFont="1">
      <alignment horizontal="left" readingOrder="0"/>
    </xf>
    <xf borderId="46" fillId="3" fontId="125" numFmtId="0" xfId="0" applyAlignment="1" applyBorder="1" applyFont="1">
      <alignment horizontal="left" readingOrder="0"/>
    </xf>
    <xf borderId="46" fillId="3" fontId="1" numFmtId="165" xfId="0" applyAlignment="1" applyBorder="1" applyFont="1" applyNumberFormat="1">
      <alignment horizontal="center" readingOrder="0"/>
    </xf>
    <xf borderId="14" fillId="3" fontId="126" numFmtId="0" xfId="0" applyAlignment="1" applyBorder="1" applyFont="1">
      <alignment horizontal="left" readingOrder="0"/>
    </xf>
    <xf borderId="14" fillId="3" fontId="1" numFmtId="0" xfId="0" applyAlignment="1" applyBorder="1" applyFont="1">
      <alignment horizontal="center" readingOrder="0"/>
    </xf>
    <xf borderId="4" fillId="3" fontId="1" numFmtId="0" xfId="0" applyAlignment="1" applyBorder="1" applyFont="1">
      <alignment horizontal="center" readingOrder="0"/>
    </xf>
    <xf borderId="14" fillId="3" fontId="127" numFmtId="0" xfId="0" applyAlignment="1" applyBorder="1" applyFont="1">
      <alignment horizontal="left" readingOrder="0"/>
    </xf>
    <xf borderId="36" fillId="3" fontId="1" numFmtId="0" xfId="0" applyAlignment="1" applyBorder="1" applyFont="1">
      <alignment horizontal="left" readingOrder="0"/>
    </xf>
    <xf borderId="36" fillId="3" fontId="128" numFmtId="0" xfId="0" applyAlignment="1" applyBorder="1" applyFont="1">
      <alignment horizontal="left" readingOrder="0"/>
    </xf>
    <xf borderId="4" fillId="3" fontId="1" numFmtId="0" xfId="0" applyAlignment="1" applyBorder="1" applyFont="1">
      <alignment readingOrder="0"/>
    </xf>
    <xf borderId="0" fillId="3" fontId="1" numFmtId="0" xfId="0" applyAlignment="1" applyFont="1">
      <alignment readingOrder="0"/>
    </xf>
    <xf borderId="11" fillId="3" fontId="129" numFmtId="0" xfId="0" applyAlignment="1" applyBorder="1" applyFont="1">
      <alignment readingOrder="0"/>
    </xf>
    <xf borderId="16" fillId="3" fontId="130" numFmtId="0" xfId="0" applyAlignment="1" applyBorder="1" applyFont="1">
      <alignment horizontal="left" readingOrder="0"/>
    </xf>
    <xf borderId="16" fillId="3" fontId="131" numFmtId="0" xfId="0" applyAlignment="1" applyBorder="1" applyFont="1">
      <alignment horizontal="left" readingOrder="0"/>
    </xf>
    <xf borderId="12" fillId="3" fontId="1" numFmtId="165" xfId="0" applyAlignment="1" applyBorder="1" applyFont="1" applyNumberFormat="1">
      <alignment horizontal="left" readingOrder="0"/>
    </xf>
    <xf quotePrefix="1" borderId="4" fillId="3" fontId="132" numFmtId="0" xfId="0" applyAlignment="1" applyBorder="1" applyFont="1">
      <alignment horizontal="left" readingOrder="0"/>
    </xf>
    <xf borderId="4" fillId="8" fontId="8" numFmtId="0" xfId="0" applyAlignment="1" applyBorder="1" applyFill="1" applyFont="1">
      <alignment horizontal="left" readingOrder="0"/>
    </xf>
    <xf borderId="12" fillId="8" fontId="8" numFmtId="0" xfId="0" applyAlignment="1" applyBorder="1" applyFont="1">
      <alignment horizontal="center" readingOrder="0"/>
    </xf>
    <xf borderId="4" fillId="0" fontId="1" numFmtId="165" xfId="0" applyAlignment="1" applyBorder="1" applyFont="1" applyNumberFormat="1">
      <alignment horizontal="right" readingOrder="0"/>
    </xf>
    <xf borderId="30" fillId="0" fontId="1" numFmtId="0" xfId="0" applyAlignment="1" applyBorder="1" applyFont="1">
      <alignment readingOrder="0"/>
    </xf>
    <xf borderId="30" fillId="0" fontId="133" numFmtId="0" xfId="0" applyAlignment="1" applyBorder="1" applyFont="1">
      <alignment readingOrder="0"/>
    </xf>
    <xf borderId="0" fillId="3" fontId="134" numFmtId="0" xfId="0" applyAlignment="1" applyFont="1">
      <alignment readingOrder="0"/>
    </xf>
    <xf borderId="4" fillId="0" fontId="135" numFmtId="0" xfId="0" applyAlignment="1" applyBorder="1" applyFont="1">
      <alignment readingOrder="0"/>
    </xf>
    <xf borderId="0" fillId="3" fontId="16" numFmtId="0" xfId="0" applyAlignment="1" applyFont="1">
      <alignment horizontal="left" readingOrder="0"/>
    </xf>
    <xf borderId="0" fillId="3" fontId="136" numFmtId="0" xfId="0" applyAlignment="1" applyFont="1">
      <alignment readingOrder="0" shrinkToFit="0" wrapText="0"/>
    </xf>
    <xf borderId="0" fillId="3" fontId="137" numFmtId="0" xfId="0" applyAlignment="1" applyFont="1">
      <alignment readingOrder="0" shrinkToFit="0" wrapText="0"/>
    </xf>
    <xf borderId="4" fillId="0" fontId="1" numFmtId="165" xfId="0" applyAlignment="1" applyBorder="1" applyFont="1" applyNumberFormat="1">
      <alignment horizontal="center" readingOrder="0"/>
    </xf>
    <xf borderId="0" fillId="3" fontId="107" numFmtId="0" xfId="0" applyAlignment="1" applyFont="1">
      <alignment horizontal="left" readingOrder="0" shrinkToFit="0" wrapText="0"/>
    </xf>
    <xf borderId="8" fillId="3" fontId="138" numFmtId="0" xfId="0" applyAlignment="1" applyBorder="1" applyFont="1">
      <alignment readingOrder="0" shrinkToFit="0" wrapText="0"/>
    </xf>
    <xf borderId="19" fillId="3" fontId="139" numFmtId="0" xfId="0" applyAlignment="1" applyBorder="1" applyFont="1">
      <alignment readingOrder="0" shrinkToFit="0" wrapText="0"/>
    </xf>
    <xf borderId="16" fillId="3" fontId="140" numFmtId="0" xfId="0" applyAlignment="1" applyBorder="1" applyFont="1">
      <alignment horizontal="left" readingOrder="0" shrinkToFit="0" wrapText="0"/>
    </xf>
    <xf borderId="4" fillId="3" fontId="141" numFmtId="0" xfId="0" applyAlignment="1" applyBorder="1" applyFont="1">
      <alignment horizontal="left" readingOrder="0"/>
    </xf>
    <xf borderId="36" fillId="3" fontId="1" numFmtId="165" xfId="0" applyAlignment="1" applyBorder="1" applyFont="1" applyNumberFormat="1">
      <alignment horizontal="center" readingOrder="0"/>
    </xf>
    <xf borderId="14" fillId="3" fontId="1" numFmtId="0" xfId="0" applyAlignment="1" applyBorder="1" applyFont="1">
      <alignment readingOrder="0" shrinkToFit="0" wrapText="0"/>
    </xf>
    <xf borderId="14" fillId="3" fontId="142" numFmtId="0" xfId="0" applyAlignment="1" applyBorder="1" applyFont="1">
      <alignment horizontal="left" readingOrder="0" shrinkToFit="0" wrapText="0"/>
    </xf>
    <xf borderId="12" fillId="3" fontId="16" numFmtId="0" xfId="0" applyAlignment="1" applyBorder="1" applyFont="1">
      <alignment horizontal="center" readingOrder="0" vertical="bottom"/>
    </xf>
    <xf borderId="12" fillId="3" fontId="16" numFmtId="0" xfId="0" applyAlignment="1" applyBorder="1" applyFont="1">
      <alignment readingOrder="0" vertical="bottom"/>
    </xf>
    <xf borderId="12" fillId="3" fontId="1" numFmtId="0" xfId="0" applyAlignment="1" applyBorder="1" applyFont="1">
      <alignment readingOrder="0" shrinkToFit="0" wrapText="0"/>
    </xf>
    <xf borderId="11" fillId="0" fontId="1" numFmtId="0" xfId="0" applyAlignment="1" applyBorder="1" applyFont="1">
      <alignment horizontal="center" readingOrder="0"/>
    </xf>
    <xf borderId="46" fillId="0" fontId="1" numFmtId="0" xfId="0" applyAlignment="1" applyBorder="1" applyFont="1">
      <alignment horizontal="center" readingOrder="0"/>
    </xf>
    <xf borderId="46" fillId="3" fontId="1" numFmtId="0" xfId="0" applyAlignment="1" applyBorder="1" applyFont="1">
      <alignment horizontal="left" readingOrder="0" shrinkToFit="0" wrapText="0"/>
    </xf>
    <xf borderId="46" fillId="0" fontId="143" numFmtId="0" xfId="0" applyAlignment="1" applyBorder="1" applyFont="1">
      <alignment readingOrder="0" shrinkToFit="0" wrapText="0"/>
    </xf>
    <xf borderId="46" fillId="3" fontId="1" numFmtId="0" xfId="0" applyAlignment="1" applyBorder="1" applyFont="1">
      <alignment horizontal="center" readingOrder="0"/>
    </xf>
    <xf borderId="28" fillId="0" fontId="1" numFmtId="0" xfId="0" applyAlignment="1" applyBorder="1" applyFont="1">
      <alignment horizontal="center" readingOrder="0"/>
    </xf>
    <xf borderId="19" fillId="3" fontId="144" numFmtId="0" xfId="0" applyAlignment="1" applyBorder="1" applyFont="1">
      <alignment horizontal="left" readingOrder="0" shrinkToFit="0" wrapText="0"/>
    </xf>
    <xf borderId="12" fillId="3" fontId="1" numFmtId="0" xfId="0" applyAlignment="1" applyBorder="1" applyFont="1">
      <alignment readingOrder="0"/>
    </xf>
    <xf borderId="14" fillId="3" fontId="1" numFmtId="0" xfId="0" applyAlignment="1" applyBorder="1" applyFont="1">
      <alignment readingOrder="0" shrinkToFit="0" wrapText="0"/>
    </xf>
    <xf borderId="14" fillId="3" fontId="145" numFmtId="0" xfId="0" applyAlignment="1" applyBorder="1" applyFont="1">
      <alignment readingOrder="0" shrinkToFit="0" wrapText="0"/>
    </xf>
    <xf borderId="4" fillId="3" fontId="1" numFmtId="0" xfId="0" applyAlignment="1" applyBorder="1" applyFont="1">
      <alignment horizontal="center" readingOrder="0"/>
    </xf>
    <xf borderId="4" fillId="0" fontId="1" numFmtId="0" xfId="0" applyAlignment="1" applyBorder="1" applyFont="1">
      <alignment horizontal="left" readingOrder="0"/>
    </xf>
    <xf borderId="4" fillId="0" fontId="146" numFmtId="0" xfId="0" applyAlignment="1" applyBorder="1" applyFont="1">
      <alignment horizontal="left" readingOrder="0"/>
    </xf>
    <xf borderId="4" fillId="0" fontId="147" numFmtId="0" xfId="0" applyAlignment="1" applyBorder="1" applyFont="1">
      <alignment horizontal="left" readingOrder="0"/>
    </xf>
    <xf borderId="0" fillId="0" fontId="2" numFmtId="0" xfId="0" applyFont="1"/>
    <xf borderId="0" fillId="0" fontId="148" numFmtId="0" xfId="0" applyFont="1"/>
    <xf borderId="0" fillId="0" fontId="1" numFmtId="167" xfId="0" applyAlignment="1" applyFont="1" applyNumberFormat="1">
      <alignment readingOrder="0"/>
    </xf>
    <xf borderId="0" fillId="0" fontId="1" numFmtId="168" xfId="0" applyAlignment="1" applyFont="1" applyNumberFormat="1">
      <alignment horizontal="center" readingOrder="0"/>
    </xf>
    <xf borderId="4" fillId="9" fontId="149" numFmtId="0" xfId="0" applyAlignment="1" applyBorder="1" applyFill="1" applyFont="1">
      <alignment horizontal="center" readingOrder="0"/>
    </xf>
    <xf borderId="4" fillId="9" fontId="149" numFmtId="0" xfId="0" applyAlignment="1" applyBorder="1" applyFont="1">
      <alignment horizontal="center" readingOrder="0" shrinkToFit="0" wrapText="1"/>
    </xf>
    <xf borderId="4" fillId="0" fontId="150" numFmtId="0" xfId="0" applyAlignment="1" applyBorder="1" applyFont="1">
      <alignment readingOrder="0" shrinkToFit="0" wrapText="1"/>
    </xf>
    <xf borderId="4" fillId="0" fontId="1" numFmtId="0" xfId="0" applyAlignment="1" applyBorder="1" applyFont="1">
      <alignment shrinkToFit="0" wrapText="1"/>
    </xf>
    <xf borderId="0" fillId="3" fontId="151" numFmtId="0" xfId="0" applyAlignment="1" applyFont="1">
      <alignment readingOrder="0"/>
    </xf>
    <xf borderId="4" fillId="0" fontId="1" numFmtId="0" xfId="0" applyAlignment="1" applyBorder="1" applyFont="1">
      <alignment readingOrder="0" shrinkToFit="0" wrapText="1"/>
    </xf>
    <xf borderId="0" fillId="0" fontId="1" numFmtId="0" xfId="0" applyAlignment="1" applyFont="1">
      <alignment shrinkToFit="0" wrapText="1"/>
    </xf>
    <xf borderId="47" fillId="3" fontId="1" numFmtId="0" xfId="0" applyAlignment="1" applyBorder="1" applyFont="1">
      <alignment horizontal="center" readingOrder="0"/>
    </xf>
    <xf borderId="47" fillId="3" fontId="1" numFmtId="0" xfId="0" applyAlignment="1" applyBorder="1" applyFont="1">
      <alignment horizontal="left" readingOrder="0"/>
    </xf>
    <xf borderId="20" fillId="3" fontId="1" numFmtId="0" xfId="0" applyAlignment="1" applyBorder="1" applyFont="1">
      <alignment readingOrder="0" shrinkToFit="0" wrapText="0"/>
    </xf>
    <xf borderId="20" fillId="3" fontId="152" numFmtId="0" xfId="0" applyAlignment="1" applyBorder="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Mentions vs. Month</a:t>
            </a:r>
          </a:p>
        </c:rich>
      </c:tx>
      <c:overlay val="0"/>
    </c:title>
    <c:plotArea>
      <c:layout/>
      <c:barChart>
        <c:barDir val="col"/>
        <c:ser>
          <c:idx val="0"/>
          <c:order val="0"/>
          <c:tx>
            <c:strRef>
              <c:f>Charts!$B$15</c:f>
            </c:strRef>
          </c:tx>
          <c:spPr>
            <a:solidFill>
              <a:schemeClr val="accent1"/>
            </a:solidFill>
            <a:ln cmpd="sng">
              <a:solidFill>
                <a:srgbClr val="000000"/>
              </a:solidFill>
            </a:ln>
          </c:spPr>
          <c:cat>
            <c:strRef>
              <c:f>Charts!$A$16:$A$57</c:f>
            </c:strRef>
          </c:cat>
          <c:val>
            <c:numRef>
              <c:f>Charts!$B$16:$B$57</c:f>
              <c:numCache/>
            </c:numRef>
          </c:val>
        </c:ser>
        <c:axId val="2145928337"/>
        <c:axId val="1154573523"/>
      </c:barChart>
      <c:lineChart>
        <c:varyColors val="0"/>
        <c:ser>
          <c:idx val="1"/>
          <c:order val="1"/>
          <c:tx>
            <c:strRef>
              <c:f>Charts!$C$15</c:f>
            </c:strRef>
          </c:tx>
          <c:spPr>
            <a:ln cmpd="sng">
              <a:solidFill>
                <a:srgbClr val="EA4335"/>
              </a:solidFill>
            </a:ln>
          </c:spPr>
          <c:marker>
            <c:symbol val="none"/>
          </c:marker>
          <c:cat>
            <c:strRef>
              <c:f>Charts!$A$16:$A$57</c:f>
            </c:strRef>
          </c:cat>
          <c:val>
            <c:numRef>
              <c:f>Charts!$C$16:$C$57</c:f>
              <c:numCache/>
            </c:numRef>
          </c:val>
          <c:smooth val="0"/>
        </c:ser>
        <c:axId val="2145928337"/>
        <c:axId val="1154573523"/>
      </c:lineChart>
      <c:catAx>
        <c:axId val="21459283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154573523"/>
      </c:catAx>
      <c:valAx>
        <c:axId val="11545735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Mentions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592833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14</xdr:row>
      <xdr:rowOff>142875</xdr:rowOff>
    </xdr:from>
    <xdr:ext cx="7267575" cy="3305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15</xdr:row>
      <xdr:rowOff>19050</xdr:rowOff>
    </xdr:from>
    <xdr:ext cx="6619875" cy="4362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86" sheet="2025"/>
  </cacheSource>
  <cacheFields>
    <cacheField name="Month" numFmtId="165">
      <sharedItems containsBlank="1">
        <s v="January"/>
        <s v="February"/>
        <s v="March"/>
        <s v="April"/>
        <s v="May"/>
        <s v="June"/>
        <s v="July"/>
        <s v="August"/>
        <s v="September"/>
        <s v="October"/>
        <s v="November"/>
        <s v="December"/>
        <m/>
      </sharedItems>
    </cacheField>
    <cacheField name=" Date">
      <sharedItems containsDate="1" containsBlank="1" containsMixedTypes="1">
        <d v="2025-01-01T00:00:00Z"/>
        <d v="2025-01-04T00:00:00Z"/>
        <d v="2025-01-05T00:00:00Z"/>
        <d v="2025-01-09T00:00:00Z"/>
        <d v="2025-01-10T00:00:00Z"/>
        <d v="2025-01-11T00:00:00Z"/>
        <d v="2025-01-13T00:00:00Z"/>
        <d v="2025-01-15T00:00:00Z"/>
        <d v="2025-01-17T00:00:00Z"/>
        <d v="2025-01-21T00:00:00Z"/>
        <d v="2025-01-23T00:00:00Z"/>
        <d v="2025-01-25T00:00:00Z"/>
        <d v="2025-01-27T00:00:00Z"/>
        <d v="2025-01-28T00:00:00Z"/>
        <d v="2025-01-29T00:00:00Z"/>
        <d v="2025-02-02T00:00:00Z"/>
        <d v="2025-02-03T00:00:00Z"/>
        <d v="2025-02-04T00:00:00Z"/>
        <d v="2025-02-05T00:00:00Z"/>
        <d v="2025-02-06T00:00:00Z"/>
        <d v="2025-02-07T00:00:00Z"/>
        <d v="2025-02-09T00:00:00Z"/>
        <d v="2025-02-10T00:00:00Z"/>
        <d v="2025-02-14T00:00:00Z"/>
        <d v="2025-02-17T00:00:00Z"/>
        <d v="2025-02-18T00:00:00Z"/>
        <d v="2025-02-23T00:00:00Z"/>
        <d v="2025-02-26T00:00:00Z"/>
        <d v="2025-02-27T00:00:00Z"/>
        <d v="2025-03-03T00:00:00Z"/>
        <d v="2025-03-05T00:00:00Z"/>
        <d v="2025-03-10T00:00:00Z"/>
        <d v="2025-03-11T00:00:00Z"/>
        <d v="2025-03-12T00:00:00Z"/>
        <d v="2025-03-13T00:00:00Z"/>
        <d v="2025-03-15T00:00:00Z"/>
        <d v="2025-03-16T00:00:00Z"/>
        <d v="2025-03-18T00:00:00Z"/>
        <d v="2025-03-19T00:00:00Z"/>
        <d v="2025-03-20T00:00:00Z"/>
        <d v="2025-03-21T00:00:00Z"/>
        <d v="2025-03-27T00:00:00Z"/>
        <d v="2025-03-29T00:00:00Z"/>
        <d v="2025-03-30T00:00:00Z"/>
        <d v="2025-04-01T00:00:00Z"/>
        <d v="2025-04-02T00:00:00Z"/>
        <d v="2025-04-07T00:00:00Z"/>
        <d v="2025-04-10T00:00:00Z"/>
        <d v="2025-04-09T00:00:00Z"/>
        <d v="2025-04-11T00:00:00Z"/>
        <d v="2025-04-12T00:00:00Z"/>
        <d v="2025-04-13T00:00:00Z"/>
        <d v="2025-04-14T00:00:00Z"/>
        <d v="2025-04-18T00:00:00Z"/>
        <d v="2025-04-19T00:00:00Z"/>
        <d v="2025-04-22T00:00:00Z"/>
        <d v="2025-04-23T00:00:00Z"/>
        <d v="2025-04-24T00:00:00Z"/>
        <d v="2025-04-25T00:00:00Z"/>
        <d v="2025-04-26T00:00:00Z"/>
        <d v="2025-04-28T00:00:00Z"/>
        <d v="2025-04-30T00:00:00Z"/>
        <d v="2025-05-01T00:00:00Z"/>
        <d v="2025-05-02T00:00:00Z"/>
        <d v="2025-05-08T00:00:00Z"/>
        <d v="2025-05-09T00:00:00Z"/>
        <d v="2025-05-11T00:00:00Z"/>
        <d v="2025-05-12T00:00:00Z"/>
        <d v="2025-05-13T00:00:00Z"/>
        <d v="2025-05-14T00:00:00Z"/>
        <d v="2025-05-15T00:00:00Z"/>
        <d v="2025-05-16T00:00:00Z"/>
        <d v="2025-05-19T00:00:00Z"/>
        <d v="2025-05-20T00:00:00Z"/>
        <d v="2025-05-23T00:00:00Z"/>
        <d v="2025-05-29T00:00:00Z"/>
        <d v="2025-05-30T00:00:00Z"/>
        <d v="2025-06-09T00:00:00Z"/>
        <d v="2025-06-11T00:00:00Z"/>
        <d v="2025-06-12T00:00:00Z"/>
        <d v="2025-06-13T00:00:00Z"/>
        <d v="2025-06-16T00:00:00Z"/>
        <d v="2025-06-18T00:00:00Z"/>
        <d v="2025-06-19T00:00:00Z"/>
        <d v="2025-06-25T00:00:00Z"/>
        <d v="2025-06-30T00:00:00Z"/>
        <d v="2025-07-03T00:00:00Z"/>
        <d v="2025-07-04T00:00:00Z"/>
        <d v="2025-07-10T00:00:00Z"/>
        <d v="2025-07-14T00:00:00Z"/>
        <d v="2025-07-15T00:00:00Z"/>
        <d v="2025-07-16T00:00:00Z"/>
        <d v="2025-07-18T00:00:00Z"/>
        <d v="2025-07-19T00:00:00Z"/>
        <d v="2025-07-20T00:00:00Z"/>
        <d v="2025-07-21T00:00:00Z"/>
        <d v="2025-07-22T00:00:00Z"/>
        <d v="2025-07-23T00:00:00Z"/>
        <d v="2025-07-27T00:00:00Z"/>
        <d v="2025-07-26T00:00:00Z"/>
        <d v="2025-07-28T00:00:00Z"/>
        <d v="2025-07-29T00:00:00Z"/>
        <d v="2025-08-04T00:00:00Z"/>
        <d v="2025-08-08T00:00:00Z"/>
        <d v="2025-08-11T00:00:00Z"/>
        <d v="2025-08-12T00:00:00Z"/>
        <d v="2025-08-13T00:00:00Z"/>
        <d v="2025-08-14T00:00:00Z"/>
        <d v="2025-08-16T00:00:00Z"/>
        <d v="2025-08-18T00:00:00Z"/>
        <d v="2025-08-19T00:00:00Z"/>
        <d v="2025-08-20T00:00:00Z"/>
        <d v="2025-08-22T00:00:00Z"/>
        <d v="2025-08-25T00:00:00Z"/>
        <d v="2025-08-26T00:00:00Z"/>
        <d v="2025-08-29T00:00:00Z"/>
        <d v="2025-09-01T00:00:00Z"/>
        <d v="2025-09-02T00:00:00Z"/>
        <d v="2025-09-04T00:00:00Z"/>
        <d v="2025-09-08T00:00:00Z"/>
        <d v="2025-09-11T00:00:00Z"/>
        <d v="2025-09-25T00:00:00Z"/>
        <d v="2025-09-29T00:00:00Z"/>
        <d v="2025-10-04T00:00:00Z"/>
        <d v="2025-10-08T00:00:00Z"/>
        <d v="2025-10-22T00:00:00Z"/>
        <d v="2025-10-10T00:00:00Z"/>
        <d v="2025-10-15T00:00:00Z"/>
        <d v="2025-10-16T00:00:00Z"/>
        <d v="2025-10-26T00:00:00Z"/>
        <d v="2025-10-30T00:00:00Z"/>
        <d v="2025-10-31T00:00:00Z"/>
        <d v="2025-10-28T00:00:00Z"/>
        <d v="2025-11-04T00:00:00Z"/>
        <d v="2025-11-10T00:00:00Z"/>
        <d v="2025-11-11T00:00:00Z"/>
        <d v="2025-11-06T00:00:00Z"/>
        <d v="2025-11-14T00:00:00Z"/>
        <d v="2025-11-17T00:00:00Z"/>
        <d v="2025-11-25T00:00:00Z"/>
        <d v="2025-11-26T00:00:00Z"/>
        <d v="2025-12-03T00:00:00Z"/>
        <d v="2025-12-04T00:00:00Z"/>
        <d v="2025-12-11T00:00:00Z"/>
        <d v="2025-12-12T00:00:00Z"/>
        <d v="2025-12-16T00:00:00Z"/>
        <d v="2025-12-18T00:00:00Z"/>
        <d v="2025-12-29T00:00:00Z"/>
        <s v="25th December 2025"/>
        <m/>
      </sharedItems>
    </cacheField>
    <cacheField name="Media Tier" numFmtId="0">
      <sharedItems containsBlank="1">
        <s v="Tier 2"/>
        <s v="Tier 1 Local"/>
        <s v="Tier 3"/>
        <s v="Tier 1 International"/>
        <s v="Socials"/>
        <m/>
      </sharedItems>
    </cacheField>
    <cacheField name="Media" numFmtId="0">
      <sharedItems containsBlank="1">
        <s v="AGBI"/>
        <s v="Khaleej Times"/>
        <s v="MSN"/>
        <s v="Construction Week"/>
        <s v="Arabian Business"/>
        <s v="The Arabian Marketer"/>
        <s v="Zawya"/>
        <s v="The Globe and Mail"/>
        <s v="Travel and Tour World"/>
        <s v="Markets Insider"/>
        <s v="Street Insider"/>
        <s v="Digital Journal"/>
        <s v="MENAFN"/>
        <s v="Gulf News"/>
        <s v="mid east info"/>
        <s v="Press Reader"/>
        <s v="Property News Time"/>
        <s v="PressReader.com"/>
        <s v="The Guardian"/>
        <s v="Economy Middle East"/>
        <s v="GlobalNewsWire"/>
        <s v="Market Insider"/>
        <s v="The Economic Times"/>
        <s v="Business Recorder"/>
        <s v="Aaj TV News"/>
        <s v="Pro Pakistani"/>
        <s v="Open PR"/>
        <s v="MEED"/>
        <s v="Business Outreach"/>
        <s v="The National News"/>
        <s v="Bloomberg Middle East"/>
        <s v="Forbes Middle East"/>
        <s v="Web Release"/>
        <s v="Yahoo Finance"/>
        <s v="One Ville News"/>
        <s v="The Brew News"/>
        <s v="Gulf Business"/>
        <s v="Construction Business News ME"/>
        <s v="Arqam News"/>
        <s v="Construction Week Middle East"/>
        <s v="Tycoon Story"/>
        <s v="builtenvironmentme"/>
        <s v="Uppersetup"/>
        <s v="REM TImes"/>
        <s v="technical review middles east"/>
        <s v="Which School Advisor"/>
        <s v="Aviation Business ME"/>
        <s v="One Arabia"/>
        <s v="Nabd-alhadath"/>
        <s v="Business Lobbies"/>
        <s v="Marketers Media Room"/>
        <s v="ANI News"/>
        <s v="Advance Financial Network UK"/>
        <s v="Property News International"/>
        <s v="uaenews247"/>
        <s v="What's On"/>
        <s v="Trade Arabia"/>
        <s v="Campaign Middle East"/>
        <s v="wam.ae"/>
        <s v="Thomson Reuters"/>
        <s v="Pressbee"/>
        <s v="PR Newswire"/>
        <s v="Yahoo! Finance"/>
        <s v="RISmedia"/>
        <s v="MBN"/>
        <s v="Wral.com"/>
        <s v="Times of india"/>
        <s v="The Manila Times"/>
        <s v="Business Insider"/>
        <s v="Built Environment"/>
        <s v="barchart"/>
        <s v="https://nabd-alhadath.com/"/>
        <s v="egyeconomy"/>
        <s v="Trade View"/>
        <s v="The finance 360"/>
        <s v="Lovin Dubai"/>
        <m/>
      </sharedItems>
    </cacheField>
    <cacheField name="Cost" numFmtId="164">
      <sharedItems containsString="0" containsBlank="1" containsNumber="1" containsInteger="1">
        <n v="1000.0"/>
        <n v="2200.0"/>
        <m/>
        <n v="3000.0"/>
        <n v="9500.0"/>
        <n v="9000.0"/>
        <n v="9300.0"/>
        <n v="20000.0"/>
        <n v="5000.0"/>
        <n v="200.0"/>
        <n v="6000.0"/>
        <n v="500.0"/>
        <n v="2000.0"/>
      </sharedItems>
    </cacheField>
    <cacheField name="Reach" numFmtId="3">
      <sharedItems containsString="0" containsBlank="1" containsNumber="1" containsInteger="1">
        <n v="30000.0"/>
        <n v="500000.0"/>
        <m/>
        <n v="40000.0"/>
        <n v="250000.0"/>
        <n v="100000.0"/>
        <n v="150000.0"/>
        <n v="700000.0"/>
        <n v="200000.0"/>
        <n v="300000.0"/>
        <n v="50000.0"/>
        <n v="1000000.0"/>
        <n v="20000.0"/>
      </sharedItems>
    </cacheField>
    <cacheField name="Title" numFmtId="0">
      <sharedItems containsBlank="1">
        <s v="Burj Khalifa at 15: Ups and downs of the world's tallest skyscraper"/>
        <s v="Burj Khalifa turns 15: How much it costs to rent a home at the world's tallest building in Dubai"/>
        <s v="Dubai's Burj Khalifa charges Rs 70061 per sq ft in annual rent; here's how much it costs to rent a 1-bedroom flat in world's tallest building"/>
        <s v="Betterhomes CEO steps down, takes over as Cencorp boss"/>
        <s v="Dubai real estate firm Betterhomes announces two major leadership changes"/>
        <s v="Betterhomes Has Announced Two Major Leadership Changes"/>
        <s v="Betterhomes Reveals Dubai as the World’s Premier Property Investment Destination"/>
        <s v="Richard Waind Becomes CEO of Cencorp, While Louis Harding Takes Over as Betterhomes CEO to Drive Dubai Real Estate Growth"/>
        <s v="Dubai real estate sets record breaking transaction record with $115bn of sales in 2024; $65.5m villa and $74.8m apartment top charts"/>
        <s v="Price surge may moderate as Dubai set to add 72,000 housing units"/>
        <s v="FY2024 Dubai real estate market highlights: A year of growth and transition"/>
        <s v="Buying freehold property in Dubai: Your guide to securing full ownership"/>
        <s v="Dubai villa rent prices surge 52%, Palm Jumeirah sees biggest spike in 2024: Report"/>
        <s v="Dubai commercial property market records 24% jump in growth, rakes in $24.5bn in value in 2024"/>
        <s v="A 23% Rise in Tenant Demand at Betterhomes"/>
        <s v="Dubai: Tenants move to cheaper areas, lock long-term leases before commercial rental index rollout"/>
        <s v="Dubai real estate: DLD opens freehold property conversion for Sheikh Zayed Road, Al Jaddaf – everything you need to know"/>
        <s v="Dubai rent hikes to slow down in 2025 as property market set for record supply"/>
        <s v="Tenants shifting to cheaper areas as commercial rental index looms"/>
        <s v="2024 Sees Supply Delays as Developers Set Sights on Record-Breaking 2025 Completions"/>
        <s v="Record supply likely to ease Dubai rents in ’25"/>
        <s v="Investor Confidence Soars as Off-Plan Dominates Dubai’s Residential Real Estate Market in 2024"/>
        <s v="Dubai real estate: High-end villas, luxury apartments to lead city’s rental price gains in 2025"/>
        <s v="Dubai: Most tenants renew leases due to high rents, but this could change; here’s why"/>
        <s v="Dubai Real Estate Market sets new records in 2024 with AED 423.36 Billion in sales"/>
        <s v=" &#10;Tenants prefer lease renewals as new contracts prove costlier"/>
        <s v="Dubai's property market set for 171% rise in completions in &#10;2025 "/>
        <s v="Dubai’s property market kicks off 2025 with a bang: AED 35bln in sales"/>
        <s v="Dubai: Buying the Dream"/>
        <s v="Dubai real estate: Average prices for apartments, townhouses and villas revealed as sales hit $9.5bn in January"/>
        <s v="Dubai’s realty off to strong start with Dh35b first month sales"/>
        <s v="Dubai's Property Market Kicks Off 2025 With A Bang: AED 35 Billion In Sales"/>
        <s v="Dubai's Realty Off To Strong Start With Dh35b First Month Sales"/>
        <s v="Dubai's property market begins 2025 with strong sales &#10;worth AED 35 billion"/>
        <s v="Dubai’s Danube Properties launches game-changing convertible 1BHK apartment at the price of a studio"/>
        <s v="Dubai villa rented out for Dh15.5 million a year in emirate's largest leasing deal"/>
        <s v="Dubai properties: Developers dismiss concerns around market slowdown in 2025"/>
        <s v="Dubai real estate: Ramadan ‘a golden window’ for property market investment, says new report"/>
        <s v="Betterhomes awarded Best Real Estate Agency in Arabia at the International Property Awards"/>
        <s v="Thinking of buying a property in Dubai? Consider FEMA limits, hidden costs, developers and zone-type before taking a call"/>
        <s v="Meet the owner of Dubai's Burj Khalifa, world's tallest building? Not Sultan of UAE, Dubai king, the name is..."/>
        <s v="2024: Pakistanis among top 5 buyers of real estate in Dubai, Indians top list"/>
        <s v="DG 129 now exclusively managed by Betterhomes"/>
        <s v="Dubai real estate: Betterhomes takes over management of DG 129 in Discovery Gardens"/>
        <s v="Egyptians show sudden interest in Dubai property"/>
        <s v="Dubai’s Real Estate Boom During Ramadan: Why the Market Surges Instead of Slowing"/>
        <s v="Dubai: Rent increases slow down as more inventory comes online"/>
        <s v="Pakistan ranks fifth among top property buyers in Dubai"/>
        <s v="Dubai rents: More signs emerge of rent increases slowing down"/>
        <s v="Dubai property market rebounds in February"/>
        <s v="Dubai Real Estate Market Surges to AED 41 Billion in February Sales"/>
        <s v="Dubai real estate: Property sales surge 17% to $11.16bn in February 2025"/>
        <s v="Dubai: New affordable housing project to serve residents across income levels, says top official"/>
        <s v="Dubai realty shatters records as prices hit new highs"/>
        <s v="Dubai real estate market maintains strong momentum with record prices and rising sales volumes"/>
        <s v="Egyptians emerge as a rising force in Dubai’s real estate"/>
        <s v="Dubai real estate: Indians, British and Italians lead property purchases as Egyptian numbers surge"/>
        <s v="Big Fed rate cut needed for ‘noticeable’ changes in UAE mortgage borrowing costs"/>
        <s v="Dubai’s Rental Market Stabilises as Tenant Choices Expand"/>
        <s v="How can we decode the relentless property boom in Dubai?"/>
        <s v="Dubai real estate: Mortgage transactions rise 4.76% as fed holds rates steady"/>
        <s v="Dubai real estate: Property market records 35.5% surge transactions as off-plan market draws global investors"/>
        <s v="Mortgage landscape in Dubai remains resilient as Fed holds rates steady"/>
        <s v="Chart of the week: Dubai properties deliver more for your million"/>
        <s v="Dubai's mortgage market remains strong in 2025 amid stable interest rates and high demand"/>
        <s v="Here's what Dh1 million gets you today in Dubai's boom town property market"/>
        <s v="Dubai: Why global investors are buying more plots of land"/>
        <s v="New real estate trend: Foreign investors in Dubai shift focus from apartments to plots"/>
        <s v="Global investors shifting focus to plots in Dubai"/>
        <s v="Foreign investors in Dubai shift gears as land plots outshine apartments "/>
        <s v="Dubai real estate: Property transactions surge 35.5% as off-plan market thrives in 2025"/>
        <s v="Offplan transactions drive Dubai real estate growth in first quarter"/>
        <s v="Expats boosted Dubai’s 70% property rally, now Trump's tariffs threaten to undo all gains"/>
        <s v="Dubai’s 70% Property Rally Faces Threat From Tariff Turmoil"/>
        <s v="Dubai: Are rents dropping in some communities after double-digit hikes?"/>
        <s v="Exclusive: Talal Moafaq Al Gaddah On MAG’s $13.6B Push Into Wellness Real Estate"/>
        <s v="Dubai real estate: Is it the right time to invest in the property market? Experts weigh in"/>
        <s v="Dubai real estate market grows 23% in Q1 2025 as villa sales lead surge: Report"/>
        <s v="Villa market outshines as Dubai realty posts big Q1 sales surge"/>
        <s v="Inside Dubai’s Property Surge: Betterhomes Q1 2025 Real Estate Market Insights"/>
        <s v="Betterhomes - Record-Breaking Start to 2025 for Dubai Real Estate: Transactions Surge 23% in Q1"/>
        <s v="Betterhomes Cements Its Position as UAE’s Leading Property Management Company with IPS 2025 Win"/>
        <s v="Dubai property market sees AED 114 billion boom in Q1 2025"/>
        <s v="Dubai property is booming: What every investor should know"/>
        <s v="Betterhomes Reports Strong Start to 2025 as Dubai Real Estate Transactions Rise Sharply in First Quarter"/>
        <s v="Rents in Dubai Face Sudden Double-Digit Hike"/>
        <s v="DHB Holding has announced its first residential project in Abu Dhabi, partnering exclusively with UAE real estate agency Betterhomes for the sales and marketing of ‘Opula’ in Yas Bay."/>
        <s v="Betterhomes and DHB Holding announce exclusive partnership in Yas Bay"/>
        <s v="Betterhomes Partners With DHB Holding To Launch First Residential Project In Yas Bay"/>
        <s v="Abu Dhabi property prices to surge following Disney theme park announcement"/>
        <s v="Dubai real estate: Tenants want professionally managed properties, Betterhomes study reveals"/>
        <s v="Abu Dhabi's Disney theme park 'good news for home owners and landlords', experts say"/>
        <s v="Dubai rents: Tenants show strong preference for professionally managed units"/>
        <s v="Disneyland Abu Dhabi: Rents to increase; hotel rates to rise by up to 25%"/>
        <s v="Dubai real estate: Property sales jump 23% in April, says Betterhomes report"/>
        <s v="Dubai Tenants Demand Professionally Managed Properties, Betterhomes Survey Finds"/>
        <s v="Dubai’s property sales, rents surge in April on sustained demand"/>
        <s v="What sold in April? Dubai's hottest property picks revealed"/>
        <s v="Dubai’s property sales, rents surge in April on sustained demand "/>
        <s v="Disneyland Abu Dhabi announced: What it means for the real estate market"/>
        <s v="Top 10 Real Estate Brokers in Dubai for 2025"/>
        <s v="Dubai Sales Soar in April: Off-Plan Leads, But Ready Homes Make a Strong Comeback"/>
        <s v="Millionaire influx in 2025: Dubai to welcome wealth wave worth over Dh25 billion"/>
        <s v="6,700 millionaires relocated to the UAE in 2024, reports reveals"/>
        <s v="Dubai Poised For A Wealth Surge In 2025, New Betterhomes Report Reveals"/>
        <s v="Why millionaires are migrating to Dubai and what it signals"/>
        <s v="Dubai emerges as premier destination for global millionaire migration: Report"/>
        <s v="6 700 Millionaires Relocate to the UAE in 2024, New Report Reveals"/>
        <s v="Dubai marked as premier destination for global wealth migration"/>
        <s v="Palm Jebel Ali drives remarkable beachfront property surge"/>
        <s v="Revealed: Why Dubai is the hottest global destination for the super-rich"/>
        <s v="Opula : Positioned for strong ROI in Abu Dhabi’s fastest-rising district"/>
        <s v="DHB, Betterhomes unveil premium residential project in Abu Dhabi"/>
        <s v="Disneyland Arrival to Fuel Real Estate Surge in Yas Island"/>
        <s v="Shifting Tides: What US Tariffs Mean for UAE Real Estate"/>
        <s v="Dubai property market shows resilience"/>
        <s v="Dubai property prices expected to fall by 15% on supply glut this year, Fitch says"/>
        <s v="What’s next for Dubai real estate? Property Finder gathers a who’s who of industry leaders to discuss what is shaping 2025"/>
        <s v="Full coverage:  Dubai real estate: Trump tariffs drive 40% surge in US, Chinese investment interest"/>
        <s v="Analysis: UAE largely shielded from US tariffs on steel and aluminium"/>
        <s v="Dubai: Will Rents Continue Increase This Year? Industry Insiders Explain"/>
        <s v="With Chelsea Residences, Damac scores a ‘perfect goal’ in sales"/>
        <s v="Dubai Real Estate Proves Resilient Amid Shifting US Tariff Policies and Trade Tensions"/>
        <s v="Moving Your Family to Dubai: Why Finding a School Should Be Your First Step"/>
        <s v="How $35bn Al Maktoum International Airport expansion is driving major Dubai South real estate investment boom as property prices tipped to grow 20%"/>
        <s v="Dubai South real estate surges as Al Maktoum Airport expansion fuels demand"/>
        <s v="Dubai South property rises as Al Maktoum expansion gains pace"/>
        <s v="Dubai real estate: Property sales jump 15% in May 2025 as market value hits $14.8bn"/>
        <s v="Dubai real estate delivers AED 54.5bln in May sales with 15% growth across sales and leasing"/>
        <s v="Al Maktoum International Airport Expansion Worth AED 128 Billion Fuels Dubai South's Real Estate Growth"/>
        <s v="Dubai Real Estate Delivers AED 54.5B in May Sales with 15% Growth Across Sales and Leasing"/>
        <s v="Dh128b Al Maktoum International Airport project fuels real estate boom in Dubai South"/>
        <s v="Dubai South property prices to rise 15-20 percent amid $35 billion Al Maktoum Airport expansion"/>
        <s v="Jumeirah Bay Leads Dubai’s Luxury Waterfront with 24% Price Growth YoY"/>
        <s v="HomeRealEstateInvestment &#10;Dubai Real Estate Delivers AED 54.5B in May Sales with 15% Growth Across Sales and Leasing"/>
        <s v="Jumeirah Bay Island Leads Dubai’s Coastal Luxury Boom"/>
        <s v="Dubai real estate: Jumeirah Bay Island property prices jump 24%, says new report"/>
        <s v="AED 128B Al Maktoum Project Fuels Real Estate Boom In Dubai South"/>
        <s v="Dubai's Jumeira Bay leads the way in priciest waterfront homes - Gulf News"/>
        <s v="Jumeirah Bay Island leads surge in Dubai luxury property values - Khaleej Times"/>
        <s v="Jumeirah Bay Leads Dubai’s Luxury Waterfront with 24% YoY Price Growth"/>
        <s v="Dubai homeowners prepared to 'play the long game' if property values fall | The National"/>
        <s v="Dubai Metro Blue Line causes rents to jump in 9 communities - Khaleej Times"/>
        <s v="Developer expects $1bn Trump Tower in Dubai to sell out by end of summer"/>
        <s v="The great wealth migration: How Dubai became the world’s top millionaire magnet"/>
        <s v="Dubai Set to Attract Billions in Global Wealth in 2025, According to New Betterhomes Report"/>
        <s v="Dubai real estate: Branded residences sales surge 43% to generate $16.3bn in 2024"/>
        <s v="Dubai Dominates Global Luxury Real Estate Market With 140 Branded Residences By 2031"/>
        <s v="Dubai Tops Global Charts with 140 Branded Projects Set for Delivery by 2031"/>
        <s v="Dubai leads the world in branded residences with 160% growth"/>
        <s v="Dubai emerges as global centre of branded residences"/>
        <s v="Luxury real estate boom: Dubai outshines London, Miami, Phuket"/>
        <s v="Branded residences: Why Dubai dominates region’s market"/>
        <s v="First-time buyers get help in pricey Dubai housing market"/>
        <s v="Retail reinvented: AED 587mln in Q2 sales reflects Dubai’s appetite for immersive, tech-led experiences"/>
        <s v="Tech-driven, experiential shopping redefines Dubai retail"/>
        <s v="Abu Dhabi real estate: New property laws explained"/>
        <s v="Dubai real estate market hit $41.3bn in H1 2025 as prime sales surge 113 per cent"/>
        <s v="Dubai real estate: Property market sales surge 46% as market value hits $41.3bn in Q2 2025"/>
        <s v="Dubai Residential Property Market Remains a Global Magnet in the First Half of 2025 with Total Sales Reaching AED 151.8 Billion"/>
        <s v="Dubai property: UK buyers start to overtake Indians as overseas investors, says Betterhomes"/>
        <s v="Average Dubai property prices rise 3% quarter on quarter"/>
        <s v="Dubai residential property market sales exceed $41 billion in H1 2025"/>
        <s v="Construction Week Middle East - Dubai residential property market sales exceed $41 billion in H1 2025"/>
        <s v="Dubai property deals hit Dh431b in first half, a 25% jump on 2024"/>
        <s v="Betterhomes Reports Dubai Residential Property Market Remains a Global Magnet in H1 2025 with Sales Surging"/>
        <s v="Dubai Property Sales Surge 46% to $41.3B in Q2 2025"/>
        <s v="Dubai real estate: Property market soars 46% in Q2 2025, says Betterhomes report"/>
        <s v="Demand for ultra-luxury homes continues to surge in Dubai"/>
        <s v="Dubai’s most wanted property features: Revealed by today’s buyers"/>
        <s v="Are Sharjah’s rent hikes easing? New Rental Index starts to cool renewal rates"/>
        <s v="Dubai’s Prime Property Market Hits Historic Highs with 1,417 Ultra‑Luxury Sales in Q2 2025, Up 113% YoY"/>
        <s v="latest market insights from PRIME by Betterhomes, revealing a record-breaking quarter for Dubai’s ultra-luxury residential market"/>
        <s v="Office sales soar 93% as Dubai’s commercial property market reaches AED 31bln"/>
        <s v="Dubai real estate: Commercial property sales surge 50% to $8.4bn in Q2 2025"/>
        <s v="Dubai real estate: Office sales soar 93 percent as commercial property market hits $8.44 billion"/>
        <s v="Office Sales Soar 93% as Dubai’s Commercial Property Market Reaches AED 31 Billion"/>
        <s v="Off-Plan Apartment Sales Surge 43% in Q2 2025 to AED 60.15 Billion, Signalling Global Confidence in City’s Growth Trajectory"/>
        <s v="Dubai off-plan apartment sales surge 43% in Q2 2025: Report"/>
        <s v="Dubai real estate: Off-plan market surges 43 percent in Q2 2025 with $16.4 billion sales"/>
        <s v="Off-plan apartment transactions in Dubai surged 43% in second quarter"/>
        <s v="Dubai’s ultra-luxury home sales record 1,417 transactions in Q2"/>
        <s v="Dubai real estate transactions surge to $13.52 billion in July as off-plan market dominates"/>
        <s v="With the UAE’s Etihad Rail network preparing for launch, communities near key stations are seeing a spike in buyer interest and price growth"/>
        <s v="UAE rents, property prices rise by up to 25% along Etihad Rail route"/>
        <s v="Dubai property sales hit $14bn in July as off-plan demand and rents surge, top developers revealed"/>
        <s v="Buy or rent in 2025? New Dubai real estate trends residents can use now"/>
        <s v="Dubai Residential Property Market Powers Ahead: July Sales Up 20%, Rentals Hold Strong"/>
        <s v="Dubai Smart Rental Index bears fruit as landlords recalibrate pricing strategies"/>
        <s v="Residential Sales Surge 20% in July; Rentals Remain Strong"/>
        <s v="Moving Your Family To Dubai? 9 Best Areas For Top Schools - Menafn"/>
        <s v="Moving Your Family To Dubai? 9 Best Areas For Top Schools"/>
        <s v="Why it's easier now for Dubai tenants to become homeowners - MSN"/>
        <s v="Why it’s easier now for Dubai tenants to become homeowners"/>
        <s v="Betterhomes Reports Dubai's Prime Property Market Hits Historic Highs with 1,417 Ultra ..."/>
        <s v="Etihad Rail, Dubai Metro Blue Line will soon make these properties hot-selling"/>
        <s v="Dubai rental market cooling but not crashing, experts say"/>
        <s v="Strong demand fuels rentals, sales in Dubai - PressReader"/>
        <s v="Betterhomes Reports Dubai’s Prime Property Market Hits Historic Highs with 1,417 Ultra‑Luxury Sales in Q2 2025"/>
        <s v="UAE: Shopping for new home? Pick up your VR goggles for virtual tours | Khaleej Times"/>
        <s v="Dubai residential property prices average Dh1,893 per square foot in July | Khaleej Times"/>
        <s v="Why buying property in Dubai in 2025 is easier than ever - What's On - WhatsOn.ae"/>
        <s v="Will Dubai get $7.1b boost from more millionaires calling city their home? - Gulf News"/>
        <s v="Dubai set to welcome one millionaire every hour this year | Khaleej Times"/>
        <s v="Dubai set to welcome 10,000 millionaires; luxury home buys seen - TradeArabia"/>
        <s v="Dubai real estate: Demand for luxury properties grows as millionaire migration accelerates"/>
        <s v="Dubai Becomes Permanent Hub For Global Wealth - Menafn"/>
        <s v="Dubai sees boom in branded residences as buyers embrace lifestyle-driven luxury"/>
        <s v="Dubai to welcome 1 millionaire hourly in 2025, nearly 10,000 expected"/>
        <s v="Dubai reaps relocation rewards as wealthy Brits pick emirate - Arabian Gulf Business Insight"/>
        <s v="Dubai's millionaire migration: Why 7,100 more will call it home in 2025 - Gulf Business"/>
        <s v="Dubai branded residences to triple by 2031, outpacing global rivals"/>
        <s v="Dubai's branded residences to nearly triple by 2031, outpacing global rivals"/>
        <s v="Dubai's Branded Residences Expected To Nearly Triple By 2031, Surpassing Global Competitors"/>
        <s v="Dubai to deliver 140 branded residence projects by 2031, leading global market"/>
        <s v="Dubai leads global surge in branded residences with over 140 projects by 2031"/>
        <s v="Branded homes in Dubai: Why they're growing and what buyers should know - Gulf News"/>
        <s v="Dubai Branded Residences Boom with Over 140 New Projects by 2031"/>
        <s v="Dubai real estate: 140 branded residences coming to Dubai by 2031"/>
        <s v="Dubai sets global standard for branded residences with 140 projects by 2031, says new report"/>
        <s v="Dubai's branded residences outperform the global market - Construction Week Online"/>
        <s v="UAE real estate sector maintains strong momentum in 2025 with major projects, growing investments"/>
        <s v="UAE Real Estate Sector Shows Strong Momentum In 2025 With Major Projects - OneArabia"/>
        <s v="$13.9 billion in Dubai property sales signals strong real estate momentum in August 2025"/>
        <s v="UAE real estate is the world's new hotspot: Here's why - Gulf Business"/>
        <s v="Dubai's Zayed Housing Program issues 2,971 approvals in 2025, totaling over $544.6 .."/>
        <s v="Dubai looks to capitalise on weak dirham to lure British home buyers | Reuters"/>
        <s v="Emirati developers eye British investors as weaker dirham boosts property affordability"/>
        <s v="Dubai real estate: Property market records 10% annual growth despite August dip"/>
        <s v="https://www.youtube.com/watch?v=Z-q_zSmFhPI"/>
        <s v="Betterhomes: Dubai to Welcome Nearly 10000 Millionaires in 2025 - PR Newswire"/>
        <s v="Dubai property market stays strong in August as sales and rents hold firm"/>
        <s v="Dubai’s residential property 'fundamentals steady despite seasonal dip'"/>
        <s v="Betterhomes: Dubai to Welcome Nearly 10,000 Millionaires in 2025; That's More Than One New Millionaire Every Hour!"/>
        <s v="Dubai’s branded residences command 40 percent price premium as appeal to migrating millionaires drives demand"/>
        <s v="Dubai: Will soaring rents, property prices affect residents' cost of living?"/>
        <s v="Capacity of road leading to Dubai Silicon Oasis raised by 100%, says RTA"/>
        <s v="Rent smart in Dubai: Top areas that are actually worth your money"/>
        <s v="Dubai Islands emerging as Dubai’s next waterfront investment hub"/>
        <s v="Dubai Islands records AED 6.1bln in sales in H1 2025"/>
        <s v="Dubai Islands records $1.7bn in sales in H1 2025, emerging as city’s next waterfront investment hub"/>
        <s v="Dubai Islands turn next big waterfront investment"/>
        <s v="Dubai Islands hits $1.6bn in H1 sales as investors flock to new waterfront hub"/>
        <s v="LeadingRE’s Annual Global Symposium Hosts Real Estate Professionals From 31 Countries"/>
        <s v="Dubai’s Bubble Fears"/>
        <s v="Dubai property market hits $37.7bn as apartment sales soar and villa deals cool"/>
        <s v="Dubai real estate holds firm in Q3 2025, driven by strong apartment sales and record prices"/>
        <s v="Dubai’s property market enters a phase of selective growth "/>
        <s v="Dubai real estate: Apartment sales soar to record $25.32 billion in Q3 2025 as prices nearly double from 2020"/>
        <s v="  &#10;Explained: Why Dubai's real estate prices are surging; what it means for investors, renters ..."/>
        <s v="Dubai rent spikes to ease as new tenants get more options — buyers eye flats in UAE"/>
        <s v="Betterhomes and Panchshil Realty have announced an exclusive partnership, marking Panchshil’s landmark debut in Dubai"/>
        <s v="Dubai's off-plan market hits record highs; apartment sales up 35% - Arabian Business"/>
        <s v="Dubai’s Off-Plan Market Hits Record Highs as Apartment Sales Surge 35% in Q3 2025"/>
        <s v="betterhomes honoured as the premier partner for international real estate investment"/>
        <s v="Dubai’s Commercial Property Market Surges to AED 30.38 Billion"/>
        <s v="Dubai’s Commercial Property Market Surges to AED 30.38 Billion in Q3 2025, Marking a 31% Increase"/>
        <s v="Dubai’s commercial property market surges to AED 30.38bln in Q3 2025, marking a 31% increase"/>
        <s v="Dubai’s commercial property boom accelerates as office demand hits new highs"/>
        <s v="Dubai’s commercial property market surges to $8.27 billion amid strong office market demand"/>
        <s v="Dubai’s luxury real estate market enters a stable, mature cycle"/>
        <s v="Dubai's luxury real estate market transitions to healthy stabilization following record-setting ..."/>
        <s v="Dubai real estate: $4.1m luxury homes drive 737 sales in Q3 as wealthy eye Palm Jumeirah and Dubai Hills"/>
        <s v="Dubai's Luxury Real Estate Market Transitions To A Stable And Mature Growth Phase"/>
        <s v="Dubai-Real.Estate introduces a smarter way to explore homes and investments across the UAE"/>
        <s v="Dubai's Top 50 Homes returns for its third year"/>
        <s v="Dubai’s Top 50 Homes competition returns"/>
        <s v="Dubai’s Top 50 Homes Returns For Its Third Year"/>
        <s v="Dubai property market holds steady, sales value climbs 4.2% in October"/>
        <s v="Dubai real estate stable as sales hit $12.65bn and leasing demand holds firm"/>
        <s v="Dubai Property Market Holds Steady As Sales Value Climbs 4.2% Mom And Leasing Demand Remains Resilient In October"/>
        <s v="SNG: Dubai property market holds steady, sales value climbs 4.2% in October"/>
        <s v="From renters to buyers: Dubai rent hike pushes tenants to buy homes"/>
        <s v="Dubai rental pressures push tenants toward ownership as 55% plan to buy"/>
        <s v="Dubai’s tenant mindset flips, betterhomes reports 55% now plan purchases within 1–3 years"/>
        <s v="Dubai tenants shift to homeownership amid rising rents and long-term residency, with 55 percent planning purchases"/>
        <s v="More than 55% of tenants now plan to buy property within the next 1–3 years"/>
        <s v="Dubai property delivers stronger returns than global markets, new report shows"/>
        <s v="44% of property investors say their Dubai investments outperform their overseas portfolios, according to betterhomes’ Future Living Report 2025"/>
        <s v="Dubai rent growth slows as supply narrows gap between renewals and new leases"/>
        <s v="44% of property investors say their Dubai investments outperform their overseas portfolios"/>
        <s v="44% Of Investors Say Dubai Property Outperforms Overseas Assets, Shows Betterhomes Future Living Report 2025"/>
        <s v="Best Real Estate Agents In Dubai For Spotting The Next Investment Hotspots"/>
        <s v="Dubai property prices jump 2.5% in November as buyer confidence grows – report"/>
        <s v="Off-plan sales dominate as Dubai realty charges into 2026"/>
        <s v="UAE: Ultra-rich move to Dubai, keep luxury property demand strong, expert says"/>
        <s v="Dubai villa owners are ‘sitting on a goldmine’ as property market enters 2026 – expert"/>
        <s v="REVEALED: Dubai real estate market trends in 2026, according to experts"/>
        <s v="Nearly 60% of Residents Choose to Make Dubai Home as Average Tenure Rises to a Decade"/>
        <s v="Dubai residents put down roots as average tenure surges to over a decade - Khaleej Times"/>
        <s v="Dubai residents put down roots as tenure surges - PressReader"/>
        <s v="https://www.instagram.com/p/DSaErXhDY25/?img_index=5&amp;igsh=ZnI1a2g5NXllbHZ5"/>
        <s v="Dubai rents set to rise by up to 6% in 2026 amid growing population"/>
        <s v="More residents are choosing Dubai for the long run, with nearly 60% planning to stay for over a decade, according to The Betterhomes Future Living Report 2025."/>
        <m/>
      </sharedItems>
    </cacheField>
    <cacheField name="Link" numFmtId="0">
      <sharedItems containsBlank="1">
        <s v="https://www.agbi.com/real-estate/2025/01/burj-khalifa-at-15-ups-and-downs-of-the-worlds-tallest-skyscraper/"/>
        <s v="https://www.khaleejtimes.com/uae/burj-khalifa-turns-15-how-much-it-costs-to-rent-a-home-at-the-worlds-tallest-building-in-dubai"/>
        <s v="https://www.msn.com/en-in/money/topstories/dubai-s-burj-khalifa-charges-rs-70061-per-sq-ft-in-annual-rent-here-s-how-much-it-costs-to-rent-a-1-bedroom-flat-in-world-s-tallest-building/ar-AA1wXCUw?ocid=finance-verthp-feeds"/>
        <s v="https://www.constructionweekonline.com/news/betterhomes-ceo-steps-down-takes-over-as-cencorp-boss"/>
        <s v="https://www.arabianbusiness.com/jobs/dubai-real-estate-firm-betterhomes-announces-two-major-leadership-changes"/>
        <s v="https://arabianmarketer.ae/betterhomes-has-announced-two-major-leadership-changes/"/>
        <s v="https://www.zawya.com/en/press-release/people-in-the-news/betterhomes-has-announced-two-major-leadership-changes-eul65s4o"/>
        <s v="https://www.theglobeandmail.com/investing/markets/markets-news/Plentisoft/30388136/betterhomes-reveals-dubai-as-the-worlds-premier-property-investment-destination/"/>
        <s v="https://www.travelandtourworld.com/news/article/richard-waind-becomes-ceo-of-cencorp-while-louis-harding-takes-over-as-betterhomes-ceo-to-drive-dubai-real-estate-growth/"/>
        <s v="https://markets.businessinsider.com/news/stocks/betterhomes-reveals-dubai-as-the-world-s-premier-property-investment-destination-1034215635"/>
        <s v="https://www.streetinsider.com/Evertise+Financial/Betterhomes+Reveals+Dubai+as+the+World%E2%80%99s+Premier+Property+Investment+Destination/24196773.html"/>
        <s v="https://www.digitaljournal.com/pr/news/vehement-media/betterhomes-reveals-dubai-world-s-premier-1912448123.html"/>
        <s v="https://www.arabianbusiness.com/industries/real-estate/dubai-real-estate-sets-record-breaking-transaction-record-with-115bn-of-sales-in-2024-65-5m-villa-and-74-8m-apartment-top-charts"/>
        <s v="https://www.khaleejtimes.com/business/realty/price-surge-may-moderate-as-dubai-set-to-add-72000-housing-units"/>
        <s v="https://www.zawya.com/en/press-release/research-and-studies/fy2024-dubai-real-estate-market-highlights-a-year-of-growth-and-transition-esni838i"/>
        <s v="https://menafn.com/1109100000/Price-Surge-May-Moderate-As-Dubai-Set-To-Add-72000-Housing-Units"/>
        <s v="https://gulfnews.com/living-in-uae/housing/how-to-buy-freehold-property-in-dubai-how-to-secure-full-ownership-1.500019993"/>
        <s v="https://www.arabianbusiness.com/industries/real-estate/dubai-villa-rent-prices-surge-52-palm-jumeirah-sees-biggest-spike-in-2024-report"/>
        <s v="https://www.arabianbusiness.com/industries/real-estate/dubai-commercial-property-market-records-24-jump-in-growth-rakes-in-24-5bn-in-value-in-2024"/>
        <s v="https://mid-east.info/fy2024-dubai-real-estate-market-highlights-a-year-of-growth-and-transition/"/>
        <s v="https://menafn.com/1109122274/FY2024-Dubai-Real-Estate-Market-Highlights-A-Year-Of-Growth-And-Transition"/>
        <s v="https://menafn.com/1109127970/A-23-Rise-in-Tenant-Demand-at-Betterhomes"/>
        <s v="https://www.khaleejtimes.com/uae/dubai-tenants-relocating-to-cheaper-areas-securing-long-term-leases-ahead-of-commercial-rental-ind?amp=1"/>
        <s v="https://www.arabianbusiness.com/industries/real-estate/dubai-real-estate-dld-opens-freehold-property-conversion-for-sheikh-zayed-road-al-jaddaf-everything-you-need-to-know?utm_medium=email&amp;utm_medium=email&amp;utm_campaign=UK%20millionaires%20head%20for%20Dub"/>
        <s v="https://www.khaleejtimes.com/business/realty/dubai-rent-hikes-to-slow-down-in-2025-as-property-market-set-for-record-supply"/>
        <s v="https://menafn.com/1109137391/Dubai-Rent-Hikes-To-Slow-Down-In-2025-As-Property-Market-Set-For-Record-Supply"/>
        <s v="https://www.pressreader.com/uae/khaleej-times/20250128/281651080785914"/>
        <s v="https://menafn.com/1109138635/2024-Sees-Supply-Delays-as-Developers-Set-Sights-on-Record-Breaking-2025-Completions"/>
        <s v="https://www.pressreader.com/uae/khaleej-times/20250129/281638195886222"/>
        <s v="https://www.google.com/url?rct=j&amp;sa=t&amp;url=https://menafn.com/1109155855/Investor-Confidence-Soars-as-Off-Plan-Dominates-Dubais-Residential-Real-Estate-Market-in-2024&amp;ct=ga&amp;cd=CAEYACoUMTU5MzQwNzI3MjY2NzM5MzgzOTkyGmYxMGNhMzlmN2NmNGIzNmM6Y29tOmVuOlVT&amp;usg=AOv"/>
        <s v="https://www.arabianbusiness.com/industries/real-estate/dubai-real-estate-high-end-villas-luxury-apartments-to-lead-citys-rental-price-gains-in-2025"/>
        <s v="https://www.khaleejtimes.com/uae/dubai-most-tenants-renew-leases-due-to-high-rents-but-this-could-change-heres-why"/>
        <s v="https://www.propnewstime.com/getdetailsStories/MTQ3MTI=/dubai-real-estate-market-sets-new-records-in-2024-with-aed-423-36-billion-in-sales"/>
        <s v="https://www.pressreader.com/uae/khaleej-times/20250205/281522231784879"/>
        <s v="https://www.propnewstime.com/getdetailsStories/MTQ3MTY=/dubai-s-property-market-set-for-171-rise-in-completions-in-2025"/>
        <s v="https://www.zawya.com/en/press-release/research-and-studies/dubais-property-market-kicks-off-2025-with-a-bang-aed-35bln-in-sales-ydbkolcn"/>
        <s v="https://www.theguardian.com/tv-and-radio/2025/feb/05/tv-tonight-the-hilarious-spin-off-from-sharon-horgans-motherland"/>
        <s v="https://www.arabianbusiness.com/industries/real-estate/dubai-real-estate-average-prices-for-apartments-townhouses-and-villas-revealed-as-sales-hit-9-5bn-in-january"/>
        <s v="https://www.khaleejtimes.com/business/dubais-realty-off-to-strong-start-with-dh35b-first-month-sales"/>
        <s v="https://menafn.com/1109186794/Dubais-Property-Market-Kicks-Off-2025-With-A-Bang-AED-35-Billion-In-Sales#gsc.tab=0"/>
        <s v="https://menafn.com/1109186085/Dubais-Realty-Off-To-Strong-Start-With-Dh35b-First-Month-Sales"/>
        <s v="https://www.google.com/url?rct=j&amp;sa=t&amp;url=https://propnewstime.com/getdetailsStories/MTQ5ODg%3D/dubai-s-property-market-begins-2025-with-strong-sales-worth-aed-35-billion&amp;ct=ga&amp;cd=CAEYACoUMTA3MjIxOTA0NjEzOTMzMzA1NTQyGmYxMGNhMzlmN2NmNGIzNmM6Y29tOmVuOlVT&amp;us"/>
        <s v="https://economymiddleeast.com/news/dubai-danube-properties-launches-game-changing-convertible-1bhk-apartment-at-the-price-of-a-studio/"/>
        <s v="https://www.msn.com/en-ae/news/featured/dubai-villa-rented-out-for-dh155-million-a-year-in-emirates-largest-leasing-deal/ar-AA1smMdm?apiversion=v2&amp;noservercache=1&amp;domshim=1&amp;renderwebcomponents=1&amp;wcseo=1&amp;batchservertelemetry=1&amp;noservertelemetry=1"/>
        <s v="https://www.globenewswire.com/news-release/2025/02/18/3028195/0/en/FY2024-Dubai-Real-Estate-Market-Highlights-A-Year-of-Growth-and-Transition.html"/>
        <s v="https://markets.businessinsider.com/news/stocks/fy2024-dubai-real-estate-market-highlights-a-year-of-growth-and-transition-1034372522"/>
        <s v="https://www.khaleejtimes.com/business/property/dubai-properties-developers-dismiss-concerns-around-market-slowdown-in-2025?amp=1"/>
        <s v="https://www.arabianbusiness.com/industries/real-estate/dubai-real-estate-ramadan-a-golden-window-for-property-market-investment-says-new-report?utm_medium=email&amp;utm_medium=email&amp;utm_campaign=Ramadan%20a%20golden%20window%20for%20Dubai%20property%20market%"/>
        <s v="https://www.zawya.com/en/press-release/companies-news/betterhomes-awarded-best-real-estate-agency-in-arabia-at-the-international-property-awards-t6ekdgob"/>
        <s v="https://economictimes.indiatimes.com/wealth/real-estate/thinking-of-buying-a-property-in-dubai-consider-fema-limits-hidden-costs-developers-and-zone-type-before-taking-a-call/articleshow/118642147.cms?from=mdr"/>
        <s v="https://www.msn.com/en-in/money/real-estate/meet-the-owner-of-dubai-s-burj-khalifa-world-s-tallest-building-not-sultan-of-uae-dubai-king-the-name-is/ar-AA1zQCjB?ocid=BingNewsVerp&amp;apiversion=v2&amp;noservercache=1&amp;domshim=1&amp;renderwebcomponents=1&amp;wcseo=1&amp;batchs"/>
        <s v="https://www.brecorder.com/news/40351232/pakistanis-among-top-5-buyers-of-real-estate-in-dubai-indians-top-list"/>
        <s v="https://www.zawya.com/en/press-release/companies-news/dg-129-now-exclusively-managed-by-betterhomes-sfrxelru"/>
        <s v="https://www.arabianbusiness.com/industries/real-estate/dubai-real-estate-betterhomes-takes-over-management-of-dg-129-in-discovery-gardens"/>
        <s v="https://www.agbi.com/real-estate/2025/03/egyptians-show-sudden-interest-in-dubai-property/"/>
        <s v="https://menafn.com/1109300107/Dubais-Real-Estate-Boom-During-Ramadan-Why-the-Market-Surges-Instead-of-Slowing"/>
        <s v="https://www.khaleejtimes.com/uae/dubai-rent-rise-slow-down-2025"/>
        <s v="https://english.aaj.tv/news/330406793/pakistan-ranks-fifth-among-top-property-buyers-in-dubai"/>
        <s v="https://propakistani.pk/2025/03/12/pakistan-ranks-fifth-among-top-property-buyers-in-dubai/#google_vignette"/>
        <s v="https://gulfnews.com/business/property/dubai-rents-more-signs-emerge-of-rent-increases-slowing-down-1.500058309"/>
        <s v="https://www.theglobeandmail.com/investing/markets/markets-news/GetNews/31397304/fy2024-dubai-real-estate-market-highlights-a-year-of-growth-and-transition/"/>
        <s v="https://www.openpr.com/news/3915763/fy2024-dubai-real-estate-market-highlights-a-year-of-growth"/>
        <s v="https://www.meed.com/dubai-property-market-rebounds-in-february"/>
        <s v="https://www.businessoutreach.in/dubai-real-estate-market-surges-to-aed-41-billion-in-february-sales/"/>
        <s v="https://www.arabianbusiness.com/industries/real-estate/dubai-real-estate-property-sales-surge-17-to-11-16bn-in-february-2025"/>
        <s v="https://www.khaleejtimes.com/uae/dubai-affordable-housing-residents-income"/>
        <s v="https://www.khaleejtimes.com/business/property/dubai-realty-shatters-records-as-prices-hit-new-highs"/>
        <s v="https://propnewstime.com/getdetailsStories/MTYwNDM=/dubai-real-estate-market-maintains-strong-momentum-with-record-prices-and-rising-sales-volumes"/>
        <s v="https://www.khaleejtimes.com/business/property/egyptians-emerge-as-a-rising-force-in-dubais-real-estate"/>
        <s v="https://www.arabianbusiness.com/industries/real-estate/dubai-real-estate-indians-british-and-italians-lead-property-purchases-as-egyptian-numbers-surge"/>
        <s v="https://www.thenationalnews.com/business/money/2025/03/20/fed-rate-cut-uae-mortgages/"/>
        <s v="https://menafn.com/1109342229/Dubais-Rental-Market-Stabilises-as-Tenant-Choices-Expand"/>
        <s v="https://www.khaleejtimes.com/business/property/how-can-we-decode-the-relentless-property-boom-in-dubai"/>
        <s v="https://www.arabianbusiness.com/industries/real-estate/dubai-real-estate-mortgage-transactions-rise-4-76-as-fed-holds-rates-steady"/>
        <s v="https://www.arabianbusiness.com/industries/real-estate/dubai-real-estate-property-market-records-35-5-surge-transactions-as-off-plan-market-draws-global-investors"/>
        <s v="https://www.khaleejtimes.com/business/mortgage-landscape-in-dubai-remains-resilient-as-fed-holds-rates-steady"/>
        <s v="https://www.thenationalnews.com/news/2025/04/01/chart-of-the-week-dubai-properties-deliver-more-for-your-million/"/>
        <s v="https://propnewstime.com/getdetailsStories/MTY1MDc=/dubai-s-mortgage-market-remains-strong-in-2025-amid-stable-interest-rates-and-high-demand"/>
        <s v="https://www.thenationalnews.com/news/uae/2025/04/07/dubai-dh1-million-property-market/"/>
        <s v="https://www.khaleejtimes.com/business/why-are-global-investors-in-dubai-shifting-their-focus-to-plots"/>
        <s v="https://www.zawya.com/en/press-release/research-and-studies/new-real-estate-trend-foreign-investors-in-dubai-shift-focus-from-apartments-to-plots-pgkh4ij0"/>
        <s v="https://www.pressreader.com/uae/khaleej-times/20250411/281629606101470"/>
        <s v="https://propnewstime.com/getdetailsStories/MTcwNzk=/foreign-investors-in-dubai-shift-gears-as-land-plots-outshine-apartments"/>
        <s v="https://www.arabianbusiness.com/industries/real-estate/dubai-property-2025"/>
        <s v="https://www.khaleejtimes.com/business/offplan-transactions-drive-dubai-real-estate-growth-in-first-quarter"/>
        <s v="https://economictimes.indiatimes.com/nri/invest/dubais-70-property-rally-faces-threat-from-tariff-turmoil/articleshow/120278896.cms?from=mdr"/>
        <s v="https://www.bloomberg.com/news/articles/2025-04-14/dubai-property-boom-faces-pressure-as-oil-falls-trump-tariffs-test-demand"/>
        <s v="https://www.khaleejtimes.com/uae/dubai-rents-drop-post-pandemic-plateau?fbclid=IwY2xjawJuwkBleHRuA2FlbQIxMQABHuMDwAQR3ZZyW3oqSAoTN2PVh_N4ia64InteRYxHTzU_PR_udOCOMoRXNaOD_aem_v6i6qaBtaZ8lRHmBNNTOTg"/>
        <s v="https://www.forbesmiddleeast.com/industry/real-estate/talal-moafaq-al-gaddah"/>
        <s v="https://www.arabianbusiness.com/industries/real-estate/dubai-real-estate-is-it-the-right-time-to-invest-in-the-property-market-experts-weigh-in"/>
        <s v="https://www.arabianbusiness.com/industries/real-estate/dubai-real-estate-market-grows-23-in-q1-2025-as-villa-sales-lead-surge-report?utm_medium=email&amp;utm_medium=email&amp;utm_campaign=Dubai%20real%20estate%20market%20up%2023%20Emaar%20invests%201bn%20in%20Dub"/>
        <s v="https://www.khaleejtimes.com/business/villa-market-outshines-as-dubai-realty-posts-big-q1-sales-surge"/>
        <s v="https://web-release.com/inside-dubais-property-surge-betterhomes-q1-2025-real-estate-market-insights/"/>
        <s v="https://finance.yahoo.com/news/betterhomes-record-breaking-start-2025-100800890.html?guccounter=1&amp;guce_referrer=aHR0cHM6Ly93d3cuZ29vZ2xlLmNvbS8&amp;guce_referrer_sig=AQAAAK9ItZrecG5iJiJwnXylExjxK0YMewpPAFuiI7U-C0RgaEOVwdpFnPXekdt5pgHKtCGPTgXwQcrSbfNOV074KfUQ9"/>
        <s v="https://onevillenews.com/2025/04/23/betterhomes-cements-its-position-as-uaes-leading-property-management-company-with-ips-2025-win/"/>
        <s v="https://thebrewnews.com/thebrew-news/uae/dubai-property-market-q1-2025/"/>
        <s v="https://gulfbusiness.com/dubai-property-is-booming-what-every-investor-should-know/"/>
        <s v="https://web-release.com/betterhomes-cements-its-position-as-uaes-leading-property-management-company-with-ips-2025-win/"/>
        <s v="https://markets.businessinsider.com/news/stocks/betterhomes-reports-strong-start-to-2025-as-dubai-real-estate-transactions-rise-sharply-in-first-quarter-1034629417"/>
        <s v="https://dreamproperties.ae/betterhomes-reports-strong-start-to-2025-as-dubai-real-estate-transactions-rise-sharply-in-first-quarter-streetinsider-22/"/>
        <s v="https://propakistani.pk/2025/04/30/rents-in-dubai-face-sudden-double-digit-hike/"/>
        <s v="https://www.arabianbusiness.com/industries/real-estate/uae-real-estate-dhb-holding-betterhomes-launches-first-abu-dhabi-project"/>
        <s v="https://www.zawya.com/en/press-release/companies-news/betterhomes-and-dhb-holding-announce-exclusive-partnership-in-yas-bay-u9g76tkr"/>
        <s v="https://www.cbnme.com/news/betterhomes-partners-with-dhb-holding-to-launch-first-residential-project-in-yas-bay/"/>
        <s v="https://arqam.news/446966/"/>
        <s v="https://www.arabianbusiness.com/industries/real-estate/abu-dhabi-property-prices-to-surge-following-disney-theme-park-announcement?utm_medium=email&amp;utm_medium=email&amp;utm_campaign=Al%20Maktoum%20International%20Airport%20update%203%20new%20hospitals%20in%20"/>
        <s v="https://www.arabianbusiness.com/industries/real-estate/dubai-real-estate-tenants-want-professionally-managed-properties-betterhomes-study-reveals?utm_medium=email&amp;utm_medium=email&amp;utm_campaign=Dubai%20real%20estate%20study%20Primark%20in%20the%20Middle%20"/>
        <s v="https://www.thenationalnews.com/news/uae/2025/05/09/disneyland-abu-dhabi-theme-park-yas-island-property-prices/"/>
        <s v="https://www.khaleejtimes.com/business/dubai-rents-tenants-show-strong-preference-for-professionally-managed-units"/>
        <s v="https://www.khaleejtimes.com/uae/disneyland-abu-dhabi-higher-rents-property"/>
        <s v="https://www.msn.com/en-ae/money/news/dubai-rents-tenants-show-strong-preference-for-professionally-managed-units/ar-AA1Ez3Pc?ocid=finance-verthp-feeds"/>
        <s v="https://www.arabianbusiness.com/industries/real-estate/dubai-real-estate-property-sales-jump-23-in-april-says-betterhomes-report?utm_medium=email&amp;utm_medium=email&amp;utm_campaign=AED46bn%20in%20Dubai%20property%20sales%20BlackRock%20Lunates%2010bn%20reinsura"/>
        <s v="https://menafn.com/1109535652/Dubai-Tenants-Demand-Professionally-Managed-Properties-Betterhomes-Survey-Finds"/>
        <s v="https://www.msn.com/en-ae/money/news/dubai-s-property-sales-rents-surge-in-april-on-sustained-demand/ar-AA1EDnck?ocid=finance-verthp-feeds"/>
        <s v="https://gulfnews.com/your-money/saving-investment/what-sold-in-april-dubais-hottest-property-picks-revealed-1.500124061"/>
        <s v="https://www.khaleejtimes.com/business/dubais-property-sales-rents-surge-in-april-on-sustained-demand"/>
        <s v="https://www.constructionweekonline.com/business/insights/disneyland-abu-dhabi-announced-what-it-means-for-the-real-estate-market"/>
        <s v="https://www.tycoonstory.com/top-10-real-estate-brokers-in-dubai-for-2025/"/>
        <s v="https://www.builtenvironmentme.com/dubai-sales-soar-in-april-off-plan-leads-but-ready-homes-make-a-strong-comeback"/>
        <s v="https://gulfnews.com/business/markets/millionaire-influx-in-2025-dubai-to-welcome-wealth-wave-worth-over-dh25-billion-1.500127150"/>
        <s v="https://gulfbusiness.com/6700-millionaires-relocated-to-the-uae-in-2024/"/>
        <s v="https://menafn.com/1109548456/Dubai-Poised-For-A-Wealth-Surge-In-2025-New-Betterhomes-Report-Reveals"/>
        <s v="https://www.khaleejtimes.com/business/why-millionaires-are-migrating-to-dubai-and-what-it-signals"/>
        <s v="https://www.arabianbusiness.com/money/wealth/dubai-emerges-as-premier-destination-for-global-millionaire-migration-report?utm_medium=email&amp;utm_medium=email&amp;utm_campaign=Dubai%20premier%20destination%20for%20millionaire%20migration%20Qatar%20Airways%20to%2"/>
        <s v="https://news.uppersetup.com/tag/betterhomes/"/>
        <s v="https://www.brecorder.com/news/40362926/dubai-marked-as-premier-destination-for-global-wealth-migration"/>
        <s v="https://www.msn.com/en-ae/money/news/palm-jebel-ali-drives-remarkable-beachfront-property-surge/ar-AA1EPncn?ocid=finance-verthp-feeds"/>
        <s v="https://gulfbusiness.com/revealed-why-dubai-is-the-hottest-global-destination-for-the-super-rich/"/>
        <s v="https://www.zawya.com/en/press-release/companies-news/opula-positioned-for-strong-roi-in-abu-dhabis-fastest-rising-district-il9ubg9x"/>
        <s v="https://www.zawya.com/en/business/real-estate/dhb-betterhomes-unveil-premium-residential-project-in-abu-dhabi-gmqtm77o"/>
        <s v="https://www.remtimes.com/blogs/real-estate-news/disneyland-arrival-to-fuel-real-estate-surge-in-yas-island.php"/>
        <s v="https://arqam.news/454839/"/>
        <s v="https://gulfnews.com/business/property/dubai-property-damac-scores-perfect-goal-with-chelsea-1.500144361"/>
        <s v="https://www.thenationalnews.com/business/2025/05/29/dubai-property-prices-expected-to-fall-by-15-on-supply-glut-this-year-fitch-says/"/>
        <s v="https://www.zawya.com/en/press-release/events-and-conferences/whats-next-for-dubai-real-estate-property-finder-gathers-a-whos-who-of-industry-leaders-to-discuss-what-is-shaping-2025-brsjwilr"/>
        <s v="https://www.arabianbusiness.com/industries/real-estate/dubai-real-estate-trump-tariffs-drive-40-surge-in-us-chinese-investment-interest"/>
        <s v="https://technicalreviewmiddleeast.com/manufacturing/analysis-uae-largely-shielded-from-us-tariffs-on-steel-and-aluminium"/>
        <s v="https://menafn.com/1109614940/Dubai-Will-Rents-Continue-Increase-This-Year-Industry-Insiders-Explain"/>
        <s v="https://www.pressreader.com/uae/gulf-news/20250530/281754160251608"/>
        <s v="https://www.builtenvironmentme.com/dubai-real-estate-proves-resilient-amid-shifting-us-tariff-policies-and-trade-tensions"/>
        <s v="https://whichschooladvisor.com/uae/guides/moving-your-family-to-dubai-why-finding-a-school-should-be-your-first-step"/>
        <s v="https://www.arabianbusiness.com/industries/real-estate/how-35bn-al-maktoum-international-airport-expansion-is-driving-major-dubai-south-real-estate-investment-boom-as-property-prices-tipped-to-grow-20?utm_medium=email&amp;utm_medium=email&amp;utm_campaign=AB%20Es"/>
        <s v="https://gulfnews.com/business/property/dubai-south-real-estate-surges-as-al-maktoum-airport-expansion-fuels-demand-1.500158633"/>
        <s v="https://www.aviationbusinessme.com/airports/dubai-south-property-rises-as-al-maktoum-expansion-gains-pace"/>
        <s v="https://www.arabianbusiness.com/industries/real-estate/dubai-real-estate-property-sales-jump-15-in-may-2025-as-market-value-hits-14-8bn"/>
        <s v="https://www.zawya.com/en/press-release/research-and-studies/dubai-real-estate-delivers-aed-545bln-in-may-sales-with-15-growth-across-sales-and-leasing-jsb2i90m"/>
        <s v="https://www.onearabia.me/business/aed-128-billion-al-maktoum-project-real-estate-dubai-south-011-112991.html"/>
        <s v="https://onevillenews.com/2025/06/13/dubai-real-estate-delivers-aed-54-5b-in-may-sales-with-15-growth-across-sales-and-leasing/"/>
        <s v="https://www.khaleejtimes.com/business/dh128b-al-maktoum-international-airport-project-fuels-real-estate-boom-in-dubai-south"/>
        <s v="https://www.google.com/url?rct=j&amp;sa=t&amp;url=https://economymiddleeast.com/news/dubai-south-property-prices-to-rise-15-20-percent-amid-35-billion-al-maktoum-airport-expansion/&amp;ct=ga&amp;cd=CAEYASoTODE1MTcyNDc3NTAzMjc4NzM1NjIaZjEwY2EzOWY3Y2Y0YjM2Yzpjb206ZW46VVM&amp;u"/>
        <s v="https://nabd-alhadath.com/archives/105500"/>
        <s v="https://businesslobbies.com/realestate/investment/dubai-real-estate-delivers-aed-545b-in-may-sales-with-15-growth-across-sales-and-leasing"/>
        <s v="https://www.cbnme.com/analysis/jumeirah-bay-island-leads-dubais-coastal-luxury-boom/"/>
        <s v="https://mid-east.info/jumeirah-bay-leads-dubais-luxury-waterfront-with-24-price-growth-yoy/"/>
        <s v="Dubai real estate: Jumeirah Bay Island property prices jump 24%, says new report"/>
        <s v="https://menafn.com/1109678192/AED-128B-Al-Maktoum-Project-Fuels-Real-Estate-Boom-In-Dubai-South"/>
        <s v="Dubai's Jumeira Bay leads the way in priciest waterfront homes - Gulf News"/>
        <s v="Jumeirah Bay Island leads surge in Dubai luxury property values - Khaleej Times"/>
        <s v="https://businesslobbies.com/realestate/investment/jumeirah-bay-leads-dubais-luxury-waterfront-with-24-price-growth-yoy"/>
        <s v="Dubai homeowners prepared to 'play the long game' if property values fall | The National"/>
        <s v="Dubai Metro Blue Line causes rents to jump in 9 communities - Khaleej Times"/>
        <s v="https://www.msn.com/en-ae/money/news/developer-expects-1bn-trump-tower-in-dubai-to-sell-out-by-end-of-summer/ar-AA1GVdRW?ocid=finance-verthp-feeds"/>
        <s v="https://www.thenationalnews.com/business/property/2025/06/18/developer-expects-1bn-trump-tower-in-dubai-to-sell-out-by-end-of-summer/"/>
        <s v="https://www.arabianbusiness.com/politics-economics/the-great-wealth-migration-how-dubai-became-the-worlds-top-millionaire-magnet?utm_medium=email&amp;utm_medium=email&amp;utm_campaign=How%20Dubai%20became%20a%20millionaire%20magnet%20Dubai%20Airport%20extension%2"/>
        <s v="https://news.marketersmedia.com/dubai-set-to-attract-billions-in-global-wealth-in-2025-according-to-new-betterhomes-report/89162798"/>
        <s v="https://www.streetinsider.com/Press+Releases/Dubai+Set+to+Attract+Billions+in+Global+Wealth+in+2025%2C+According+to+New+Betterhomes+Report/24973276.html"/>
        <s v="https://www.arabianbusiness.com/industries/real-estate/dubai-real-estate-branded-residences-sales-surge-43-to-generate-16-3bn-in-2024"/>
        <s v="https://www.onearabia.me/lifestyle/dubai-branded-residences-projects-delivery-2031-011-115085.html"/>
        <s v="https://arqam.news/464035/"/>
        <s v="https://www.zawya.com/en/press-release/research-and-studies/dubai-tops-global-charts-with-140-branded-projects-set-for-delivery-by-2031-cp9x6vnn"/>
        <s v="https://www.khaleejtimes.com/business/dubai-leads-the-world-in-branded-residences-with-160-growth"/>
        <s v="https://www.aninews.in/news/business/dubai-emerges-as-global-centre-of-branded-residences20250704125653/"/>
        <s v="https://gulfnews.com/business/property/luxury-real-estate-boom-dubai-outshines-london-miami-phuket-1.500186404"/>
        <s v="https://gulfbusiness.com/why-dubai-dominates-regions-market/"/>
        <s v="https://www.msn.com/en-gb/money/other/luxury-real-estate-boom-dubai-outshines-london-miami-phuket/ar-AA1HUZVK"/>
        <s v="https://www.agbi.com/construction/2025/07/first-time-buyers-get-help-in-pricey-dubai-housing-market/"/>
        <s v="https://www.zawya.com/en/press-release/research-and-studies/retail-reinvented-aed-587mln-in-q2-sales-reflects-dubais-appetite-for-immersive-tech-led-experiences-qa235an3"/>
        <s v="https://www.khaleejtimes.com/business/tech-driven-experiential-shopping-redefines-dubai-retail"/>
        <s v="https://www.arabianbusiness.com/industries/real-estate/abu-dhabi-real-estate-new-property-laws-explained"/>
        <s v="https://www.arabianbusiness.com/industries/real-estate/dubai-real-estate-market-hit-41-3bn-in-h1-2025-as-prime-sales-surge-113-per-cent"/>
        <s v="https://www.arabianbusiness.com/industries/real-estate/dubai-real-estate-property-market-sales-surge-46-as-market-value-hits-41-3bn-in-q2-2025"/>
        <s v="https://onevillenews.com/2025/07/18/dubai-residential-property-market-remains-a-global-magnet-in-the-first-half-of-2025-with-total-sales-reaching-aed-151-8-billion/"/>
        <s v="https://gulfnews.com/business/property/dubai-property-uk-buyers-start-to-overtake-indians-as-overseas-investors-says-betterhomes-1.500204486"/>
        <s v="https://www.khaleejtimes.com/business/property/average-dubai-property-prices-rise-3-quarter-on-quarter"/>
        <s v="https://www.constructionweekonline.com/business/insights/dubai-property-market-h1-2025"/>
        <s v="https://x.com/CWMiddleEast/status/1947215514813558943"/>
        <s v="https://www.pressreader.com/uae/gulf-news/20250721/281487872385511"/>
        <s v="https://uk.advfn.com/stock-market/share-news/Betterhomes-Reports-Dubai-Residential-Property-Mar/96479505#google_vignette"/>
        <s v="https://finance.yahoo.com/news/betterhomes-reports-dubai-residential-property-072100351.html?guccounter=1&amp;guce_referrer=aHR0cHM6Ly93d3cuZ29vZ2xlLmNvbS8&amp;guce_referrer_sig=AQAAAK9ItZrecG5iJiJwnXylExjxK0YMewpPAFuiI7U-C0RgaEOVwdpFnPXekdt5pgHKtCGPTgXwQcrSbfNOV"/>
        <s v="https://www.propertynewsint.com/news/dubai-property-sales-surge-46-to-41-3-b-in-q2-2025"/>
        <s v="https://www.arabianbusiness.com/industries/real-estate/dubai-real-estate-property-market-soars-46-in-q2-2025-says-betterhomes-report"/>
        <s v="https://www.khaleejtimes.com/business/property/demand-for-ultra-luxury-homes-continues-to-surge-in-dubai?_refresh=true"/>
        <s v="https://gulfbusiness.com/dubais-most-wanted-property-features-revealed-by-todays-buyers/"/>
        <s v="https://gulfnews.com/business/property/are-sharjahs-rent-increases-starting-to-slow-down-after-18-25-hikes-1.500211814"/>
        <s v="https://onevillenews.com/2025/07/25/dubais-prime-property-market-hits-historic-highs-with-1417-ultra%e2%80%91luxury-sales-in-q2-2025-up-113-yoy/"/>
        <s v="https://arqam.news/471057/"/>
        <s v="https://www.zawya.com/en/press-release/research-and-studies/office-sales-soar-93-as-dubais-commercial-property-market-reaches-aed-31bln-sxbvdw9p"/>
        <s v="https://www.arabianbusiness.com/industries/real-estate/dubai-real-estate-commercial-property-sales-surge-50-to-8-4bn-in-q2-2025"/>
        <s v="https://economymiddleeast.com/news/dubai-real-estate-office-sales-soar-93-percent-commercial-property-market-hits-8-44-billion/"/>
        <s v="https://onevillenews.com/2025/07/28/office-sales-soar-93-as-dubais-commercial-property-market-reaches-aed-31-billion/"/>
        <s v="https://www.msn.com/en-ae/money/news/demand-for-ultra-luxury-homes-continues-to-surge-in-dubai/ar-AA1JnDyN?ocid=finance-verthp-feeds"/>
        <s v="https://uaenews247.com/2025/07/29/off-plan-apartment-sales-surge-43-in-q2-2025-to-aed-60-15-billion-signalling-global-confidence-in-citys-growth-trajectory/"/>
        <s v="https://www.arabianbusiness.com/industries/real-estate/dubai-off-plan-apartment-sales-surge-43-in-q2-2025-report"/>
        <s v="https://economymiddleeast.com/news/dubai-real-estate-off-plan-market-surges-43-percent-in-q2-2025-with-16-4-billion-sales/"/>
        <s v="https://www.khaleejtimes.com/business/property/off-plan-apartment-transactions-in-dubai-surged-43-in-second-quarter"/>
        <s v="https://www.constructionweekonline.com/business/insights/dubai-ultra-luxury-home-sales"/>
        <s v="https://economymiddleeast.com/news/dubai-real-estate-transactions-surge-to-13-52-billion-in-july-as-off-plan-market-dominates/"/>
        <s v="https://whatson.ae/2025/08/etihad-rail-and-real-estate-what-it-means-for-property-prices/"/>
        <s v="https://www.khaleejtimes.com/business/property/rents-property-prices-rise-etihad-rail-route"/>
        <s v="https://www.arabianbusiness.com/industries/real-estate/dubai-property-sales-hit-14bn-in-july-as-off-plan-demand-and-rents-surge-top-developers-revealed?utm_medium=email&amp;utm_medium=email&amp;utm_campaign=AB%20Espresso%20Dubai%20property%20sales%20hit%2014bn%20"/>
        <s v="https://gulfnews.com/business/property/buy-or-rent-in-2025-new-dubai-real-estate-trends-residents-can-use-now-1.500229592"/>
        <s v="https://arqam.news/476538/"/>
        <s v="https://www.msn.com/en-nz/money/homeandproperty/buy-or-rent-in-2025-new-dubai-real-estate-trends-residents-can-use-now/ar-AA1KjiNM?ocid=finance-verthp-feeds"/>
        <s v="https://www.arabianbusiness.com/industries/real-estate/dubai-smart-rental-index-bears-fruit-as-landlords-recalibrate-pricing-strategies"/>
        <s v="https://businesslobbies.com/realestate/residential/residential-sales-surge-20-in-july-rentals-remain-strong"/>
        <s v="https://www.builtenvironmentme.com/dubai-residential-property-market-powers-ahead-july-sales-up-20-rentals-hold-strong"/>
        <s v="https://menafn.com/1109921822/Moving-Your-Family-To-Dubai-9-Best-Areas-For-Top-Schools"/>
        <s v="https://www.khaleejtimes.com/uae/schools-and-parents/dubai9best-areasfortopschools"/>
        <s v="Why it's easier now for Dubai tenants to become homeowners - MSN"/>
        <s v="https://www.thenationalnews.com/business/money/2025/08/13/property-dubai-home-buy-rent/#:~:text=There%20are%20no%20property%20taxes,has%20further%20enhanced%20Dubai's%20appeal."/>
        <s v="Betterhomes Reports Dubai's Prime Property Market Hits Historic Highs with 1,417 Ultra ..."/>
        <s v="https://gulfnews.com/business/property/etihad-rail-metro-blue-line-boost-where-property-prices-will-rise-in-dubai-1.500231814"/>
        <s v="https://www.agbi.com/analysis/real-estate/2025/08/dubai-rental-market-cooling-but-not-crashing-experts-say/"/>
        <s v="https://www.pressreader.com/uae/gulf-news/20250813/281736980534764"/>
        <s v="https://www.digitaljournal.com/pr/news/vehement-media/betterhomes-reports-dubai-s-prime-property-1841881304.html"/>
        <s v="https://www.khaleejtimes.com/business/property/buying-home-trends-uae"/>
        <s v="https://www.khaleejtimes.com/business/property/dubai-residential-property-prices-average-dh1893-per-square-foot-in-july"/>
        <s v="Why buying property in Dubai in 2025 is easier than ever - What's On - WhatsOn.ae"/>
        <s v="Will Dubai get $7.1b boost from more millionaires calling city their home? - Gulf News"/>
        <s v="Dubai set to welcome one millionaire every hour this year | Khaleej Times"/>
        <s v="Dubai set to welcome 10,000 millionaires; luxury home buys seen - TradeArabia"/>
        <s v="Dubai real estate: Demand for luxury properties grows as millionaire migration accelerates"/>
        <s v="Dubai Becomes Permanent Hub For Global Wealth - Menafn"/>
        <s v="Dubai sees boom in branded residences as buyers embrace lifestyle-driven luxury"/>
        <s v="https://thebrewnews.com/thebrew-news/dubai-millionaire-every-hour-2025/"/>
        <s v="Dubai reaps relocation rewards as wealthy Brits pick emirate - Arabian Gulf Business Insight"/>
        <s v="Dubai's millionaire migration: Why 7,100 more will call it home in 2025 - Gulf Business"/>
        <s v="https://campaignme.com/dubai-branded-residences-to-nearly-triple-by-2031-outpacing-global-rivals/"/>
        <s v="https://www.zawya.com/en/press-release/research-and-studies/dubais-branded-residences-to-nearly-triple-by-2031-outpacing-global-rivals-lv6ewbg6"/>
        <s v="https://www.onearabia.me/lifestyle/dubais-branded-residences-nearly-triple-by-2031-011-120193.html"/>
        <s v="Dubai to deliver 140 branded residence projects by 2031, leading global market"/>
        <s v="Dubai leads global surge in branded residences with over 140 projects by 2031"/>
        <s v="Branded homes in Dubai: Why they're growing and what buyers should know - Gulf News"/>
        <s v="Dubai's Branded Residences to Nearly Triple by 2031, Outpacing Global Rivals"/>
        <s v="https://businesslobbies.com/realestate/residential/dubai-branded-residences-boom-with-over-140-new-projects-by-2031"/>
        <s v="https://whatson.ae/2025/08/dubai-real-estate-140-branded-residences-coming-to-dubai-by-2031/"/>
        <s v="https://www.arabianbusiness.com/industries/real-estate/dubai-real-estate-emirate-sets-global-standard-for-branded-residences-with-140-projects-by-2031-says-new-report?utm_medium=email&amp;utm_medium=email&amp;utm_campaign=Dubai%20branded%20residences%20to%20grow%"/>
        <s v="Dubai's branded residences outperform the global market - Construction Week Online"/>
        <s v="https://www.arabianbusiness.com/industries/real-estate/dubai-real-estate-emirate-sets-global-standard-for-branded-residences-with-140-projects-by-2031-says-new-report"/>
        <s v="https://www.wam.ae/en/article/blhmzqw-uae-real-estate-sector-maintains-strong-momentum"/>
        <s v="google.com/url?rct=j&amp;sa=t&amp;url=https://www.onearabia.me/local/uae-real-estate-sector-strong-momentum-2025-011-120869.html&amp;ct=ga&amp;cd=CAAYATIaZjEwY2EzOWY3Y2Y0YjM2Yzpjb206ZW46VVM&amp;usg=AOvVaw0o6fRtL7qWjqiY0l97gnbD"/>
        <s v="$13.9 billion in Dubai property sales signals strong real estate momentum in August 2025"/>
        <s v="UAE real estate is the world's new hotspot: Here's why - Gulf Business"/>
        <s v="Dubai's Zayed Housing Program issues 2,971 approvals in 2025, totaling over $544.6 .."/>
        <s v="Dubai looks to capitalise on weak dirham to lure British home buyers | Reuters"/>
        <s v="https://propnewstime.com/getdetailsStories/MjEwMDY=/emirati-developers-eye-british-investors-as-weaker-dirham-boosts-property-affordability"/>
        <s v="https://www.arabianbusiness.com/industries/real-estate/dubai-real-estate-property-market-records-10-annual-growth-despite-august-dip"/>
        <s v="https://www.youtube.com/watch?v=Z-q_zSmFhPI"/>
        <s v="Betterhomes: Dubai to Welcome Nearly 10000 Millionaires in 2025 - PR Newswire"/>
        <s v="https://www.khaleejtimes.com/business/property/dubai-property-market-stays-strong-august-2025"/>
        <s v="https://www.zawya.com/en/business/real-estate/dubais-residential-property-fundamentals-steady-despite-seasonal-dip-pt2faq5f"/>
        <s v="https://finance.yahoo.com/news/betterhomes-dubai-welcome-nearly-10-083400291.html"/>
        <s v="https://economymiddleeast.com/news/dubais-branded-residences-command-40-percent-price-premium-as-appeal-to-migrating-millionaires-drives-demand/"/>
        <s v="https://www.khaleejtimes.com/business/property/dubai-soaring-rents-property-prices-residents-cost-of-living"/>
        <s v="https://www.khaleejtimes.com/uae/dubai-silicon-oasis-road-capacity-raised"/>
        <s v="https://gulfbusiness.com/dubai-rentals-that-are-worth-heres-where-to-look/"/>
        <s v="https://www.khaleejtimes.com/business/property/dubai-islands-emerging-as-dubais-next-waterfront-investment-hub"/>
        <s v="https://www.zawya.com/en/press-release/companies-news/dubai-islands-records-aed-61bln-in-sales-in-h1-2025-pt9045cz"/>
        <s v="https://www.constructionweekonline.com/analysis/dubai-islands-records-1-7bn-in-sales-in-h1-2025"/>
        <s v="https://gulfnews.com/business/property/dubai-islands-turn-next-big-waterfront-investment-1.500299548"/>
        <s v="https://www.arabianbusiness.com/industries/real-estate/dubai-islands-hits-1-6bn-in-h1-sales-as-investors-flock-to-new-waterfront-hub"/>
        <s v="https://www.rismedia.com/2025/10/15/leadingre-hosts-annual-global-symposium-uniting-real-estate-professionals-from-31-countries/"/>
        <s v="https://alhurra.com/en/5657"/>
        <s v="https://www.arabianbusiness.com/industries/real-estate/dubai-property-market-hits-37-7bn"/>
        <s v="https://www.zawya.com/en/press-release/research-and-studies/dubai-real-estate-holds-firm-in-q3-2025-driven-by-strong-apartment-sales-and-record-prices-qdi9dc2d"/>
        <s v="https://www.khaleejtimes.com/business/property/dubais-property-market-enters-a-phase-of-selective-growth"/>
        <s v="https://www.google.com/url?rct=j&amp;sa=t&amp;url=https://economymiddleeast.com/news/dubai-real-estate-apartment-sales-soar-to-record-25-32-billion-in-q3-2025-as-prices-nearly-double-from-2020/&amp;ct=ga&amp;cd=CAEYASoTNDMyNjk0NDk2OTM4NjY1NDk2MzIaZjEwY2EzOWY3Y2Y0YjM2Yzpj"/>
        <s v="http://google.com/url?rct=j&amp;sa=t&amp;url=https://markets.financialcontent.com/wral/article/marketersmedia-2025-10-22-dubai-real-estate-holds-firm-in-q3-2025-driven-by-strong-apartment-sales-and-record-prices&amp;ct=ga&amp;cd=CAEYACoTNDMyNjk0NDk2OTM4NjY1NDk2MzIaZjEwY2"/>
        <s v="https://timesofindia.indiatimes.com/world/middle-east/explained-why-dubais-real-estate-prices-are-surging-what-it-means-for-investors-renters-and-the-citys-future/articleshow/124801105.cms"/>
        <s v="https://gulfnews.com/business/property/dubai-rents-stable-as-new-tenants-get-more-options-buyers-eye-flats-in-uae-1.500319021"/>
        <s v="https://www.manilatimes.net/2025/10/22/tmt-newswire/plentisoft/dubai-real-estate-holds-firm-in-q3-2025-driven-by-strong-apartment-sales-and-record-prices/2206588"/>
        <s v="https://www.zawya.com/en/press-release/companies-news/betterhomes-and-panchshil-realty-have-announced-an-exclusive-partnership-marking-panchshils-landmark-debut-in-dubai-bawsxgrn"/>
        <s v="Dubai's off-plan market hits record highs; apartment sales up 35% - Arabian Business"/>
        <s v="https://markets.businessinsider.com/news/stocks/dubai-real-estate-holds-firm-in-q3-2025-driven-by-strong-apartment-sales-and-record-prices-1035412706"/>
        <s v="https://www.builtenvironmentme.com/dubai-s-off-plan-market-hits-record-highs-as-apartment-sales-surge-35-in-q3-2025"/>
        <s v="https://www.barchart.com/story/news/35610078/dubai-real-estate-holds-firm-in-q3-2025-driven-by-strong-apartment-sales-and-record-prices#:~:text=Immersed%20isn't%20just%20an,the%20period%20of%20October%202025."/>
        <s v="https://arqam.news/503066/"/>
        <s v="https://nabd-alhadath.com/archives/122413"/>
        <s v="https://egyeconomy.com/en/28/10/2025/67432/"/>
        <s v="https://www.zawya.com/en/press-release/research-and-studies/dubais-commercial-property-market-surges-to-aed-3038bln-in-q3-2025-marking-a-31-increase-j8lchl9c"/>
        <s v="https://www.khaleejtimes.com/business/property/dubais-commercial-property-boom-accelerates-as-office-demand-hits-new-highs"/>
        <s v="https://economymiddleeast.com/news/dubai-commercial-property-market-surges-8-27-billion-amid-strong-office-market-demand/"/>
        <s v="https://www.zawya.com/en/press-release/companies-news/dubais-luxury-real-estate-market-enters-a-stable-mature-cycle-p5hciymz"/>
        <s v="https://economymiddleeast.com/news/dubai-luxury-real-estate-market-transitions-to-healthy-stabilization/"/>
        <s v="https://www.arabianbusiness.com/industries/real-estate/dubai-real-estate-4-1m-luxury-homes-drive-737-sales-in-q3-as-wealthy-eye-palm-jumeirah-and-dubai-hills"/>
        <s v="https://www.onearabia.me/lifestyle/dubais-luxury-real-estate-market-enters-stable-mature-cycle-011-129371.html"/>
        <s v="https://www.openpr.com/news/4258092/dubai-real-estate-introduces-a-smarter-way-to-explore-homes"/>
        <s v="Dubai's Top 50 Homes returns for its third year"/>
        <s v="https://www.tradearabia.com/News/330251/Dubai%E2%80%99s-Top-50-Homes-competition-returns/CONS"/>
        <s v="https://markets.financialcontent.com/wral/article/getnews-2025-11-6-dubai-realestate-introduces-a-smarter-way-to-explore-homes-and-investments-across-the-uae"/>
        <s v="https://arabianmarketer.ae/dubais-top-50-homes-returns-for-its-third-year/"/>
        <s v="google.com/url?rct=j&amp;sa=t&amp;url=https://www.tradearabia.com/News/330452/Dubai-property-market-holds-steady%252C-sales-value-climbs-4.2-Percent-in-October/CONS&amp;ct=ga&amp;cd=CAAYADIaZjEwY2EzOWY3Y2Y0YjM2Yzpjb206ZW46VVM&amp;usg=AOvVaw2tlcvoGrcpSt8ye0zPlYNi"/>
        <s v="google.com/url?rct=j&amp;sa=t&amp;url=https://www.arabianbusiness.com/industries/real-estate/dubai-real-estate-stable-as-sales-hit-12-65bn-and-leasing-demand-holds-firm&amp;ct=ga&amp;cd=CAAYADIaZjEwY2EzOWY3Y2Y0YjM2Yzpjb206ZW46VVM&amp;usg=AOvVaw3K3WEcmq9p0_e2O5u8MNhk"/>
        <s v="google.com/url?rct=j&amp;sa=t&amp;url=https://menafn.com/1110352196/Dubai-Property-Market-Holds-Steady-As-Sales-Value-Climbs-42-Mom-And-Leasing-Demand-Remains-Resilient-In-October&amp;ct=ga&amp;cd=CAEYACoTMjg2MTg1NjYxNzczNjUwNzYxMTIaZjEwY2EzOWY3Y2Y0YjM2Yzpjb206ZW46VVM&amp;us"/>
        <s v="https://www.tradingview.com/news/reuters.com,2025-11-14:newsml_Zaw81dTpy:0-sng-dubai-property-market-holds-steady-sales-value-climbs-4-2-in-october/"/>
        <s v="https://www.zawya.com/en/business/real-estate/dubai-property-market-holds-steady-sales-value-climbs-42-in-october-he85fv1o"/>
        <s v="https://www.khaleejtimes.com/business/property/dubai-rent-hike-pushes-tenants-buy-homes"/>
        <s v="https://www.arabianbusiness.com/industries/real-estate/dubai-rental-pressures-push-tenants-toward-ownership-as-55-plan-to-buy"/>
        <s v="https://www.zawya.com/en/press-release/research-and-studies/dubais-tenant-mindset-flips-betterhomes-reports-55-now-plan-purchases-within-13-years-hjhyh3gp"/>
        <s v="https://www.msn.com/en-ae/money/news/from-renters-to-buyers-dubai-rent-hike-pushes-tenants-to-buy-homes/ar-AA1R7UK8?ocid=finance-verthp-feeds"/>
        <s v="https://economymiddleeast.com/news/dubai-tenants-shift-to-homeownership-amid-rising-rents-and-long-term-residency-with-55-percent-planning-purchases/"/>
        <s v="https://www.constructionweekonline.com/business/insights/tenants-property-ownership"/>
        <s v="https://www.arabianbusiness.com/industries/real-estate/dubai-property-delivers-stronger-returns-than-global-markets-new-report-shows"/>
        <s v="https://www.zawya.com/en/press-release/research-and-studies/44-of-property-investors-say-their-dubai-investments-outperform-their-overseas-portfolios-according-to-betterhomes-future-living-report-2025-ua3a5qoo"/>
        <s v="https://www.khaleejtimes.com/business/property/dubai-rents-stabilise-new-apartment-supply-tenants-benefit"/>
        <s v="https://www.msn.com/en-ae/money/news/44-of-property-investors-say-their-dubai-investments-outperform-their-overseas-portfolios/ar-AA1RDJH8"/>
        <s v="https://www.khaleejtimes.com/business/property/44-of-property-investors-say-their-dubai-investments-outperform-their-overseas-portfolios"/>
        <s v="https://www.thefinance360.com/dubai-property-investments-outshine-global-markets-report-2025/"/>
        <s v="https://menafn.com/1110463371/Best-Real-Estate-Agents-In-Dubai-For-Spotting-The-Next-Investment-Hotspots"/>
        <s v="https://www.arabianbusiness.com/industries/real-estate/dubai-property-prices-jump-2-5-in-november-as-buyer-confidence-grows"/>
        <s v="https://www.khaleejtimes.com/business/off-plan-sales-dominate-as-dubai-realty-charges-into-2026?fbclid=IwZXh0bgNhZW0CMTEAc3J0YwZhcHBfaWQMMjU2MjgxMDQwNTU4AAEeeBBRrzz0vi7yyXC-zpwU28XYa8hBn_LiM6j6Wcc1kQJVdLFsY4bL0JYJtfY_aem_4avZfyHI8ONdK5nm-dZlCQ"/>
        <s v="https://www.khaleejtimes.com/business/property/dubai-luxury-property-demand-ultra-rich"/>
        <s v="https://www.arabianbusiness.com/industries/real-estate/dubai-villa-owners-are-sitting-on-a-goldmine-as-property-market-enters-2026-expert"/>
        <s v="REVEALED: Dubai real estate market trends in 2026, according to experts"/>
        <s v="Nearly 60% of Residents Choose to Make Dubai Home as Average Tenure Rises to a Decade"/>
        <s v="Dubai residents put down roots as average tenure surges to over a decade - Khaleej Times"/>
        <s v="Dubai residents put down roots as tenure surges - PressReader"/>
        <m/>
        <s v="https://www.khaleejtimes.com/business/property/dubai-rents-increase-6-2026-population-growth"/>
        <s v="https://www.instagram.com/p/DSaErXhDY25/"/>
      </sharedItems>
    </cacheField>
    <cacheField name="link2" numFmtId="0">
      <sharedItems containsBlank="1">
        <e v="#REF!"/>
        <m/>
        <s v="ARTICLELINK"/>
      </sharedItems>
    </cacheField>
    <cacheField name="Brand" numFmtId="0">
      <sharedItems containsBlank="1">
        <s v="Betterhomes"/>
        <s v="Betterhomes/Cencorp"/>
        <s v="Betterhomes/CRC"/>
        <m/>
        <s v="Cencorp/Betterhomes"/>
        <s v="Betterhomes/Lomond"/>
        <s v="Betterhomes PMGT"/>
        <s v="CRC"/>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D15" firstHeaderRow="0" firstDataRow="2" firstDataCol="0"/>
  <pivotFields>
    <pivotField name="Month" axis="axisRow" compact="0" numFmtId="165" outline="0" multipleItemSelectionAllowed="1" showAll="0" sortType="ascending">
      <items>
        <item x="12"/>
        <item x="3"/>
        <item x="7"/>
        <item x="11"/>
        <item x="1"/>
        <item x="0"/>
        <item x="6"/>
        <item x="5"/>
        <item x="2"/>
        <item x="4"/>
        <item x="10"/>
        <item x="9"/>
        <item x="8"/>
        <item t="default"/>
      </items>
    </pivotField>
    <pivotField nam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Media Tier" compact="0" outline="0" multipleItemSelectionAllowed="1" showAll="0">
      <items>
        <item x="0"/>
        <item x="1"/>
        <item x="2"/>
        <item x="3"/>
        <item x="4"/>
        <item x="5"/>
        <item t="default"/>
      </items>
    </pivotField>
    <pivotField name="Medi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ost" dataField="1" compact="0" numFmtId="164" outline="0" multipleItemSelectionAllowed="1" showAll="0">
      <items>
        <item x="0"/>
        <item x="1"/>
        <item x="2"/>
        <item x="3"/>
        <item x="4"/>
        <item x="5"/>
        <item x="6"/>
        <item x="7"/>
        <item x="8"/>
        <item x="9"/>
        <item x="10"/>
        <item x="11"/>
        <item x="12"/>
        <item t="default"/>
      </items>
    </pivotField>
    <pivotField name="Reach" dataField="1" compact="0" numFmtId="3" outline="0" multipleItemSelectionAllowed="1" showAll="0">
      <items>
        <item x="0"/>
        <item x="1"/>
        <item x="2"/>
        <item x="3"/>
        <item x="4"/>
        <item x="5"/>
        <item x="6"/>
        <item x="7"/>
        <item x="8"/>
        <item x="9"/>
        <item x="10"/>
        <item x="11"/>
        <item x="12"/>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ink2" compact="0" outline="0" multipleItemSelectionAllowed="1" showAll="0">
      <items>
        <item x="0"/>
        <item x="1"/>
        <item x="2"/>
        <item t="default"/>
      </items>
    </pivotField>
    <pivotField name="Brand" compact="0" outline="0" multipleItemSelectionAllowed="1" showAll="0">
      <items>
        <item x="0"/>
        <item x="1"/>
        <item x="2"/>
        <item x="3"/>
        <item x="4"/>
        <item x="5"/>
        <item x="6"/>
        <item x="7"/>
        <item t="default"/>
      </items>
    </pivotField>
  </pivotFields>
  <rowFields>
    <field x="0"/>
  </rowFields>
  <colFields>
    <field x="-2"/>
  </colFields>
  <dataFields>
    <dataField name="COUNTA of Media" fld="3" subtotal="count" baseField="0"/>
    <dataField name="SUM of Cost" fld="4" baseField="0"/>
    <dataField name="SUM of Reach"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url?rct=j&amp;sa=t&amp;url=https://www.gdnonline.com/Details/1378388&amp;ct=ga&amp;cd=CAEYACoTOTAwOTM1MTI4ODU0NDM3MDQ1NDIaZjEwY2EzOWY3Y2Y0YjM2Yzpjb206ZW46VVM&amp;usg=AOvVaw11-vo_bUsyAQP7M2AzCuCn" TargetMode="External"/><Relationship Id="rId42" Type="http://schemas.openxmlformats.org/officeDocument/2006/relationships/hyperlink" Target="https://www.google.com/url?rct=j&amp;sa=t&amp;url=https://www.khaleejtimes.com/business/property/dubai-property-market-steady-buyers-cautious&amp;ct=ga&amp;cd=CAEYASoTOTAwOTM1MTI4ODU0NDM3MDQ1NDIaZjEwY2EzOWY3Y2Y0YjM2Yzpjb206ZW46VVM&amp;usg=AOvVaw0p77r9iYUJiCPCJ6v2SSEy" TargetMode="External"/><Relationship Id="rId41" Type="http://schemas.openxmlformats.org/officeDocument/2006/relationships/hyperlink" Target="https://www.google.com/url?rct=j&amp;sa=t&amp;url=https://www.gdnonline.com/Details/1378388&amp;ct=ga&amp;cd=CAEYACoTOTAwOTM1MTI4ODU0NDM3MDQ1NDIaZjEwY2EzOWY3Y2Y0YjM2Yzpjb206ZW46VVM&amp;usg=AOvVaw11-vo_bUsyAQP7M2AzCuCn" TargetMode="External"/><Relationship Id="rId44" Type="http://schemas.openxmlformats.org/officeDocument/2006/relationships/hyperlink" Target="https://www.google.com/url?rct=j&amp;sa=t&amp;url=https://www.msn.com/en-ae/money/news/dubai-rental-market-weathers-regional-tensions-with-flexible-payment-plans/ar-AA1YwFHn%3Focid%3Dfinance-verthp-feeds%26apiversion%3Dv2%26domshim%3D1%26noservercache%3D1%26noservertelemetry%3D1%26batchservertelemetry%3D1%26renderwebcomponents%3D1%26wcseo%3D1&amp;ct=ga&amp;cd=CAEYACoUMTM0NzM2ODAwNTMxMTc4MjQyOTkyGmYxMGNhMzlmN2NmNGIzNmM6Y29tOmVuOlVT&amp;usg=AOvVaw0-ZE5EQsa39uxLDGvIbDg9" TargetMode="External"/><Relationship Id="rId43" Type="http://schemas.openxmlformats.org/officeDocument/2006/relationships/hyperlink" Target="https://www.google.com/url?rct=j&amp;sa=t&amp;url=https://www.khaleejtimes.com/business/property/dubai-property-market-steady-buyers-cautious&amp;ct=ga&amp;cd=CAEYASoTOTAwOTM1MTI4ODU0NDM3MDQ1NDIaZjEwY2EzOWY3Y2Y0YjM2Yzpjb206ZW46VVM&amp;usg=AOvVaw0p77r9iYUJiCPCJ6v2SSEy" TargetMode="External"/><Relationship Id="rId46" Type="http://schemas.openxmlformats.org/officeDocument/2006/relationships/hyperlink" Target="https://www.google.com/url?rct=j&amp;sa=t&amp;url=https://www.khaleejtimes.com/business/property/dubai-rental-market-weathers-regional-tensions-with-flexible-payment-plans&amp;ct=ga&amp;cd=CAAYADIaZjEwY2EzOWY3Y2Y0YjM2Yzpjb206ZW46VVM&amp;usg=AOvVaw1R9aH7VIebtQBr8ByZ6KiK" TargetMode="External"/><Relationship Id="rId45" Type="http://schemas.openxmlformats.org/officeDocument/2006/relationships/hyperlink" Target="https://www.google.com/url?rct=j&amp;sa=t&amp;url=https://www.msn.com/en-ae/money/news/dubai-rental-market-weathers-regional-tensions-with-flexible-payment-plans/ar-AA1YwFHn%3Focid%3Dfinance-verthp-feeds%26apiversion%3Dv2%26domshim%3D1%26noservercache%3D1%26noservertelemetry%3D1%26batchservertelemetry%3D1%26renderwebcomponents%3D1%26wcseo%3D1&amp;ct=ga&amp;cd=CAEYACoUMTM0NzM2ODAwNTMxMTc4MjQyOTkyGmYxMGNhMzlmN2NmNGIzNmM6Y29tOmVuOlVT&amp;usg=AOvVaw0-ZE5EQsa39uxLDGvIbDg9" TargetMode="External"/><Relationship Id="rId107" Type="http://schemas.openxmlformats.org/officeDocument/2006/relationships/hyperlink" Target="https://www.instagram.com/p/DXoRnx3oMlB/?img_index=4&amp;hl=fr" TargetMode="External"/><Relationship Id="rId106" Type="http://schemas.openxmlformats.org/officeDocument/2006/relationships/hyperlink" Target="https://economictimes.indiatimes.com/nri/dubai-real-estate-plotting-a-comeback-as-us-iran-war-hammers-its-hottest-property-market/articleshow/130672295.cms?from=mdr" TargetMode="External"/><Relationship Id="rId105" Type="http://schemas.openxmlformats.org/officeDocument/2006/relationships/hyperlink" Target="https://www.khaleejtimes.com/supplements/no-pause-button-the-uaes-real-estate-machine?amp=1" TargetMode="External"/><Relationship Id="rId104" Type="http://schemas.openxmlformats.org/officeDocument/2006/relationships/hyperlink" Target="https://www.tradingview.com/news/reuters.com,2026-04-23:newsml_Zaw9l1kxN:0-zawya-rently-tackling-the-challenges-of-modern-rentals/" TargetMode="External"/><Relationship Id="rId109" Type="http://schemas.openxmlformats.org/officeDocument/2006/relationships/hyperlink" Target="https://www.gdnonline.com/Details/1393610/betterhomes-announces-exclusive-launch-of-93-storey-Dubai-tower" TargetMode="External"/><Relationship Id="rId108" Type="http://schemas.openxmlformats.org/officeDocument/2006/relationships/hyperlink" Target="https://onevillenews.com/2026/05/04/betterhomes-exclusively-launches-city-tower-redefining-long-term-leasing-in-central-dubai/" TargetMode="External"/><Relationship Id="rId48" Type="http://schemas.openxmlformats.org/officeDocument/2006/relationships/hyperlink" Target="https://www.google.com/url?rct=j&amp;sa=t&amp;url=https://mid-east.info/dubai-property-market-continues-to-move-despite-quieter-conditions-says-betterhomes/&amp;ct=ga&amp;cd=CAAYATIaZjEwY2EzOWY3Y2Y0YjM2Yzpjb206ZW46VVM&amp;usg=AOvVaw094RBEIpApjF-zoJu9sYod" TargetMode="External"/><Relationship Id="rId47" Type="http://schemas.openxmlformats.org/officeDocument/2006/relationships/hyperlink" Target="https://www.google.com/url?rct=j&amp;sa=t&amp;url=https://www.khaleejtimes.com/business/property/dubai-rental-market-weathers-regional-tensions-with-flexible-payment-plans&amp;ct=ga&amp;cd=CAAYADIaZjEwY2EzOWY3Y2Y0YjM2Yzpjb206ZW46VVM&amp;usg=AOvVaw1R9aH7VIebtQBr8ByZ6KiK" TargetMode="External"/><Relationship Id="rId49" Type="http://schemas.openxmlformats.org/officeDocument/2006/relationships/hyperlink" Target="https://www.google.com/url?rct=j&amp;sa=t&amp;url=https://mid-east.info/dubai-property-market-continues-to-move-despite-quieter-conditions-says-betterhomes/&amp;ct=ga&amp;cd=CAAYATIaZjEwY2EzOWY3Y2Y0YjM2Yzpjb206ZW46VVM&amp;usg=AOvVaw094RBEIpApjF-zoJu9sYod" TargetMode="External"/><Relationship Id="rId103" Type="http://schemas.openxmlformats.org/officeDocument/2006/relationships/hyperlink" Target="https://menafn.com/1111021770/Betterhomes-DIFCs-AI-Native-Expansion-Reinforces-Long-Term-Appeal-Of-Central-Dubai-Living" TargetMode="External"/><Relationship Id="rId102" Type="http://schemas.openxmlformats.org/officeDocument/2006/relationships/hyperlink" Target="https://realty.economictimes.indiatimes.com/news/international/dubai-home-prices-decline-post-pandemic-boom-faces-geopolitical-challenges/130482529" TargetMode="External"/><Relationship Id="rId101" Type="http://schemas.openxmlformats.org/officeDocument/2006/relationships/hyperlink" Target="http://realty.com/" TargetMode="External"/><Relationship Id="rId100" Type="http://schemas.openxmlformats.org/officeDocument/2006/relationships/hyperlink" Target="https://www.business-standard.com/finance/personal-finance/after-70-surge-dubai-housing-sees-first-price-drop-since-the-pandemic-126042400181_1.html" TargetMode="External"/><Relationship Id="rId31" Type="http://schemas.openxmlformats.org/officeDocument/2006/relationships/hyperlink" Target="https://onevillenews.com/2026/02/23/blue-square-development-a-trusted-regional-partner-bringing-decades-of-expertise-to-dubais-residential-landscape/" TargetMode="External"/><Relationship Id="rId30" Type="http://schemas.openxmlformats.org/officeDocument/2006/relationships/hyperlink" Target="https://www.arabianbusiness.com/real-estate/dubai-property-sales-hit-10-6bn-during-ramadan-2025-as-betterhomes-forecasts-up-12-growth-in-2026" TargetMode="External"/><Relationship Id="rId33" Type="http://schemas.openxmlformats.org/officeDocument/2006/relationships/hyperlink" Target="https://www.khaleejtimes.com/business/dubai-real-estate-activity-to-rise-812-during-ramadan-2026" TargetMode="External"/><Relationship Id="rId32" Type="http://schemas.openxmlformats.org/officeDocument/2006/relationships/hyperlink" Target="https://www.arabianbusiness.com/real-estate/dubai-property-sales-hit-10-6bn-during-ramadan-2025-as-betterhomes-forecasts-up-12-growth-in-2026" TargetMode="External"/><Relationship Id="rId35" Type="http://schemas.openxmlformats.org/officeDocument/2006/relationships/hyperlink" Target="https://www.arabianbusiness.com/real-estate/dubai-property-market-active" TargetMode="External"/><Relationship Id="rId34" Type="http://schemas.openxmlformats.org/officeDocument/2006/relationships/hyperlink" Target="https://www.reuters.com/world/middle-east/uaes-property-sector-faces-reckoning-after-iran-strikes-2026-03-05/" TargetMode="External"/><Relationship Id="rId37" Type="http://schemas.openxmlformats.org/officeDocument/2006/relationships/hyperlink" Target="https://www.google.com/url?rct=j&amp;sa=t&amp;url=https://menafn.com/1110839593/Dubai-Property-Market-Continues-To-Move-Despite-Quieter-Conditions-Says-Betterhomes&amp;ct=ga&amp;cd=CAEYAioTOTczOTU5NDcwMDI3NTcwNjI4MjIaZmFiNDI5MmEwNTc1NWFmNjpjb206ZW46VVM&amp;usg=AOvVaw1y7JbF0dvTV0k3Z2HM-VQm" TargetMode="External"/><Relationship Id="rId36" Type="http://schemas.openxmlformats.org/officeDocument/2006/relationships/hyperlink" Target="https://www.google.com/url?rct=j&amp;sa=t&amp;url=https://menafn.com/1110839593/Dubai-Property-Market-Continues-To-Move-Despite-Quieter-Conditions-Says-Betterhomes&amp;ct=ga&amp;cd=CAEYAioTOTczOTU5NDcwMDI3NTcwNjI4MjIaZmFiNDI5MmEwNTc1NWFmNjpjb206ZW46VVM&amp;usg=AOvVaw1y7JbF0dvTV0k3Z2HM-VQm" TargetMode="External"/><Relationship Id="rId39" Type="http://schemas.openxmlformats.org/officeDocument/2006/relationships/hyperlink" Target="https://www.google.com/url?rct=j&amp;sa=t&amp;url=https://www.thenationalnews.com/business/property/2026/03/10/dubai-property-market-activity-continues-despite-regional-war/&amp;ct=ga&amp;cd=CAEYACoTOTczOTU5NDcwMDI3NTcwNjI4MjIaZmFiNDI5MmEwNTc1NWFmNjpjb206ZW46VVM&amp;usg=AOvVaw3JqOVOEA2C3eul8X_FEzbt" TargetMode="External"/><Relationship Id="rId38" Type="http://schemas.openxmlformats.org/officeDocument/2006/relationships/hyperlink" Target="https://www.google.com/url?rct=j&amp;sa=t&amp;url=https://www.thenationalnews.com/business/property/2026/03/10/dubai-property-market-activity-continues-despite-regional-war/&amp;ct=ga&amp;cd=CAEYACoTOTczOTU5NDcwMDI3NTcwNjI4MjIaZmFiNDI5MmEwNTc1NWFmNjpjb206ZW46VVM&amp;usg=AOvVaw3JqOVOEA2C3eul8X_FEzbt" TargetMode="External"/><Relationship Id="rId20" Type="http://schemas.openxmlformats.org/officeDocument/2006/relationships/hyperlink" Target="https://www.constructionweekonline.com/analysis/dubai-off-plan-sales-2025" TargetMode="External"/><Relationship Id="rId22" Type="http://schemas.openxmlformats.org/officeDocument/2006/relationships/hyperlink" Target="https://www.moneycontrol.com/news/business/personal-finance/why-indian-investors-are-increasingly-buying-property-in-dubai-13774469.html" TargetMode="External"/><Relationship Id="rId21" Type="http://schemas.openxmlformats.org/officeDocument/2006/relationships/hyperlink" Target="https://www.google.com/url?rct=j&amp;sa=t&amp;url=https://www.tradearabia.com/News/388791/Dubai-off-plan-sales-hit-130%252C000-homes%253B-value-touches-%252477.88bn&amp;ct=ga&amp;cd=CAEYACoTOTA0MzYyMjM4OTEwNTk4MjEzMDIaZjEwY2EzOWY3Y2Y0YjM2Yzpjb206ZW46VVM&amp;usg=AOvVaw3qQfYzMqzg61gG_g9--1g7" TargetMode="External"/><Relationship Id="rId24" Type="http://schemas.openxmlformats.org/officeDocument/2006/relationships/hyperlink" Target="https://www.arabianbusiness.com/industries/real-estate/dubai-residential-sales-hit-aed55-2bn-in-january-as-transactions-rise" TargetMode="External"/><Relationship Id="rId23" Type="http://schemas.openxmlformats.org/officeDocument/2006/relationships/hyperlink" Target="https://www.constructionweekonline.com/analysis/dubai-january-property-sales" TargetMode="External"/><Relationship Id="rId129" Type="http://schemas.openxmlformats.org/officeDocument/2006/relationships/hyperlink" Target="https://www.agbi.com/analysis/real-estate/2026/06/the-bubbles-of-dubai-real-estate-and-where-they-are/" TargetMode="External"/><Relationship Id="rId128" Type="http://schemas.openxmlformats.org/officeDocument/2006/relationships/hyperlink" Target="https://www.arabianbusiness.com/real-estate/dubai-real-estate-agencies-disappear" TargetMode="External"/><Relationship Id="rId127" Type="http://schemas.openxmlformats.org/officeDocument/2006/relationships/hyperlink" Target="https://www.khaleejtimes.com/business/property/dubai-realty-regains-momentum-as-buyers-tenants-return" TargetMode="External"/><Relationship Id="rId126" Type="http://schemas.openxmlformats.org/officeDocument/2006/relationships/hyperlink" Target="https://www.arabianbusiness.com/real-estate/dubai-property-market-shows-early-signs-of-recovery-rental-demand-rebounds-40-in-april" TargetMode="External"/><Relationship Id="rId26" Type="http://schemas.openxmlformats.org/officeDocument/2006/relationships/hyperlink" Target="https://www.google.com/url?rct=j&amp;sa=t&amp;url=https://www.arabianbusiness.com/industries/real-estate/abu-dhabi-property-market-hits-3-27bn-in-january-sales-as-off-plan-dominates-83-per-cent-of-deals&amp;ct=ga&amp;cd=CAEYACoTNTE2OTAyNTYwOTc5OTY2Nzg2NTIaZjEwY2EzOWY3Y2Y0YjM2Yzpjb206ZW46VVM&amp;usg=AOvVaw0LDD1SJlC1tfxqzcGjRjgF" TargetMode="External"/><Relationship Id="rId121" Type="http://schemas.openxmlformats.org/officeDocument/2006/relationships/hyperlink" Target="https://www.zawya.com/en/press-release/companies-news/prime-by-betterhomes-unveils-the-winners-of-dubais-top-50-homes-third-edition-me3mnk56" TargetMode="External"/><Relationship Id="rId25" Type="http://schemas.openxmlformats.org/officeDocument/2006/relationships/hyperlink" Target="https://www.zawya.com/en/business/real-estate/abu-dhabi-property-market-records-32bln-in-january-sales-al6tthmh" TargetMode="External"/><Relationship Id="rId120" Type="http://schemas.openxmlformats.org/officeDocument/2006/relationships/hyperlink" Target="https://www.msn.com/en-in/money/markets/dubai-plotting-a-comeback-as-iran-war-hammers-its-hottest-market/ar-AA229qDh?gemSnapshotKey=GM5CF2AC1C-snapshot-1&amp;uxmode=ruby" TargetMode="External"/><Relationship Id="rId28" Type="http://schemas.openxmlformats.org/officeDocument/2006/relationships/hyperlink" Target="https://www.tradingview.com/news/reuters.com,2026-02-10:newsml_ZawPnl2M:0-zawya-pressr-ellington-properties-unveils-the-meriva-collection-a-hospitality-led-beachfront-destination-on-dubai-islands/" TargetMode="External"/><Relationship Id="rId27" Type="http://schemas.openxmlformats.org/officeDocument/2006/relationships/hyperlink" Target="https://www.constructionweekonline.com/projects-tenders/ellington-properties-the-meriva" TargetMode="External"/><Relationship Id="rId125" Type="http://schemas.openxmlformats.org/officeDocument/2006/relationships/hyperlink" Target="https://www.msn.com/en-ae/money/news/deyaar-posts-dh447-1-million-revenue-despite-hospitality-downturn/ar-AA230fWw" TargetMode="External"/><Relationship Id="rId29" Type="http://schemas.openxmlformats.org/officeDocument/2006/relationships/hyperlink" Target="https://www.google.com/url?rct=j&amp;sa=t&amp;url=https://www.constructionweekonline.com/news/abu-dhabi-market-2026-3-2bn-sales&amp;ct=ga&amp;cd=CAEYACoUMTcyMTg2NzE3NDA0NTQ5MzEwNzIyGmYxMGNhMzlmN2NmNGIzNmM6Y29tOmVuOlVT&amp;usg=AOvVaw3GnjL4LNws3O1CuLyaCbH0" TargetMode="External"/><Relationship Id="rId124" Type="http://schemas.openxmlformats.org/officeDocument/2006/relationships/hyperlink" Target="https://www.khaleejtimes.com/business/property/deyaar-posts-dh4471-million-in-revenue-despite-downturn-in-hospitality" TargetMode="External"/><Relationship Id="rId123" Type="http://schemas.openxmlformats.org/officeDocument/2006/relationships/hyperlink" Target="https://gulfnews.com/business/property/uae-property-buyers-stay-in-the-market-despite-regional-tensions-1.500531056" TargetMode="External"/><Relationship Id="rId122" Type="http://schemas.openxmlformats.org/officeDocument/2006/relationships/hyperlink" Target="https://www.khaleejtimes.com/business/property/dubai-property-market-stabilises-despite-regional-tensions?amp=1" TargetMode="External"/><Relationship Id="rId95" Type="http://schemas.openxmlformats.org/officeDocument/2006/relationships/hyperlink" Target="https://world.infonasional.com/dubai-property-prices-fall-regional-conflict" TargetMode="External"/><Relationship Id="rId94" Type="http://schemas.openxmlformats.org/officeDocument/2006/relationships/hyperlink" Target="https://arqam.news/557688/" TargetMode="External"/><Relationship Id="rId97" Type="http://schemas.openxmlformats.org/officeDocument/2006/relationships/hyperlink" Target="https://www.businesstimes.com.sg/international/dubai-home-prices-drop-first-time-post-pandemic-boom" TargetMode="External"/><Relationship Id="rId96" Type="http://schemas.openxmlformats.org/officeDocument/2006/relationships/hyperlink" Target="https://www.msn.com/en-in/money/topstories/dubai-home-prices-record-first-decline-after-post-pandemic-boom/ar-AA21x7ld?apiversion=v2&amp;domshim=1&amp;noservercache=1&amp;noservertelemetry=1&amp;batchservertelemetry=1&amp;renderwebcomponents=1&amp;wcseo=1&amp;bundles=feat-es2020-c" TargetMode="External"/><Relationship Id="rId11" Type="http://schemas.openxmlformats.org/officeDocument/2006/relationships/hyperlink" Target="https://www.google.com/url?rct=j&amp;sa=t&amp;url=https://www.constructionweekonline.com/news/dubai-property-market-2026-where-are-smart-investors-looking-next&amp;ct=ga&amp;cd=CAEYACoTODA4NTUxNjk1MzE5NTQzMjEwMDIaZjEwY2EzOWY3Y2Y0YjM2Yzpjb206ZW46VVM&amp;usg=AOvVaw3J_IfB9rSfN9ARPH46JdLh" TargetMode="External"/><Relationship Id="rId99" Type="http://schemas.openxmlformats.org/officeDocument/2006/relationships/hyperlink" Target="https://www.businesstoday.in/personal-finance/real-estate/story/dubai-home-prices-fall-for-first-time-since-the-pandemic-boom-report-527128-2026-04-24" TargetMode="External"/><Relationship Id="rId10" Type="http://schemas.openxmlformats.org/officeDocument/2006/relationships/hyperlink" Target="https://www.khaleejtimes.com/business/property/dubai-properties-buying-off-plan-2026" TargetMode="External"/><Relationship Id="rId98" Type="http://schemas.openxmlformats.org/officeDocument/2006/relationships/hyperlink" Target="https://newskarnataka.com/business/dubai-property-prices-fall-after-pandemic-boom/23042026" TargetMode="External"/><Relationship Id="rId13" Type="http://schemas.openxmlformats.org/officeDocument/2006/relationships/hyperlink" Target="https://www.constructionweekonline.com/analysis/dubai-property-market-2026" TargetMode="External"/><Relationship Id="rId12" Type="http://schemas.openxmlformats.org/officeDocument/2006/relationships/hyperlink" Target="https://www.google.com/url?rct=j&amp;sa=t&amp;url=https://www.constructionweekonline.com/news/dubai-property-market-2026-where-are-smart-investors-looking-next&amp;ct=ga&amp;cd=CAEYACoTODA4NTUxNjk1MzE5NTQzMjEwMDIaZjEwY2EzOWY3Y2Y0YjM2Yzpjb206ZW46VVM&amp;usg=AOvVaw3J_IfB9rSfN9ARPH46JdLh" TargetMode="External"/><Relationship Id="rId91" Type="http://schemas.openxmlformats.org/officeDocument/2006/relationships/hyperlink" Target="https://www.khaleejtimes.com/business/property/rents-in-dubai-landlords-pricing-units-correctly-are-able-to-let-as-market-softens" TargetMode="External"/><Relationship Id="rId90" Type="http://schemas.openxmlformats.org/officeDocument/2006/relationships/hyperlink" Target="https://www.thenationalnews.com/business/property/2026/04/19/dubai-rents-war-property/" TargetMode="External"/><Relationship Id="rId93" Type="http://schemas.openxmlformats.org/officeDocument/2006/relationships/hyperlink" Target="https://www.bloomberg.com/news/articles/2026-04-23/dubai-home-prices-post-first-declines-after-post-pandemic-boom?utm_source=website&amp;utm_medium=share&amp;utm_campaign=linkedin?sref=FLEECBjF" TargetMode="External"/><Relationship Id="rId92" Type="http://schemas.openxmlformats.org/officeDocument/2006/relationships/hyperlink" Target="https://economictimes.indiatimes.com/nri/invest/dubai-home-prices-record-first-decline-after-post-pandemic-boom/articleshow/130460937.cms?from=mdr" TargetMode="External"/><Relationship Id="rId118" Type="http://schemas.openxmlformats.org/officeDocument/2006/relationships/hyperlink" Target="https://www.tradearabia.com/News/462272/Dubai-property-market-'shows-signs-of-stabilisation'-" TargetMode="External"/><Relationship Id="rId117" Type="http://schemas.openxmlformats.org/officeDocument/2006/relationships/hyperlink" Target="https://intlbm.com/2026/05/07/jamal-living-to-launch-al-barsha-residential-in-dubai/" TargetMode="External"/><Relationship Id="rId116" Type="http://schemas.openxmlformats.org/officeDocument/2006/relationships/hyperlink" Target="https://www.tradearabia.com/News/462193/Jamal-Living-announces-new-Al-Barsha-residential-launch" TargetMode="External"/><Relationship Id="rId115" Type="http://schemas.openxmlformats.org/officeDocument/2006/relationships/hyperlink" Target="https://www.arabianbusiness.com/real-estate/dubai-real-estate-residential-transactions-records-37-9bn-in-q1-2026" TargetMode="External"/><Relationship Id="rId119" Type="http://schemas.openxmlformats.org/officeDocument/2006/relationships/hyperlink" Target="https://www.msn.com/en-ae/money/news/new-visa-rules-metro-gold-line-cushion-dubai-property-market-amid-regional-war/ar-AA22P2Sq?ocid=finance-verthp-feeds" TargetMode="External"/><Relationship Id="rId15" Type="http://schemas.openxmlformats.org/officeDocument/2006/relationships/hyperlink" Target="https://economictimes.indiatimes.com/nri/invest/indians-britons-top-dubai-property-buys-in-2025-as-rupee-falls/articleshow/127730830.cms?from=mdr&amp;utm_source=contentofinterest&amp;utm_medium=text&amp;utm_campaign=cppstt" TargetMode="External"/><Relationship Id="rId110" Type="http://schemas.openxmlformats.org/officeDocument/2006/relationships/hyperlink" Target="https://www.zawya.com/en/press-release/companies-news/betterhomes-exclusively-launches-city-tower-redefining-long-term-leasing-in-central-dubai-tnioca7e" TargetMode="External"/><Relationship Id="rId14" Type="http://schemas.openxmlformats.org/officeDocument/2006/relationships/hyperlink" Target="https://www.constructionweekonline.com/people/appointments/betterhomes-alex-leigh" TargetMode="External"/><Relationship Id="rId17" Type="http://schemas.openxmlformats.org/officeDocument/2006/relationships/hyperlink" Target="https://www.google.com/url?rct=j&amp;sa=t&amp;url=https://www.khaleejtimes.com/business/property/dubai-rents-hold-steady-as-families-reshape-demand-in-recordsetting-2025&amp;ct=ga&amp;cd=CAEYACoTMjU3Mjc5NTA0ODA4MTI2NzY1NDIaZjEwY2EzOWY3Y2Y0YjM2Yzpjb206ZW46VVM&amp;usg=AOvVaw1tOzLh2GUeE8Xekd7uEUGO" TargetMode="External"/><Relationship Id="rId16" Type="http://schemas.openxmlformats.org/officeDocument/2006/relationships/hyperlink" Target="https://www.tradingview.com/news/reuters.com,2026-01-29:newsml_Zaw4HPJHJ:0-zawya-pressr-dubai-rental-boom-defies-inflation-as-demand-surges-but-rents-stay-flat/" TargetMode="External"/><Relationship Id="rId19" Type="http://schemas.openxmlformats.org/officeDocument/2006/relationships/hyperlink" Target="https://www.arabianbusiness.com/industries/real-estate/dubai-off-plan-homes-dominate-property-market-with-record-65-of-transactions" TargetMode="External"/><Relationship Id="rId114" Type="http://schemas.openxmlformats.org/officeDocument/2006/relationships/hyperlink" Target="https://www.msn.com/en-ae/money/news/dubai-residential-transactions-hit-dh139-2-billion-in-q1/ar-AA22rd30?ocid=finance-verthp-feeds" TargetMode="External"/><Relationship Id="rId18" Type="http://schemas.openxmlformats.org/officeDocument/2006/relationships/hyperlink" Target="https://www.google.com/url?rct=j&amp;sa=t&amp;url=https://www.khaleejtimes.com/business/property/dubai-rents-hold-steady-as-families-reshape-demand-in-recordsetting-2025&amp;ct=ga&amp;cd=CAEYACoTMjU3Mjc5NTA0ODA4MTI2NzY1NDIaZjEwY2EzOWY3Y2Y0YjM2Yzpjb206ZW46VVM&amp;usg=AOvVaw1tOzLh2GUeE8Xekd7uEUGO" TargetMode="External"/><Relationship Id="rId113" Type="http://schemas.openxmlformats.org/officeDocument/2006/relationships/hyperlink" Target="https://www.khaleejtimes.com/business/dubai-residential-transactions-hit-dh1392-billion-in-q1" TargetMode="External"/><Relationship Id="rId112" Type="http://schemas.openxmlformats.org/officeDocument/2006/relationships/hyperlink" Target="https://www.mepmiddleeast.com/news/betterhomes-announces-exclusive-launch-of-93-storey-dubai-tower" TargetMode="External"/><Relationship Id="rId111" Type="http://schemas.openxmlformats.org/officeDocument/2006/relationships/hyperlink" Target="https://www.tradearabia.com/News/462096/betterhomes-announces-exclusive-launch-of-93-storey-Dubai-tower" TargetMode="External"/><Relationship Id="rId84" Type="http://schemas.openxmlformats.org/officeDocument/2006/relationships/hyperlink" Target="https://www.zawya.com/en/business/real-estate/dubai-property-prices-may-soften-but-segment-variation-likely-expert-w1thh8mh" TargetMode="External"/><Relationship Id="rId83" Type="http://schemas.openxmlformats.org/officeDocument/2006/relationships/hyperlink" Target="https://republica.com/inmobiliaria/betterhomes-el-mercado-inmobiliario-de-dubai-se-enfria-sin-caer-en-panico-20264712304" TargetMode="External"/><Relationship Id="rId86" Type="http://schemas.openxmlformats.org/officeDocument/2006/relationships/hyperlink" Target="https://www.gdnonline.com/Details/1381057/Dubai-property-prices-may-soften,-but-segment-variation-likely-expert" TargetMode="External"/><Relationship Id="rId85" Type="http://schemas.openxmlformats.org/officeDocument/2006/relationships/hyperlink" Target="https://www.khaleejtimes.com/business/property/dubai-property-prices-unlikely-to-soften-across-every-segment" TargetMode="External"/><Relationship Id="rId88" Type="http://schemas.openxmlformats.org/officeDocument/2006/relationships/hyperlink" Target="https://www.zawya.com/en/business/real-estate/dubai-commercial-property-market-sales-value-tops-10bln-in-q1-up-30-au8nk1vm" TargetMode="External"/><Relationship Id="rId87" Type="http://schemas.openxmlformats.org/officeDocument/2006/relationships/hyperlink" Target="https://arqam.news/555926/" TargetMode="External"/><Relationship Id="rId89" Type="http://schemas.openxmlformats.org/officeDocument/2006/relationships/hyperlink" Target="https://www.arabianbusiness.com/real-estate/dubai-rents-12-5-below-march-2025-levels-as-leasing-market-becomes-more-competitive" TargetMode="External"/><Relationship Id="rId80" Type="http://schemas.openxmlformats.org/officeDocument/2006/relationships/hyperlink" Target="https://www.khaleejtimes.com/business/property/dubai-real-estate-steadies-as-fundamentals-stay-strong" TargetMode="External"/><Relationship Id="rId82" Type="http://schemas.openxmlformats.org/officeDocument/2006/relationships/hyperlink" Target="http://republica.com/" TargetMode="External"/><Relationship Id="rId81" Type="http://schemas.openxmlformats.org/officeDocument/2006/relationships/hyperlink" Target="https://www.zawya.com/en/business/real-estate/dubais-off-plan-market-more-selective-now-but-long-term-confidence-remains-l1gcgfft" TargetMode="External"/><Relationship Id="rId1" Type="http://schemas.openxmlformats.org/officeDocument/2006/relationships/hyperlink" Target="https://www.khaleejtimes.com/uae/dubai-south-properties-dwc-expansion" TargetMode="External"/><Relationship Id="rId2" Type="http://schemas.openxmlformats.org/officeDocument/2006/relationships/hyperlink" Target="https://www.khaleejtimes.com/business/property/dubai-real-estate-outlook-2026-steady-demand-selective-cooling-and-a-techdriven-turn" TargetMode="External"/><Relationship Id="rId3" Type="http://schemas.openxmlformats.org/officeDocument/2006/relationships/hyperlink" Target="https://www.khaleejtimes.com/business/property/why-dubais-property-boom-is-built-to-last-for-a-long-time" TargetMode="External"/><Relationship Id="rId4" Type="http://schemas.openxmlformats.org/officeDocument/2006/relationships/hyperlink" Target="https://www.pressreader.com/uae/khaleej-times/20260112/281788520445913" TargetMode="External"/><Relationship Id="rId9" Type="http://schemas.openxmlformats.org/officeDocument/2006/relationships/hyperlink" Target="https://www.khaleejtimes.com/business/property/dubai-closes-2025-with-a-record-dh547b-property-market?amp=1" TargetMode="External"/><Relationship Id="rId5" Type="http://schemas.openxmlformats.org/officeDocument/2006/relationships/hyperlink" Target="https://www.constructionweekonline.com/business/insights/dubai-real-estate-2026-2" TargetMode="External"/><Relationship Id="rId6" Type="http://schemas.openxmlformats.org/officeDocument/2006/relationships/hyperlink" Target="https://www.google.com/url?rct=j&amp;sa=t&amp;url=https://www.zawya.com/en/press-release/research-and-studies/the-3rd-edition-of-dubais-top-50-homes-revealed-irq6xcwu&amp;ct=ga&amp;cd=CAAYATIaZjEwY2EzOWY3Y2Y0YjM2Yzpjb206ZW46VVM&amp;usg=AOvVaw2Ni1VAR-rR0GcX6UwqKOyb" TargetMode="External"/><Relationship Id="rId7" Type="http://schemas.openxmlformats.org/officeDocument/2006/relationships/hyperlink" Target="https://www.tradingview.com/news/reuters.com,2026-01-15:newsml_Zaw6LVJmF:0-zawya-sng-dubai-records-strongest-residential-year-in-2025-nets-149bln-in-sales/" TargetMode="External"/><Relationship Id="rId8" Type="http://schemas.openxmlformats.org/officeDocument/2006/relationships/hyperlink" Target="https://www.arabianbusiness.com/industries/real-estate/dubai-property-market-hits-record-149bn-in-2025-as-demand-and-prices-strengthen" TargetMode="External"/><Relationship Id="rId73" Type="http://schemas.openxmlformats.org/officeDocument/2006/relationships/hyperlink" Target="https://www.arabianbusiness.com/real-estate/dubai-off-plan-property-market-holds-steady-as-investors-eye-long-term-gains-transactions-hit-6-26bn" TargetMode="External"/><Relationship Id="rId72" Type="http://schemas.openxmlformats.org/officeDocument/2006/relationships/hyperlink" Target="https://www.khaleejtimes.com/business/property/dubai-property-buyers-take-a-more-measured-approach-as-market-holds-steady?amp=1" TargetMode="External"/><Relationship Id="rId75" Type="http://schemas.openxmlformats.org/officeDocument/2006/relationships/hyperlink" Target="https://www.msn.com/en-ae/money/news/dubai-rental-listings-rise-as-tenants-seek-better-pricing-and-flexibility/ar-AA1ZJItn?ocid=finance-verthp-feeds" TargetMode="External"/><Relationship Id="rId74" Type="http://schemas.openxmlformats.org/officeDocument/2006/relationships/hyperlink" Target="https://www.thenationalnews.com/business/property/2026/03/30/dubai-rental-listings-rise-as-tenants-seek-better-pricing-and-flexibility/" TargetMode="External"/><Relationship Id="rId77" Type="http://schemas.openxmlformats.org/officeDocument/2006/relationships/hyperlink" Target="https://www.msn.com/en-ae/money/news/dubai-s-commercial-property-prices-jump-28-in-march-despite-regional-conflict/ar-AA1ZZ8qy?ocid=finance-verthp-feeds" TargetMode="External"/><Relationship Id="rId76" Type="http://schemas.openxmlformats.org/officeDocument/2006/relationships/hyperlink" Target="https://www.gdnonline.com/Details/1379971/Dubai-leasing-market-adjusts-as-rental-listings-increase-report" TargetMode="External"/><Relationship Id="rId79" Type="http://schemas.openxmlformats.org/officeDocument/2006/relationships/hyperlink" Target="https://www.khaleejtimes.com/business/property/dubais-commercial-property-prices-jump-28-in-march-despite-regional-conflict" TargetMode="External"/><Relationship Id="rId78" Type="http://schemas.openxmlformats.org/officeDocument/2006/relationships/hyperlink" Target="https://www.khaleejtimes.com/business/property/dubai-rentals-steady-as-landlords-hold-firm-despite-tensions" TargetMode="External"/><Relationship Id="rId71" Type="http://schemas.openxmlformats.org/officeDocument/2006/relationships/hyperlink" Target="https://www.pressreader.com/uae/khaleej-times/20260324/281818585360450" TargetMode="External"/><Relationship Id="rId70" Type="http://schemas.openxmlformats.org/officeDocument/2006/relationships/hyperlink" Target="https://www.arabianbusiness.com/real-estate/dubai-property-enquiries-jump-38-as-buyers-take-measured-approach-despite-softer-market-activity" TargetMode="External"/><Relationship Id="rId130" Type="http://schemas.openxmlformats.org/officeDocument/2006/relationships/drawing" Target="../drawings/drawing2.xml"/><Relationship Id="rId62" Type="http://schemas.openxmlformats.org/officeDocument/2006/relationships/hyperlink" Target="https://www.google.com/url?rct=j&amp;sa=t&amp;url=https://realty.economictimes.indiatimes.com/news/international/uaes-property-sector-faces-reckoning-after-iran-strikes/129127529&amp;ct=ga&amp;cd=CAAYADIaZjEwY2EzOWY3Y2Y0YjM2Yzpjb206ZW46VVM&amp;usg=AOvVaw1DOEcn7Hfvvem6mvWo559K" TargetMode="External"/><Relationship Id="rId61" Type="http://schemas.openxmlformats.org/officeDocument/2006/relationships/hyperlink" Target="https://www.google.com/url?rct=j&amp;sa=t&amp;url=https://realty.economictimes.indiatimes.com/news/international/uaes-property-sector-faces-reckoning-after-iran-strikes/129127529&amp;ct=ga&amp;cd=CAAYADIaZjEwY2EzOWY3Y2Y0YjM2Yzpjb206ZW46VVM&amp;usg=AOvVaw1DOEcn7Hfvvem6mvWo559K" TargetMode="External"/><Relationship Id="rId64" Type="http://schemas.openxmlformats.org/officeDocument/2006/relationships/hyperlink" Target="https://www.google.com/url?rct=j&amp;sa=t&amp;url=https://www.dawn.com/news/1978604/uaes-property-sector-faces-reckoning-after-iran-strikes&amp;ct=ga&amp;cd=CAAYAzIaZjEwY2EzOWY3Y2Y0YjM2Yzpjb206ZW46VVM&amp;usg=AOvVaw2GnT7-ZqAoK80PDcWRk1wQ" TargetMode="External"/><Relationship Id="rId63" Type="http://schemas.openxmlformats.org/officeDocument/2006/relationships/hyperlink" Target="http://dawn.com/" TargetMode="External"/><Relationship Id="rId66" Type="http://schemas.openxmlformats.org/officeDocument/2006/relationships/hyperlink" Target="https://www.google.com/url?rct=j&amp;sa=t&amp;url=https://timesofindia.indiatimes.com/real-estate/news/uae-property-boom-faces-first-major-test-after-iran-strikes-shake-investor-confidence/articleshow/129084416.cms&amp;ct=ga&amp;cd=CAAYBTIaZjEwY2EzOWY3Y2Y0YjM2Yzpjb206ZW46VVM&amp;usg=AOvVaw0LuKWS7ZcesPmCUuwrQ9ya" TargetMode="External"/><Relationship Id="rId65" Type="http://schemas.openxmlformats.org/officeDocument/2006/relationships/hyperlink" Target="https://www.google.com/url?rct=j&amp;sa=t&amp;url=https://www.dawn.com/news/1978604/uaes-property-sector-faces-reckoning-after-iran-strikes&amp;ct=ga&amp;cd=CAAYAzIaZjEwY2EzOWY3Y2Y0YjM2Yzpjb206ZW46VVM&amp;usg=AOvVaw2GnT7-ZqAoK80PDcWRk1wQ" TargetMode="External"/><Relationship Id="rId68" Type="http://schemas.openxmlformats.org/officeDocument/2006/relationships/hyperlink" Target="https://www.google.com/url?rct=j&amp;sa=t&amp;url=https://www.news18.com/amp/business/real-estate/will-gulf-tensions-dent-dubais-luxury-property-market-experts-weigh-in-ws-l-9940594.html&amp;ct=ga&amp;cd=CAAYADIaZjEwY2EzOWY3Y2Y0YjM2Yzpjb206ZW46VVM&amp;usg=AOvVaw25GM2LpjZm0Lwq0KYNLkEm" TargetMode="External"/><Relationship Id="rId67" Type="http://schemas.openxmlformats.org/officeDocument/2006/relationships/hyperlink" Target="https://www.google.com/url?rct=j&amp;sa=t&amp;url=https://timesofindia.indiatimes.com/real-estate/news/uae-property-boom-faces-first-major-test-after-iran-strikes-shake-investor-confidence/articleshow/129084416.cms&amp;ct=ga&amp;cd=CAAYBTIaZjEwY2EzOWY3Y2Y0YjM2Yzpjb206ZW46VVM&amp;usg=AOvVaw0LuKWS7ZcesPmCUuwrQ9ya" TargetMode="External"/><Relationship Id="rId60" Type="http://schemas.openxmlformats.org/officeDocument/2006/relationships/hyperlink" Target="https://www.google.com/url?rct=j&amp;sa=t&amp;url=https://amp.ibtimes.sg/uaes-top-property-stocks-face-5-erosion-after-iranian-strikes-rattle-investor-confidence-84202&amp;ct=ga&amp;cd=CAAYBDIaZjEwY2EzOWY3Y2Y0YjM2Yzpjb206ZW46VVM&amp;usg=AOvVaw0ct4DCmRR__6uNODT-IMKA" TargetMode="External"/><Relationship Id="rId69" Type="http://schemas.openxmlformats.org/officeDocument/2006/relationships/hyperlink" Target="https://www.google.com/url?rct=j&amp;sa=t&amp;url=https://www.news18.com/amp/business/real-estate/will-gulf-tensions-dent-dubais-luxury-property-market-experts-weigh-in-ws-l-9940594.html&amp;ct=ga&amp;cd=CAAYADIaZjEwY2EzOWY3Y2Y0YjM2Yzpjb206ZW46VVM&amp;usg=AOvVaw25GM2LpjZm0Lwq0KYNLkEm" TargetMode="External"/><Relationship Id="rId51" Type="http://schemas.openxmlformats.org/officeDocument/2006/relationships/hyperlink" Target="http://network.com/" TargetMode="External"/><Relationship Id="rId50" Type="http://schemas.openxmlformats.org/officeDocument/2006/relationships/hyperlink" Target="https://www.google.com/url?rct=j&amp;sa=t&amp;url=https://www.indiasnews.net/news/278905101/iran-conflict-rattles-dubai-and-abu-dhabi-real-estate&amp;ct=ga&amp;cd=CAAYADIaZjEwY2EzOWY3Y2Y0YjM2Yzpjb206ZW46VVM&amp;usg=AOvVaw2BCPVAfNk4TKsF6TMxj2nc" TargetMode="External"/><Relationship Id="rId53" Type="http://schemas.openxmlformats.org/officeDocument/2006/relationships/hyperlink" Target="https://www.google.com/url?rct=j&amp;sa=t&amp;url=https://www.greatandhra.com/articles/special-articles/iran-strikes-shake-uae-property-boom-investors-turn-cautious-153291&amp;ct=ga&amp;cd=CAAYATIaZjEwY2EzOWY3Y2Y0YjM2Yzpjb206ZW46VVM&amp;usg=AOvVaw2Vnm88X1O6tA7eZmiH5czx" TargetMode="External"/><Relationship Id="rId52" Type="http://schemas.openxmlformats.org/officeDocument/2006/relationships/hyperlink" Target="https://www.google.com/url?rct=j&amp;sa=t&amp;url=https://www.bignewsnetwork.com/news/278905101/iran-strikes-threaten-uae-property-boom-built-on-foreign-money&amp;ct=ga&amp;cd=CAAYADIaZjEwY2EzOWY3Y2Y0YjM2Yzpjb206ZW46VVM&amp;usg=AOvVaw0MIyRy1yUYZfdxUfudT91T" TargetMode="External"/><Relationship Id="rId55" Type="http://schemas.openxmlformats.org/officeDocument/2006/relationships/hyperlink" Target="https://www.google.com/url?rct=j&amp;sa=t&amp;url=https://www.constructionweekonline.com/analysis/are-dubai-property-prices-about-to-drop&amp;ct=ga&amp;cd=CAAYAjIaZjEwY2EzOWY3Y2Y0YjM2Yzpjb206ZW46VVM&amp;usg=AOvVaw0kJYG4K5ZFkwM5yXb5j0NE" TargetMode="External"/><Relationship Id="rId54" Type="http://schemas.openxmlformats.org/officeDocument/2006/relationships/hyperlink" Target="https://www.google.com/url?rct=j&amp;sa=t&amp;url=https://www.greatandhra.com/articles/special-articles/iran-strikes-shake-uae-property-boom-investors-turn-cautious-153291&amp;ct=ga&amp;cd=CAAYATIaZjEwY2EzOWY3Y2Y0YjM2Yzpjb206ZW46VVM&amp;usg=AOvVaw2Vnm88X1O6tA7eZmiH5czx" TargetMode="External"/><Relationship Id="rId57" Type="http://schemas.openxmlformats.org/officeDocument/2006/relationships/hyperlink" Target="https://www.google.com/url?rct=j&amp;sa=t&amp;url=https://newsukraine.rbc.ua/news/iran-strikes-trigger-uae-real-estate-market-1772763449.html&amp;ct=ga&amp;cd=CAAYAzIaZjEwY2EzOWY3Y2Y0YjM2Yzpjb206ZW46VVM&amp;usg=AOvVaw1EYxMNbqbhPxlB4DjDA-JW" TargetMode="External"/><Relationship Id="rId56" Type="http://schemas.openxmlformats.org/officeDocument/2006/relationships/hyperlink" Target="https://www.google.com/url?rct=j&amp;sa=t&amp;url=https://www.constructionweekonline.com/analysis/are-dubai-property-prices-about-to-drop&amp;ct=ga&amp;cd=CAAYAjIaZjEwY2EzOWY3Y2Y0YjM2Yzpjb206ZW46VVM&amp;usg=AOvVaw0kJYG4K5ZFkwM5yXb5j0NE" TargetMode="External"/><Relationship Id="rId59" Type="http://schemas.openxmlformats.org/officeDocument/2006/relationships/hyperlink" Target="https://www.google.com/url?rct=j&amp;sa=t&amp;url=https://amp.ibtimes.sg/uaes-top-property-stocks-face-5-erosion-after-iranian-strikes-rattle-investor-confidence-84202&amp;ct=ga&amp;cd=CAAYBDIaZjEwY2EzOWY3Y2Y0YjM2Yzpjb206ZW46VVM&amp;usg=AOvVaw0ct4DCmRR__6uNODT-IMKA" TargetMode="External"/><Relationship Id="rId58" Type="http://schemas.openxmlformats.org/officeDocument/2006/relationships/hyperlink" Target="https://www.google.com/url?rct=j&amp;sa=t&amp;url=https://newsukraine.rbc.ua/news/iran-strikes-trigger-uae-real-estate-market-1772763449.html&amp;ct=ga&amp;cd=CAAYAzIaZjEwY2EzOWY3Y2Y0YjM2Yzpjb206ZW46VVM&amp;usg=AOvVaw1EYxMNbqbhPxlB4DjDA-JW"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khaleejtimes.com/business/dubais-realty-off-to-strong-start-with-dh35b-first-month-sales" TargetMode="External"/><Relationship Id="rId190" Type="http://schemas.openxmlformats.org/officeDocument/2006/relationships/hyperlink" Target="https://www.khaleejtimes.com/business/property/average-dubai-property-prices-rise-3-quarter-on-quarter" TargetMode="External"/><Relationship Id="rId42" Type="http://schemas.openxmlformats.org/officeDocument/2006/relationships/hyperlink" Target="https://menafn.com/1109186085/Dubais-Realty-Off-To-Strong-Start-With-Dh35b-First-Month-Sales" TargetMode="External"/><Relationship Id="rId41" Type="http://schemas.openxmlformats.org/officeDocument/2006/relationships/hyperlink" Target="https://menafn.com/1109186794/Dubais-Property-Market-Kicks-Off-2025-With-A-Bang-AED-35-Billion-In-Sales" TargetMode="External"/><Relationship Id="rId44" Type="http://schemas.openxmlformats.org/officeDocument/2006/relationships/hyperlink" Target="https://economymiddleeast.com/news/dubai-danube-properties-launches-game-changing-convertible-1bhk-apartment-at-the-price-of-a-studio/" TargetMode="External"/><Relationship Id="rId194" Type="http://schemas.openxmlformats.org/officeDocument/2006/relationships/hyperlink" Target="https://uk.advfn.com/stock-market/share-news/Betterhomes-Reports-Dubai-Residential-Property-Mar/96479505" TargetMode="External"/><Relationship Id="rId43" Type="http://schemas.openxmlformats.org/officeDocument/2006/relationships/hyperlink" Target="https://www.google.com/url?rct=j&amp;sa=t&amp;url=https://propnewstime.com/getdetailsStories/MTQ5ODg%3D/dubai-s-property-market-begins-2025-with-strong-sales-worth-aed-35-billion&amp;ct=ga&amp;cd=CAEYACoUMTA3MjIxOTA0NjEzOTMzMzA1NTQyGmYxMGNhMzlmN2NmNGIzNmM6Y29tOmVuOlVT&amp;usg=AOvVaw321PS3MyvkITJPO_rh2ga8" TargetMode="External"/><Relationship Id="rId193" Type="http://schemas.openxmlformats.org/officeDocument/2006/relationships/hyperlink" Target="https://www.pressreader.com/uae/gulf-news/20250721/281487872385511" TargetMode="External"/><Relationship Id="rId46" Type="http://schemas.openxmlformats.org/officeDocument/2006/relationships/hyperlink" Target="https://www.globenewswire.com/news-release/2025/02/18/3028195/0/en/FY2024-Dubai-Real-Estate-Market-Highlights-A-Year-of-Growth-and-Transition.html" TargetMode="External"/><Relationship Id="rId192" Type="http://schemas.openxmlformats.org/officeDocument/2006/relationships/hyperlink" Target="https://x.com/CWMiddleEast/status/1947215514813558943" TargetMode="External"/><Relationship Id="rId45" Type="http://schemas.openxmlformats.org/officeDocument/2006/relationships/hyperlink" Target="https://www.msn.com/en-ae/news/featured/dubai-villa-rented-out-for-dh155-million-a-year-in-emirates-largest-leasing-deal/ar-AA1smMdm?apiversion=v2&amp;noservercache=1&amp;domshim=1&amp;renderwebcomponents=1&amp;wcseo=1&amp;batchservertelemetry=1&amp;noservertelemetry=1" TargetMode="External"/><Relationship Id="rId191" Type="http://schemas.openxmlformats.org/officeDocument/2006/relationships/hyperlink" Target="https://www.constructionweekonline.com/business/insights/dubai-property-market-h1-2025" TargetMode="External"/><Relationship Id="rId48" Type="http://schemas.openxmlformats.org/officeDocument/2006/relationships/hyperlink" Target="https://www.khaleejtimes.com/business/property/dubai-properties-developers-dismiss-concerns-around-market-slowdown-in-2025?amp=1" TargetMode="External"/><Relationship Id="rId187" Type="http://schemas.openxmlformats.org/officeDocument/2006/relationships/hyperlink" Target="https://www.arabianbusiness.com/industries/real-estate/dubai-real-estate-property-market-sales-surge-46-as-market-value-hits-41-3bn-in-q2-2025" TargetMode="External"/><Relationship Id="rId47" Type="http://schemas.openxmlformats.org/officeDocument/2006/relationships/hyperlink" Target="https://markets.businessinsider.com/news/stocks/fy2024-dubai-real-estate-market-highlights-a-year-of-growth-and-transition-1034372522" TargetMode="External"/><Relationship Id="rId186" Type="http://schemas.openxmlformats.org/officeDocument/2006/relationships/hyperlink" Target="https://www.arabianbusiness.com/industries/real-estate/dubai-real-estate-market-hit-41-3bn-in-h1-2025-as-prime-sales-surge-113-per-cent" TargetMode="External"/><Relationship Id="rId185" Type="http://schemas.openxmlformats.org/officeDocument/2006/relationships/hyperlink" Target="https://www.arabianbusiness.com/industries/real-estate/abu-dhabi-real-estate-new-property-laws-explained" TargetMode="External"/><Relationship Id="rId49" Type="http://schemas.openxmlformats.org/officeDocument/2006/relationships/hyperlink" Target="https://www.arabianbusiness.com/industries/real-estate/dubai-real-estate-ramadan-a-golden-window-for-property-market-investment-says-new-report?utm_medium=email&amp;utm_medium=email&amp;utm_campaign=Ramadan%20a%20golden%20window%20for%20Dubai%20property%20market%20Dubais%20most%20expensive%20schools%20Bitcoin%20plunges%20below%2090000%20094646%20AM&amp;utm_content=Ramadan%20a%20golden%20window%20for%20Dubai%20property%20market%20Dubais%20most%20expensive%20schools%20Bitcoin%20plunges%20below%2090000%20094646%20AM+CID_c10e95892f4d0890707e37add1328e31&amp;utm_source=Newsletters&amp;utm_term=Dubai%20real%20estate%20Ramadan%20a%20golden%20window%20for%20property%20market%20investment%20says%20new%20report" TargetMode="External"/><Relationship Id="rId184" Type="http://schemas.openxmlformats.org/officeDocument/2006/relationships/hyperlink" Target="https://www.khaleejtimes.com/business/tech-driven-experiential-shopping-redefines-dubai-retail" TargetMode="External"/><Relationship Id="rId189" Type="http://schemas.openxmlformats.org/officeDocument/2006/relationships/hyperlink" Target="https://gulfnews.com/business/property/dubai-property-uk-buyers-start-to-overtake-indians-as-overseas-investors-says-betterhomes-1.500204486" TargetMode="External"/><Relationship Id="rId188" Type="http://schemas.openxmlformats.org/officeDocument/2006/relationships/hyperlink" Target="https://onevillenews.com/2025/07/18/dubai-residential-property-market-remains-a-global-magnet-in-the-first-half-of-2025-with-total-sales-reaching-aed-151-8-billion/" TargetMode="External"/><Relationship Id="rId31" Type="http://schemas.openxmlformats.org/officeDocument/2006/relationships/hyperlink" Target="https://www.arabianbusiness.com/industries/real-estate/dubai-real-estate-high-end-villas-luxury-apartments-to-lead-citys-rental-price-gains-in-2025" TargetMode="External"/><Relationship Id="rId30" Type="http://schemas.openxmlformats.org/officeDocument/2006/relationships/hyperlink" Target="https://www.google.com/url?rct=j&amp;sa=t&amp;url=https://menafn.com/1109155855/Investor-Confidence-Soars-as-Off-Plan-Dominates-Dubais-Residential-Real-Estate-Market-in-2024&amp;ct=ga&amp;cd=CAEYACoUMTU5MzQwNzI3MjY2NzM5MzgzOTkyGmYxMGNhMzlmN2NmNGIzNmM6Y29tOmVuOlVT&amp;usg=AOvVaw2_sIONQqVXBX_dd-Hp5QSc" TargetMode="External"/><Relationship Id="rId33" Type="http://schemas.openxmlformats.org/officeDocument/2006/relationships/hyperlink" Target="https://www.propnewstime.com/getdetailsStories/MTQ3MTI=/dubai-real-estate-market-sets-new-records-in-2024-with-aed-423-36-billion-in-sales" TargetMode="External"/><Relationship Id="rId183" Type="http://schemas.openxmlformats.org/officeDocument/2006/relationships/hyperlink" Target="https://www.zawya.com/en/press-release/research-and-studies/retail-reinvented-aed-587mln-in-q2-sales-reflects-dubais-appetite-for-immersive-tech-led-experiences-qa235an3" TargetMode="External"/><Relationship Id="rId32" Type="http://schemas.openxmlformats.org/officeDocument/2006/relationships/hyperlink" Target="https://www.khaleejtimes.com/uae/dubai-most-tenants-renew-leases-due-to-high-rents-but-this-could-change-heres-why" TargetMode="External"/><Relationship Id="rId182" Type="http://schemas.openxmlformats.org/officeDocument/2006/relationships/hyperlink" Target="https://www.agbi.com/construction/2025/07/first-time-buyers-get-help-in-pricey-dubai-housing-market/" TargetMode="External"/><Relationship Id="rId35" Type="http://schemas.openxmlformats.org/officeDocument/2006/relationships/hyperlink" Target="https://www.pressreader.com/uae/khaleej-times/20250205/281522231784879" TargetMode="External"/><Relationship Id="rId181" Type="http://schemas.openxmlformats.org/officeDocument/2006/relationships/hyperlink" Target="https://www.msn.com/en-gb/money/other/luxury-real-estate-boom-dubai-outshines-london-miami-phuket/ar-AA1HUZVK" TargetMode="External"/><Relationship Id="rId34" Type="http://schemas.openxmlformats.org/officeDocument/2006/relationships/hyperlink" Target="http://pressreader.com/" TargetMode="External"/><Relationship Id="rId180" Type="http://schemas.openxmlformats.org/officeDocument/2006/relationships/hyperlink" Target="https://gulfbusiness.com/why-dubai-dominates-regions-market/" TargetMode="External"/><Relationship Id="rId37" Type="http://schemas.openxmlformats.org/officeDocument/2006/relationships/hyperlink" Target="https://www.zawya.com/en/press-release/research-and-studies/dubais-property-market-kicks-off-2025-with-a-bang-aed-35bln-in-sales-ydbkolcn" TargetMode="External"/><Relationship Id="rId176" Type="http://schemas.openxmlformats.org/officeDocument/2006/relationships/hyperlink" Target="https://www.zawya.com/en/press-release/research-and-studies/dubai-tops-global-charts-with-140-branded-projects-set-for-delivery-by-2031-cp9x6vnn" TargetMode="External"/><Relationship Id="rId297" Type="http://schemas.openxmlformats.org/officeDocument/2006/relationships/hyperlink" Target="https://www.google.com/url?rct=j&amp;sa=t&amp;url=https://www.prnewswire.com/news-releases/betterhomes-dubai-to-welcome-nearly-10-000-millionaires-in-2025-thats-more-than-one-new-millionaire-every-hour-302553728.html&amp;ct=ga&amp;cd=CAEYACoUMTAzMDkwMDQ3ODQ0NTQ1MTcyMjcyGmZhYjQyOTJhMDU3NTVhZjY6Y29tOmVuOlVT&amp;usg=AOvVaw1x_8AmNVfhwnC2XIyyspMM" TargetMode="External"/><Relationship Id="rId36" Type="http://schemas.openxmlformats.org/officeDocument/2006/relationships/hyperlink" Target="https://www.propnewstime.com/getdetailsStories/MTQ3MTY=/dubai-s-property-market-set-for-171-rise-in-completions-in-2025" TargetMode="External"/><Relationship Id="rId175" Type="http://schemas.openxmlformats.org/officeDocument/2006/relationships/hyperlink" Target="https://arqam.news/464035/" TargetMode="External"/><Relationship Id="rId296" Type="http://schemas.openxmlformats.org/officeDocument/2006/relationships/hyperlink" Target="https://www.youtube.com/watch?v=Z-q_zSmFhPI" TargetMode="External"/><Relationship Id="rId39" Type="http://schemas.openxmlformats.org/officeDocument/2006/relationships/hyperlink" Target="https://www.arabianbusiness.com/industries/real-estate/dubai-real-estate-average-prices-for-apartments-townhouses-and-villas-revealed-as-sales-hit-9-5bn-in-january" TargetMode="External"/><Relationship Id="rId174" Type="http://schemas.openxmlformats.org/officeDocument/2006/relationships/hyperlink" Target="https://www.onearabia.me/lifestyle/dubai-branded-residences-projects-delivery-2031-011-115085.html" TargetMode="External"/><Relationship Id="rId295" Type="http://schemas.openxmlformats.org/officeDocument/2006/relationships/hyperlink" Target="https://www.youtube.com/watch?v=Z-q_zSmFhPI" TargetMode="External"/><Relationship Id="rId38" Type="http://schemas.openxmlformats.org/officeDocument/2006/relationships/hyperlink" Target="https://www.theguardian.com/tv-and-radio/2025/feb/05/tv-tonight-the-hilarious-spin-off-from-sharon-horgans-motherland" TargetMode="External"/><Relationship Id="rId173" Type="http://schemas.openxmlformats.org/officeDocument/2006/relationships/hyperlink" Target="https://www.arabianbusiness.com/industries/real-estate/dubai-real-estate-branded-residences-sales-surge-43-to-generate-16-3bn-in-2024" TargetMode="External"/><Relationship Id="rId294" Type="http://schemas.openxmlformats.org/officeDocument/2006/relationships/hyperlink" Target="https://www.arabianbusiness.com/industries/real-estate/dubai-real-estate-property-market-records-10-annual-growth-despite-august-dip" TargetMode="External"/><Relationship Id="rId179" Type="http://schemas.openxmlformats.org/officeDocument/2006/relationships/hyperlink" Target="https://gulfnews.com/business/property/luxury-real-estate-boom-dubai-outshines-london-miami-phuket-1.500186404" TargetMode="External"/><Relationship Id="rId178" Type="http://schemas.openxmlformats.org/officeDocument/2006/relationships/hyperlink" Target="https://www.aninews.in/news/business/dubai-emerges-as-global-centre-of-branded-residences20250704125653/" TargetMode="External"/><Relationship Id="rId299" Type="http://schemas.openxmlformats.org/officeDocument/2006/relationships/hyperlink" Target="https://www.khaleejtimes.com/business/property/dubai-property-market-stays-strong-august-2025" TargetMode="External"/><Relationship Id="rId177" Type="http://schemas.openxmlformats.org/officeDocument/2006/relationships/hyperlink" Target="https://www.khaleejtimes.com/business/dubai-leads-the-world-in-branded-residences-with-160-growth" TargetMode="External"/><Relationship Id="rId298" Type="http://schemas.openxmlformats.org/officeDocument/2006/relationships/hyperlink" Target="https://www.google.com/url?rct=j&amp;sa=t&amp;url=https://www.prnewswire.com/news-releases/betterhomes-dubai-to-welcome-nearly-10-000-millionaires-in-2025-thats-more-than-one-new-millionaire-every-hour-302553728.html&amp;ct=ga&amp;cd=CAEYACoUMTAzMDkwMDQ3ODQ0NTQ1MTcyMjcyGmZhYjQyOTJhMDU3NTVhZjY6Y29tOmVuOlVT&amp;usg=AOvVaw1x_8AmNVfhwnC2XIyyspMM" TargetMode="External"/><Relationship Id="rId20" Type="http://schemas.openxmlformats.org/officeDocument/2006/relationships/hyperlink" Target="https://mid-east.info/fy2024-dubai-real-estate-market-highlights-a-year-of-growth-and-transition/" TargetMode="External"/><Relationship Id="rId22" Type="http://schemas.openxmlformats.org/officeDocument/2006/relationships/hyperlink" Target="https://menafn.com/1109127970/A-23-Rise-in-Tenant-Demand-at-Betterhomes" TargetMode="External"/><Relationship Id="rId21" Type="http://schemas.openxmlformats.org/officeDocument/2006/relationships/hyperlink" Target="https://menafn.com/1109122274/FY2024-Dubai-Real-Estate-Market-Highlights-A-Year-Of-Growth-And-Transition" TargetMode="External"/><Relationship Id="rId24" Type="http://schemas.openxmlformats.org/officeDocument/2006/relationships/hyperlink" Target="https://www.arabianbusiness.com/industries/real-estate/dubai-real-estate-dld-opens-freehold-property-conversion-for-sheikh-zayed-road-al-jaddaf-everything-you-need-to-know?utm_medium=email&amp;utm_medium=email&amp;utm_campaign=UK%20millionaires%20head%20for%20Dubai%20Abu%20Dhabi%20DLD%20freehold%20property%20conversion%20explainer%20UAE%20BNPL%20platforms%20set%20new%20limit%20081603%20AM&amp;utm_content=UK%20millionaires%20head%20for%20Dubai%20Abu%20Dhabi%20DLD%20freehold%20property%20conversion%20explainer%20UAE%20BNPL%20platforms%20set%20new%20limit%20081603%20AM+CID_1576cdc239b534957231a5f1f1d0dd95&amp;utm_source=Newsletters&amp;utm_term=Dubai%20real%20estate%20DLD%20opens%20freehold%20property%20conversion%20for%20Sheikh%20Zayed%20Road%20Al%20Jaddaf%20%20everything%20you%20need%20to%20know" TargetMode="External"/><Relationship Id="rId23" Type="http://schemas.openxmlformats.org/officeDocument/2006/relationships/hyperlink" Target="https://www.khaleejtimes.com/uae/dubai-tenants-relocating-to-cheaper-areas-securing-long-term-leases-ahead-of-commercial-rental-ind?amp=1" TargetMode="External"/><Relationship Id="rId26" Type="http://schemas.openxmlformats.org/officeDocument/2006/relationships/hyperlink" Target="https://menafn.com/1109137391/Dubai-Rent-Hikes-To-Slow-Down-In-2025-As-Property-Market-Set-For-Record-Supply" TargetMode="External"/><Relationship Id="rId25" Type="http://schemas.openxmlformats.org/officeDocument/2006/relationships/hyperlink" Target="https://www.khaleejtimes.com/business/realty/dubai-rent-hikes-to-slow-down-in-2025-as-property-market-set-for-record-supply" TargetMode="External"/><Relationship Id="rId28" Type="http://schemas.openxmlformats.org/officeDocument/2006/relationships/hyperlink" Target="https://menafn.com/1109138635/2024-Sees-Supply-Delays-as-Developers-Set-Sights-on-Record-Breaking-2025-Completions" TargetMode="External"/><Relationship Id="rId27" Type="http://schemas.openxmlformats.org/officeDocument/2006/relationships/hyperlink" Target="https://www.pressreader.com/uae/khaleej-times/20250128/281651080785914" TargetMode="External"/><Relationship Id="rId29" Type="http://schemas.openxmlformats.org/officeDocument/2006/relationships/hyperlink" Target="https://www.pressreader.com/uae/khaleej-times/20250129/281638195886222" TargetMode="External"/><Relationship Id="rId11" Type="http://schemas.openxmlformats.org/officeDocument/2006/relationships/hyperlink" Target="https://www.streetinsider.com/Evertise+Financial/Betterhomes+Reveals+Dubai+as+the+World%E2%80%99s+Premier+Property+Investment+Destination/24196773.html" TargetMode="External"/><Relationship Id="rId10" Type="http://schemas.openxmlformats.org/officeDocument/2006/relationships/hyperlink" Target="https://markets.businessinsider.com/news/stocks/betterhomes-reveals-dubai-as-the-world-s-premier-property-investment-destination-1034215635" TargetMode="External"/><Relationship Id="rId13" Type="http://schemas.openxmlformats.org/officeDocument/2006/relationships/hyperlink" Target="https://www.arabianbusiness.com/industries/real-estate/dubai-real-estate-sets-record-breaking-transaction-record-with-115bn-of-sales-in-2024-65-5m-villa-and-74-8m-apartment-top-charts" TargetMode="External"/><Relationship Id="rId12" Type="http://schemas.openxmlformats.org/officeDocument/2006/relationships/hyperlink" Target="https://www.digitaljournal.com/pr/news/vehement-media/betterhomes-reveals-dubai-world-s-premier-1912448123.html" TargetMode="External"/><Relationship Id="rId15" Type="http://schemas.openxmlformats.org/officeDocument/2006/relationships/hyperlink" Target="https://www.zawya.com/en/press-release/research-and-studies/fy2024-dubai-real-estate-market-highlights-a-year-of-growth-and-transition-esni838i" TargetMode="External"/><Relationship Id="rId198" Type="http://schemas.openxmlformats.org/officeDocument/2006/relationships/hyperlink" Target="https://www.khaleejtimes.com/business/property/demand-for-ultra-luxury-homes-continues-to-surge-in-dubai?_refresh=true" TargetMode="External"/><Relationship Id="rId14" Type="http://schemas.openxmlformats.org/officeDocument/2006/relationships/hyperlink" Target="https://www.khaleejtimes.com/business/realty/price-surge-may-moderate-as-dubai-set-to-add-72000-housing-units" TargetMode="External"/><Relationship Id="rId197" Type="http://schemas.openxmlformats.org/officeDocument/2006/relationships/hyperlink" Target="https://www.arabianbusiness.com/industries/real-estate/dubai-real-estate-property-market-soars-46-in-q2-2025-says-betterhomes-report" TargetMode="External"/><Relationship Id="rId17" Type="http://schemas.openxmlformats.org/officeDocument/2006/relationships/hyperlink" Target="https://gulfnews.com/living-in-uae/housing/how-to-buy-freehold-property-in-dubai-how-to-secure-full-ownership-1.500019993" TargetMode="External"/><Relationship Id="rId196" Type="http://schemas.openxmlformats.org/officeDocument/2006/relationships/hyperlink" Target="https://www.propertynewsint.com/news/dubai-property-sales-surge-46-to-41-3-b-in-q2-2025" TargetMode="External"/><Relationship Id="rId16" Type="http://schemas.openxmlformats.org/officeDocument/2006/relationships/hyperlink" Target="https://menafn.com/1109100000/Price-Surge-May-Moderate-As-Dubai-Set-To-Add-72000-Housing-Units" TargetMode="External"/><Relationship Id="rId195" Type="http://schemas.openxmlformats.org/officeDocument/2006/relationships/hyperlink" Target="https://finance.yahoo.com/news/betterhomes-reports-dubai-residential-property-072100351.html?guccounter=1&amp;guce_referrer=aHR0cHM6Ly93d3cuZ29vZ2xlLmNvbS8&amp;guce_referrer_sig=AQAAAK9ItZrecG5iJiJwnXylExjxK0YMewpPAFuiI7U-C0RgaEOVwdpFnPXekdt5pgHKtCGPTgXwQcrSbfNOV074KfUQ9J-CpkPhHqobtt8s9GOJUOlWHYuxDh3aeNr5PDKjjjFKvl1df2LDFRdYeFdlAVLrKtA1titfIBL1bYoje8oP" TargetMode="External"/><Relationship Id="rId19" Type="http://schemas.openxmlformats.org/officeDocument/2006/relationships/hyperlink" Target="https://www.arabianbusiness.com/industries/real-estate/dubai-commercial-property-market-records-24-jump-in-growth-rakes-in-24-5bn-in-value-in-2024" TargetMode="External"/><Relationship Id="rId18" Type="http://schemas.openxmlformats.org/officeDocument/2006/relationships/hyperlink" Target="https://www.arabianbusiness.com/industries/real-estate/dubai-villa-rent-prices-surge-52-palm-jumeirah-sees-biggest-spike-in-2024-report" TargetMode="External"/><Relationship Id="rId199" Type="http://schemas.openxmlformats.org/officeDocument/2006/relationships/hyperlink" Target="https://gulfbusiness.com/dubais-most-wanted-property-features-revealed-by-todays-buyers/" TargetMode="External"/><Relationship Id="rId84" Type="http://schemas.openxmlformats.org/officeDocument/2006/relationships/hyperlink" Target="https://propnewstime.com/getdetailsStories/MTcwNzk=/foreign-investors-in-dubai-shift-gears-as-land-plots-outshine-apartments" TargetMode="External"/><Relationship Id="rId83" Type="http://schemas.openxmlformats.org/officeDocument/2006/relationships/hyperlink" Target="https://www.pressreader.com/uae/khaleej-times/20250411/281629606101470" TargetMode="External"/><Relationship Id="rId86" Type="http://schemas.openxmlformats.org/officeDocument/2006/relationships/hyperlink" Target="https://www.khaleejtimes.com/business/offplan-transactions-drive-dubai-real-estate-growth-in-first-quarter" TargetMode="External"/><Relationship Id="rId85" Type="http://schemas.openxmlformats.org/officeDocument/2006/relationships/hyperlink" Target="https://www.arabianbusiness.com/industries/real-estate/dubai-property-2025" TargetMode="External"/><Relationship Id="rId88" Type="http://schemas.openxmlformats.org/officeDocument/2006/relationships/hyperlink" Target="https://www.bloomberg.com/news/articles/2025-04-14/dubai-property-boom-faces-pressure-as-oil-falls-trump-tariffs-test-demand" TargetMode="External"/><Relationship Id="rId150" Type="http://schemas.openxmlformats.org/officeDocument/2006/relationships/hyperlink" Target="https://www.khaleejtimes.com/business/dh128b-al-maktoum-international-airport-project-fuels-real-estate-boom-in-dubai-south" TargetMode="External"/><Relationship Id="rId271" Type="http://schemas.openxmlformats.org/officeDocument/2006/relationships/hyperlink" Target="https://www.google.com/url?rct=j&amp;sa=t&amp;url=https://gulfnews.com/business/property/branded-homes-in-dubai-why-theyre-growing-and-what-buyers-should-know-1.500244436&amp;ct=ga&amp;cd=CAAYAjIaZjEwY2EzOWY3Y2Y0YjM2Yzpjb206ZW46VVM&amp;usg=AOvVaw0WtmlOC8-Oe31UaWqGYsDC" TargetMode="External"/><Relationship Id="rId87" Type="http://schemas.openxmlformats.org/officeDocument/2006/relationships/hyperlink" Target="https://economictimes.indiatimes.com/nri/invest/dubais-70-property-rally-faces-threat-from-tariff-turmoil/articleshow/120278896.cms?from=mdr" TargetMode="External"/><Relationship Id="rId270" Type="http://schemas.openxmlformats.org/officeDocument/2006/relationships/hyperlink" Target="https://www.google.com/url?rct=j&amp;sa=t&amp;url=https://gulfnews.com/business/property/branded-homes-in-dubai-why-theyre-growing-and-what-buyers-should-know-1.500244436&amp;ct=ga&amp;cd=CAAYAjIaZjEwY2EzOWY3Y2Y0YjM2Yzpjb206ZW46VVM&amp;usg=AOvVaw0WtmlOC8-Oe31UaWqGYsDC" TargetMode="External"/><Relationship Id="rId89" Type="http://schemas.openxmlformats.org/officeDocument/2006/relationships/hyperlink" Target="https://www.khaleejtimes.com/uae/dubai-rents-drop-post-pandemic-plateau?fbclid=IwY2xjawJuwkBleHRuA2FlbQIxMQABHuMDwAQR3ZZyW3oqSAoTN2PVh_N4ia64InteRYxHTzU_PR_udOCOMoRXNaOD_aem_v6i6qaBtaZ8lRHmBNNTOTg" TargetMode="External"/><Relationship Id="rId80" Type="http://schemas.openxmlformats.org/officeDocument/2006/relationships/hyperlink" Target="https://www.thenationalnews.com/news/uae/2025/04/07/dubai-dh1-million-property-market/" TargetMode="External"/><Relationship Id="rId82" Type="http://schemas.openxmlformats.org/officeDocument/2006/relationships/hyperlink" Target="https://www.zawya.com/en/press-release/research-and-studies/new-real-estate-trend-foreign-investors-in-dubai-shift-focus-from-apartments-to-plots-pgkh4ij0" TargetMode="External"/><Relationship Id="rId81" Type="http://schemas.openxmlformats.org/officeDocument/2006/relationships/hyperlink" Target="https://www.khaleejtimes.com/business/why-are-global-investors-in-dubai-shifting-their-focus-to-plots" TargetMode="External"/><Relationship Id="rId1" Type="http://schemas.openxmlformats.org/officeDocument/2006/relationships/hyperlink" Target="https://www.agbi.com/real-estate/2025/01/burj-khalifa-at-15-ups-and-downs-of-the-worlds-tallest-skyscraper/" TargetMode="External"/><Relationship Id="rId2" Type="http://schemas.openxmlformats.org/officeDocument/2006/relationships/hyperlink" Target="https://www.khaleejtimes.com/uae/burj-khalifa-turns-15-how-much-it-costs-to-rent-a-home-at-the-worlds-tallest-building-in-dubai" TargetMode="External"/><Relationship Id="rId3" Type="http://schemas.openxmlformats.org/officeDocument/2006/relationships/hyperlink" Target="https://www.msn.com/en-in/money/topstories/dubai-s-burj-khalifa-charges-rs-70061-per-sq-ft-in-annual-rent-here-s-how-much-it-costs-to-rent-a-1-bedroom-flat-in-world-s-tallest-building/ar-AA1wXCUw?ocid=finance-verthp-feeds" TargetMode="External"/><Relationship Id="rId149" Type="http://schemas.openxmlformats.org/officeDocument/2006/relationships/hyperlink" Target="https://onevillenews.com/2025/06/13/dubai-real-estate-delivers-aed-54-5b-in-may-sales-with-15-growth-across-sales-and-leasing/" TargetMode="External"/><Relationship Id="rId4" Type="http://schemas.openxmlformats.org/officeDocument/2006/relationships/hyperlink" Target="https://www.constructionweekonline.com/news/betterhomes-ceo-steps-down-takes-over-as-cencorp-boss" TargetMode="External"/><Relationship Id="rId148" Type="http://schemas.openxmlformats.org/officeDocument/2006/relationships/hyperlink" Target="https://www.onearabia.me/business/aed-128-billion-al-maktoum-project-real-estate-dubai-south-011-112991.html" TargetMode="External"/><Relationship Id="rId269" Type="http://schemas.openxmlformats.org/officeDocument/2006/relationships/hyperlink" Target="https://www.google.com/url?rct=j&amp;sa=t&amp;url=https://economymiddleeast.com/news/dubai-leads-global-surge-in-branded-residences-with-over-140-projects-by-2031/&amp;ct=ga&amp;cd=CAAYATIaZjEwY2EzOWY3Y2Y0YjM2Yzpjb206ZW46VVM&amp;usg=AOvVaw3PxjS7DYWMlX5HbFqQQtwz" TargetMode="External"/><Relationship Id="rId9" Type="http://schemas.openxmlformats.org/officeDocument/2006/relationships/hyperlink" Target="https://www.travelandtourworld.com/news/article/richard-waind-becomes-ceo-of-cencorp-while-louis-harding-takes-over-as-betterhomes-ceo-to-drive-dubai-real-estate-growth/" TargetMode="External"/><Relationship Id="rId143" Type="http://schemas.openxmlformats.org/officeDocument/2006/relationships/hyperlink" Target="https://www.arabianbusiness.com/industries/real-estate/how-35bn-al-maktoum-international-airport-expansion-is-driving-major-dubai-south-real-estate-investment-boom-as-property-prices-tipped-to-grow-20?utm_medium=email&amp;utm_medium=email&amp;utm_campaign=AB%20Espresso%20How%20Al%20Maktoum%20International%20Airport%20expansion%20is%20driving%20property%20investments%20110006%20PM&amp;utm_content=AB%20Espresso%20How%20Al%20Maktoum%20International%20Airport%20expansion%20is%20driving%20property%20investments%20110006%20PM+CID_bf2cdbcd687d80cea4411b9ae0c3a9ac&amp;utm_source=Newsletters&amp;utm_term=Property%20transactions%20around%20Al%20Maktoum%20International%20Airport%20surpassed%20AED15bn%20in%20the%20first%20five%20months%20of%202025" TargetMode="External"/><Relationship Id="rId264" Type="http://schemas.openxmlformats.org/officeDocument/2006/relationships/hyperlink" Target="https://www.zawya.com/en/press-release/research-and-studies/dubais-branded-residences-to-nearly-triple-by-2031-outpacing-global-rivals-lv6ewbg6" TargetMode="External"/><Relationship Id="rId142" Type="http://schemas.openxmlformats.org/officeDocument/2006/relationships/hyperlink" Target="https://whichschooladvisor.com/uae/guides/moving-your-family-to-dubai-why-finding-a-school-should-be-your-first-step" TargetMode="External"/><Relationship Id="rId263" Type="http://schemas.openxmlformats.org/officeDocument/2006/relationships/hyperlink" Target="https://www.zawya.com/en/press-release/research-and-studies/dubais-branded-residences-to-nearly-triple-by-2031-outpacing-global-rivals-lv6ewbg6" TargetMode="External"/><Relationship Id="rId141" Type="http://schemas.openxmlformats.org/officeDocument/2006/relationships/hyperlink" Target="https://www.builtenvironmentme.com/dubai-real-estate-proves-resilient-amid-shifting-us-tariff-policies-and-trade-tensions" TargetMode="External"/><Relationship Id="rId262" Type="http://schemas.openxmlformats.org/officeDocument/2006/relationships/hyperlink" Target="https://campaignme.com/dubai-branded-residences-to-nearly-triple-by-2031-outpacing-global-rivals/" TargetMode="External"/><Relationship Id="rId140" Type="http://schemas.openxmlformats.org/officeDocument/2006/relationships/hyperlink" Target="https://www.pressreader.com/uae/gulf-news/20250530/281754160251608" TargetMode="External"/><Relationship Id="rId261" Type="http://schemas.openxmlformats.org/officeDocument/2006/relationships/hyperlink" Target="https://campaignme.com/dubai-branded-residences-to-nearly-triple-by-2031-outpacing-global-rivals/" TargetMode="External"/><Relationship Id="rId5" Type="http://schemas.openxmlformats.org/officeDocument/2006/relationships/hyperlink" Target="https://www.arabianbusiness.com/jobs/dubai-real-estate-firm-betterhomes-announces-two-major-leadership-changes" TargetMode="External"/><Relationship Id="rId147" Type="http://schemas.openxmlformats.org/officeDocument/2006/relationships/hyperlink" Target="https://www.zawya.com/en/press-release/research-and-studies/dubai-real-estate-delivers-aed-545bln-in-may-sales-with-15-growth-across-sales-and-leasing-jsb2i90m" TargetMode="External"/><Relationship Id="rId268" Type="http://schemas.openxmlformats.org/officeDocument/2006/relationships/hyperlink" Target="https://www.google.com/url?rct=j&amp;sa=t&amp;url=https://economymiddleeast.com/news/dubai-leads-global-surge-in-branded-residences-with-over-140-projects-by-2031/&amp;ct=ga&amp;cd=CAAYATIaZjEwY2EzOWY3Y2Y0YjM2Yzpjb206ZW46VVM&amp;usg=AOvVaw3PxjS7DYWMlX5HbFqQQtwz" TargetMode="External"/><Relationship Id="rId6" Type="http://schemas.openxmlformats.org/officeDocument/2006/relationships/hyperlink" Target="https://arabianmarketer.ae/betterhomes-has-announced-two-major-leadership-changes/" TargetMode="External"/><Relationship Id="rId146" Type="http://schemas.openxmlformats.org/officeDocument/2006/relationships/hyperlink" Target="https://www.arabianbusiness.com/industries/real-estate/dubai-real-estate-property-sales-jump-15-in-may-2025-as-market-value-hits-14-8bn" TargetMode="External"/><Relationship Id="rId267" Type="http://schemas.openxmlformats.org/officeDocument/2006/relationships/hyperlink" Target="https://www.google.com/url?rct=j&amp;sa=t&amp;url=https://www.arabianbusiness.com/industries/real-estate/dubai-branded-residence-projects-2031&amp;ct=ga&amp;cd=CAAYADIaZjEwY2EzOWY3Y2Y0YjM2Yzpjb206ZW46VVM&amp;usg=AOvVaw2izCgrR4_iW5akI0DvgdKH" TargetMode="External"/><Relationship Id="rId7" Type="http://schemas.openxmlformats.org/officeDocument/2006/relationships/hyperlink" Target="https://www.zawya.com/en/press-release/people-in-the-news/betterhomes-has-announced-two-major-leadership-changes-eul65s4o" TargetMode="External"/><Relationship Id="rId145" Type="http://schemas.openxmlformats.org/officeDocument/2006/relationships/hyperlink" Target="https://www.aviationbusinessme.com/airports/dubai-south-property-rises-as-al-maktoum-expansion-gains-pace" TargetMode="External"/><Relationship Id="rId266" Type="http://schemas.openxmlformats.org/officeDocument/2006/relationships/hyperlink" Target="https://www.google.com/url?rct=j&amp;sa=t&amp;url=https://www.arabianbusiness.com/industries/real-estate/dubai-branded-residence-projects-2031&amp;ct=ga&amp;cd=CAAYADIaZjEwY2EzOWY3Y2Y0YjM2Yzpjb206ZW46VVM&amp;usg=AOvVaw2izCgrR4_iW5akI0DvgdKH" TargetMode="External"/><Relationship Id="rId8" Type="http://schemas.openxmlformats.org/officeDocument/2006/relationships/hyperlink" Target="https://www.theglobeandmail.com/investing/markets/markets-news/Plentisoft/30388136/betterhomes-reveals-dubai-as-the-worlds-premier-property-investment-destination/" TargetMode="External"/><Relationship Id="rId144" Type="http://schemas.openxmlformats.org/officeDocument/2006/relationships/hyperlink" Target="https://gulfnews.com/business/property/dubai-south-real-estate-surges-as-al-maktoum-airport-expansion-fuels-demand-1.500158633" TargetMode="External"/><Relationship Id="rId265" Type="http://schemas.openxmlformats.org/officeDocument/2006/relationships/hyperlink" Target="https://www.onearabia.me/lifestyle/dubais-branded-residences-nearly-triple-by-2031-011-120193.html" TargetMode="External"/><Relationship Id="rId73" Type="http://schemas.openxmlformats.org/officeDocument/2006/relationships/hyperlink" Target="https://menafn.com/1109342229/Dubais-Rental-Market-Stabilises-as-Tenant-Choices-Expand" TargetMode="External"/><Relationship Id="rId72" Type="http://schemas.openxmlformats.org/officeDocument/2006/relationships/hyperlink" Target="https://www.thenationalnews.com/business/money/2025/03/20/fed-rate-cut-uae-mortgages/" TargetMode="External"/><Relationship Id="rId75" Type="http://schemas.openxmlformats.org/officeDocument/2006/relationships/hyperlink" Target="https://www.arabianbusiness.com/industries/real-estate/dubai-real-estate-mortgage-transactions-rise-4-76-as-fed-holds-rates-steady" TargetMode="External"/><Relationship Id="rId74" Type="http://schemas.openxmlformats.org/officeDocument/2006/relationships/hyperlink" Target="https://www.khaleejtimes.com/business/property/how-can-we-decode-the-relentless-property-boom-in-dubai" TargetMode="External"/><Relationship Id="rId77" Type="http://schemas.openxmlformats.org/officeDocument/2006/relationships/hyperlink" Target="https://www.khaleejtimes.com/business/mortgage-landscape-in-dubai-remains-resilient-as-fed-holds-rates-steady" TargetMode="External"/><Relationship Id="rId260" Type="http://schemas.openxmlformats.org/officeDocument/2006/relationships/hyperlink" Target="https://www.google.com/url?rct=j&amp;sa=t&amp;url=https://gulfbusiness.com/dubais-millionaire-migration-7100-wealthy-2025/&amp;ct=ga&amp;cd=CAEYACoUMTQ2OTUxMjA5MDQzODA2NzE3MzQyGmYxMGNhMzlmN2NmNGIzNmM6Y29tOmVuOlVT&amp;usg=AOvVaw1skuM3dmVpaoMd8Zj4JPBL" TargetMode="External"/><Relationship Id="rId76" Type="http://schemas.openxmlformats.org/officeDocument/2006/relationships/hyperlink" Target="https://www.arabianbusiness.com/industries/real-estate/dubai-real-estate-property-market-records-35-5-surge-transactions-as-off-plan-market-draws-global-investors" TargetMode="External"/><Relationship Id="rId79" Type="http://schemas.openxmlformats.org/officeDocument/2006/relationships/hyperlink" Target="https://propnewstime.com/getdetailsStories/MTY1MDc=/dubai-s-mortgage-market-remains-strong-in-2025-amid-stable-interest-rates-and-high-demand" TargetMode="External"/><Relationship Id="rId78" Type="http://schemas.openxmlformats.org/officeDocument/2006/relationships/hyperlink" Target="https://www.thenationalnews.com/news/2025/04/01/chart-of-the-week-dubai-properties-deliver-more-for-your-million/" TargetMode="External"/><Relationship Id="rId71" Type="http://schemas.openxmlformats.org/officeDocument/2006/relationships/hyperlink" Target="https://www.arabianbusiness.com/industries/real-estate/dubai-real-estate-indians-british-and-italians-lead-property-purchases-as-egyptian-numbers-surge" TargetMode="External"/><Relationship Id="rId70" Type="http://schemas.openxmlformats.org/officeDocument/2006/relationships/hyperlink" Target="https://www.khaleejtimes.com/business/property/egyptians-emerge-as-a-rising-force-in-dubais-real-estate" TargetMode="External"/><Relationship Id="rId139" Type="http://schemas.openxmlformats.org/officeDocument/2006/relationships/hyperlink" Target="https://menafn.com/1109614940/Dubai-Will-Rents-Continue-Increase-This-Year-Industry-Insiders-Explain" TargetMode="External"/><Relationship Id="rId138" Type="http://schemas.openxmlformats.org/officeDocument/2006/relationships/hyperlink" Target="https://technicalreviewmiddleeast.com/manufacturing/analysis-uae-largely-shielded-from-us-tariffs-on-steel-and-aluminium" TargetMode="External"/><Relationship Id="rId259" Type="http://schemas.openxmlformats.org/officeDocument/2006/relationships/hyperlink" Target="https://www.google.com/url?rct=j&amp;sa=t&amp;url=https://gulfbusiness.com/dubais-millionaire-migration-7100-wealthy-2025/&amp;ct=ga&amp;cd=CAEYACoUMTQ2OTUxMjA5MDQzODA2NzE3MzQyGmYxMGNhMzlmN2NmNGIzNmM6Y29tOmVuOlVT&amp;usg=AOvVaw1skuM3dmVpaoMd8Zj4JPBL" TargetMode="External"/><Relationship Id="rId137" Type="http://schemas.openxmlformats.org/officeDocument/2006/relationships/hyperlink" Target="https://www.arabianbusiness.com/industries/real-estate/dubai-real-estate-trump-tariffs-drive-40-surge-in-us-chinese-investment-interest" TargetMode="External"/><Relationship Id="rId258" Type="http://schemas.openxmlformats.org/officeDocument/2006/relationships/hyperlink" Target="https://www.google.com/url?rct=j&amp;sa=t&amp;url=https://www.agbi.com/finance/2025/08/dubai-reaps-relocation-rewards-as-wealthy-brits-pick-emirate/&amp;ct=ga&amp;cd=CAEYASoUMTQ2OTUxMjA5MDQzODA2NzE3MzQyGmYxMGNhMzlmN2NmNGIzNmM6Y29tOmVuOlVT&amp;usg=AOvVaw2TJMVeBeRdg91y-mf0kfMP" TargetMode="External"/><Relationship Id="rId379" Type="http://schemas.openxmlformats.org/officeDocument/2006/relationships/drawing" Target="../drawings/drawing4.xml"/><Relationship Id="rId132" Type="http://schemas.openxmlformats.org/officeDocument/2006/relationships/hyperlink" Target="https://www.remtimes.com/blogs/real-estate-news/disneyland-arrival-to-fuel-real-estate-surge-in-yas-island.php" TargetMode="External"/><Relationship Id="rId253" Type="http://schemas.openxmlformats.org/officeDocument/2006/relationships/hyperlink" Target="https://www.google.com/url?rct=j&amp;sa=t&amp;url=https://menafn.com/1109951484/Dubai-Becomes-Permanent-Hub-For-Global-Wealth&amp;ct=ga&amp;cd=CAAYATIaZjEwY2EzOWY3Y2Y0YjM2Yzpjb206ZW46VVM&amp;usg=AOvVaw21bj-esKvNi6he6z6ljzyt" TargetMode="External"/><Relationship Id="rId374" Type="http://schemas.openxmlformats.org/officeDocument/2006/relationships/hyperlink" Target="https://www.google.com/url?rct=j&amp;sa=t&amp;url=https://www.pressreader.com/uae/khaleej-times/20251219/281797110337022&amp;ct=ga&amp;cd=CAAYADIaZjEwY2EzOWY3Y2Y0YjM2Yzpjb206ZW46VVM&amp;usg=AOvVaw2EMCZ7OXvBhm-x9XIYsoo9" TargetMode="External"/><Relationship Id="rId131" Type="http://schemas.openxmlformats.org/officeDocument/2006/relationships/hyperlink" Target="https://www.zawya.com/en/business/real-estate/dhb-betterhomes-unveil-premium-residential-project-in-abu-dhabi-gmqtm77o" TargetMode="External"/><Relationship Id="rId252" Type="http://schemas.openxmlformats.org/officeDocument/2006/relationships/hyperlink" Target="https://www.google.com/url?rct=j&amp;sa=t&amp;url=https://menafn.com/1109951484/Dubai-Becomes-Permanent-Hub-For-Global-Wealth&amp;ct=ga&amp;cd=CAAYATIaZjEwY2EzOWY3Y2Y0YjM2Yzpjb206ZW46VVM&amp;usg=AOvVaw21bj-esKvNi6he6z6ljzyt" TargetMode="External"/><Relationship Id="rId373" Type="http://schemas.openxmlformats.org/officeDocument/2006/relationships/hyperlink" Target="https://www.google.com/url?rct=j&amp;sa=t&amp;url=https://www.khaleejtimes.com/business/property/dubai-residents-put-down-roots-as-average-tenure-surges-to-over-a-decade&amp;ct=ga&amp;cd=CAEYACoUMTU3NjY2MTU4MzA3MDUwMjgyODEyGmYxMGNhMzlmN2NmNGIzNmM6Y29tOmVuOlVT&amp;usg=AOvVaw0Bzk0tToRR8eXcCkK6uokH" TargetMode="External"/><Relationship Id="rId130" Type="http://schemas.openxmlformats.org/officeDocument/2006/relationships/hyperlink" Target="https://www.zawya.com/en/press-release/companies-news/opula-positioned-for-strong-roi-in-abu-dhabis-fastest-rising-district-il9ubg9x" TargetMode="External"/><Relationship Id="rId251" Type="http://schemas.openxmlformats.org/officeDocument/2006/relationships/hyperlink" Target="https://www.google.com/url?rct=j&amp;sa=t&amp;url=https://economymiddleeast.com/news/dubai-real-estate-demand-for-luxury-properties-grows-as-millionaire-migration-accelerates/&amp;ct=ga&amp;cd=CAAYAjIaZjEwY2EzOWY3Y2Y0YjM2Yzpjb206ZW46VVM&amp;usg=AOvVaw1wHArkZuJNgXkTMWq3RKxE" TargetMode="External"/><Relationship Id="rId372" Type="http://schemas.openxmlformats.org/officeDocument/2006/relationships/hyperlink" Target="https://www.google.com/url?rct=j&amp;sa=t&amp;url=https://www.khaleejtimes.com/business/property/dubai-residents-put-down-roots-as-average-tenure-surges-to-over-a-decade&amp;ct=ga&amp;cd=CAEYACoUMTU3NjY2MTU4MzA3MDUwMjgyODEyGmYxMGNhMzlmN2NmNGIzNmM6Y29tOmVuOlVT&amp;usg=AOvVaw0Bzk0tToRR8eXcCkK6uokH" TargetMode="External"/><Relationship Id="rId250" Type="http://schemas.openxmlformats.org/officeDocument/2006/relationships/hyperlink" Target="https://www.google.com/url?rct=j&amp;sa=t&amp;url=https://economymiddleeast.com/news/dubai-real-estate-demand-for-luxury-properties-grows-as-millionaire-migration-accelerates/&amp;ct=ga&amp;cd=CAAYAjIaZjEwY2EzOWY3Y2Y0YjM2Yzpjb206ZW46VVM&amp;usg=AOvVaw1wHArkZuJNgXkTMWq3RKxE" TargetMode="External"/><Relationship Id="rId371" Type="http://schemas.openxmlformats.org/officeDocument/2006/relationships/hyperlink" Target="https://www.google.com/url?rct=j&amp;sa=t&amp;url=https://arqam.news/521479/&amp;ct=ga&amp;cd=CAEYASoTNzQ0NzEyMDI2MTMxMzAxODA5MTIaZmFiNDI5MmEwNTc1NWFmNjpjb206ZW46VVM&amp;usg=AOvVaw0mQovHcPh1jCLrTl0wZpkR" TargetMode="External"/><Relationship Id="rId136" Type="http://schemas.openxmlformats.org/officeDocument/2006/relationships/hyperlink" Target="https://www.zawya.com/en/press-release/events-and-conferences/whats-next-for-dubai-real-estate-property-finder-gathers-a-whos-who-of-industry-leaders-to-discuss-what-is-shaping-2025-brsjwilr" TargetMode="External"/><Relationship Id="rId257" Type="http://schemas.openxmlformats.org/officeDocument/2006/relationships/hyperlink" Target="https://www.google.com/url?rct=j&amp;sa=t&amp;url=https://www.agbi.com/finance/2025/08/dubai-reaps-relocation-rewards-as-wealthy-brits-pick-emirate/&amp;ct=ga&amp;cd=CAEYASoUMTQ2OTUxMjA5MDQzODA2NzE3MzQyGmYxMGNhMzlmN2NmNGIzNmM6Y29tOmVuOlVT&amp;usg=AOvVaw2TJMVeBeRdg91y-mf0kfMP" TargetMode="External"/><Relationship Id="rId378" Type="http://schemas.openxmlformats.org/officeDocument/2006/relationships/hyperlink" Target="https://www.instagram.com/p/DSaErXhDY25/" TargetMode="External"/><Relationship Id="rId135" Type="http://schemas.openxmlformats.org/officeDocument/2006/relationships/hyperlink" Target="https://www.thenationalnews.com/business/2025/05/29/dubai-property-prices-expected-to-fall-by-15-on-supply-glut-this-year-fitch-says/" TargetMode="External"/><Relationship Id="rId256" Type="http://schemas.openxmlformats.org/officeDocument/2006/relationships/hyperlink" Target="https://thebrewnews.com/thebrew-news/dubai-millionaire-every-hour-2025/" TargetMode="External"/><Relationship Id="rId377" Type="http://schemas.openxmlformats.org/officeDocument/2006/relationships/hyperlink" Target="https://www.khaleejtimes.com/business/property/dubai-rents-increase-6-2026-population-growth" TargetMode="External"/><Relationship Id="rId134" Type="http://schemas.openxmlformats.org/officeDocument/2006/relationships/hyperlink" Target="https://gulfnews.com/business/property/dubai-property-damac-scores-perfect-goal-with-chelsea-1.500144361" TargetMode="External"/><Relationship Id="rId255" Type="http://schemas.openxmlformats.org/officeDocument/2006/relationships/hyperlink" Target="https://www.google.com/url?rct=j&amp;sa=t&amp;url=https://www.khaleejtimes.com/business/property/dubai-sees-boom-in-branded-residences-as-buyers-embrace-lifestyle-driven-luxury&amp;ct=ga&amp;cd=CAAYADIaZjEwY2EzOWY3Y2Y0YjM2Yzpjb206ZW46VVM&amp;usg=AOvVaw0x-wdw5EN8kjWOjoLbrEKW" TargetMode="External"/><Relationship Id="rId376" Type="http://schemas.openxmlformats.org/officeDocument/2006/relationships/hyperlink" Target="https://www.instagram.com/p/DSaErXhDY25/?img_index=5&amp;igsh=ZnI1a2g5NXllbHZ5" TargetMode="External"/><Relationship Id="rId133" Type="http://schemas.openxmlformats.org/officeDocument/2006/relationships/hyperlink" Target="https://arqam.news/454839/" TargetMode="External"/><Relationship Id="rId254" Type="http://schemas.openxmlformats.org/officeDocument/2006/relationships/hyperlink" Target="https://www.google.com/url?rct=j&amp;sa=t&amp;url=https://www.khaleejtimes.com/business/property/dubai-sees-boom-in-branded-residences-as-buyers-embrace-lifestyle-driven-luxury&amp;ct=ga&amp;cd=CAAYADIaZjEwY2EzOWY3Y2Y0YjM2Yzpjb206ZW46VVM&amp;usg=AOvVaw0x-wdw5EN8kjWOjoLbrEKW" TargetMode="External"/><Relationship Id="rId375" Type="http://schemas.openxmlformats.org/officeDocument/2006/relationships/hyperlink" Target="https://www.google.com/url?rct=j&amp;sa=t&amp;url=https://www.pressreader.com/uae/khaleej-times/20251219/281797110337022&amp;ct=ga&amp;cd=CAAYADIaZjEwY2EzOWY3Y2Y0YjM2Yzpjb206ZW46VVM&amp;usg=AOvVaw2EMCZ7OXvBhm-x9XIYsoo9" TargetMode="External"/><Relationship Id="rId62" Type="http://schemas.openxmlformats.org/officeDocument/2006/relationships/hyperlink" Target="https://www.theglobeandmail.com/investing/markets/markets-news/GetNews/31397304/fy2024-dubai-real-estate-market-highlights-a-year-of-growth-and-transition/" TargetMode="External"/><Relationship Id="rId61" Type="http://schemas.openxmlformats.org/officeDocument/2006/relationships/hyperlink" Target="https://gulfnews.com/business/property/dubai-rents-more-signs-emerge-of-rent-increases-slowing-down-1.500058309" TargetMode="External"/><Relationship Id="rId64" Type="http://schemas.openxmlformats.org/officeDocument/2006/relationships/hyperlink" Target="https://www.meed.com/dubai-property-market-rebounds-in-february" TargetMode="External"/><Relationship Id="rId63" Type="http://schemas.openxmlformats.org/officeDocument/2006/relationships/hyperlink" Target="https://www.openpr.com/news/3915763/fy2024-dubai-real-estate-market-highlights-a-year-of-growth" TargetMode="External"/><Relationship Id="rId66" Type="http://schemas.openxmlformats.org/officeDocument/2006/relationships/hyperlink" Target="https://www.arabianbusiness.com/industries/real-estate/dubai-real-estate-property-sales-surge-17-to-11-16bn-in-february-2025" TargetMode="External"/><Relationship Id="rId172" Type="http://schemas.openxmlformats.org/officeDocument/2006/relationships/hyperlink" Target="https://www.streetinsider.com/Press+Releases/Dubai+Set+to+Attract+Billions+in+Global+Wealth+in+2025%2C+According+to+New+Betterhomes+Report/24973276.html" TargetMode="External"/><Relationship Id="rId293" Type="http://schemas.openxmlformats.org/officeDocument/2006/relationships/hyperlink" Target="https://propnewstime.com/getdetailsStories/MjEwMDY=/emirati-developers-eye-british-investors-as-weaker-dirham-boosts-property-affordability" TargetMode="External"/><Relationship Id="rId65" Type="http://schemas.openxmlformats.org/officeDocument/2006/relationships/hyperlink" Target="https://www.businessoutreach.in/dubai-real-estate-market-surges-to-aed-41-billion-in-february-sales/" TargetMode="External"/><Relationship Id="rId171" Type="http://schemas.openxmlformats.org/officeDocument/2006/relationships/hyperlink" Target="https://news.marketersmedia.com/dubai-set-to-attract-billions-in-global-wealth-in-2025-according-to-new-betterhomes-report/89162798" TargetMode="External"/><Relationship Id="rId292" Type="http://schemas.openxmlformats.org/officeDocument/2006/relationships/hyperlink" Target="https://www.google.com/url?rct=j&amp;sa=t&amp;url=https://propnewstime.com/getdetailsStories/MjEwMDY%3D/emirati-developers-eye-british-investors-as-weaker-dirham-boosts-property-affordability&amp;ct=ga&amp;cd=CAEYACoSMTc5MzEwNjIyODg1OTQzOTI1MhpmMTBjYTM5ZjdjZjRiMzZjOmNvbTplbjpVUw&amp;usg=AOvVaw0t2Wi6lG0XHBOhU7L8vo3Z" TargetMode="External"/><Relationship Id="rId68" Type="http://schemas.openxmlformats.org/officeDocument/2006/relationships/hyperlink" Target="https://www.khaleejtimes.com/business/property/dubai-realty-shatters-records-as-prices-hit-new-highs" TargetMode="External"/><Relationship Id="rId170" Type="http://schemas.openxmlformats.org/officeDocument/2006/relationships/hyperlink" Target="https://www.arabianbusiness.com/politics-economics/the-great-wealth-migration-how-dubai-became-the-worlds-top-millionaire-magnet?utm_medium=email&amp;utm_medium=email&amp;utm_campaign=How%20Dubai%20became%20a%20millionaire%20magnet%20Dubai%20Airport%20extension%20LA%20Lakers%20to%20sell%20for%2010bn%20084828%20AM&amp;utm_content=How%20Dubai%20became%20a%20millionaire%20magnet%20Dubai%20Airport%20extension%20LA%20Lakers%20to%20sell%20for%2010bn%20084828%20AM+CID_7dd3729fa111a8ae7e7542513d5fcaad&amp;utm_source=Newsletters&amp;utm_term=The%20great%20wealth%20migration%20How%20Dubai%20became%20the%20worlds%20top%20millionaire%20magnet" TargetMode="External"/><Relationship Id="rId291" Type="http://schemas.openxmlformats.org/officeDocument/2006/relationships/hyperlink" Target="https://www.google.com/url?rct=j&amp;sa=t&amp;url=https://www.reuters.com/world/middle-east/dubai-looks-capitalise-weak-dirham-lure-british-home-buyers-2025-09-07/&amp;ct=ga&amp;cd=CAAYADIaZjEwY2EzOWY3Y2Y0YjM2Yzpjb206ZW46VVM&amp;usg=AOvVaw31Fn6MnsQbEMgJhWRKmrQz" TargetMode="External"/><Relationship Id="rId67" Type="http://schemas.openxmlformats.org/officeDocument/2006/relationships/hyperlink" Target="https://www.khaleejtimes.com/uae/dubai-affordable-housing-residents-income" TargetMode="External"/><Relationship Id="rId290" Type="http://schemas.openxmlformats.org/officeDocument/2006/relationships/hyperlink" Target="https://www.google.com/url?rct=j&amp;sa=t&amp;url=https://www.reuters.com/world/middle-east/dubai-looks-capitalise-weak-dirham-lure-british-home-buyers-2025-09-07/&amp;ct=ga&amp;cd=CAAYADIaZjEwY2EzOWY3Y2Y0YjM2Yzpjb206ZW46VVM&amp;usg=AOvVaw31Fn6MnsQbEMgJhWRKmrQz" TargetMode="External"/><Relationship Id="rId60" Type="http://schemas.openxmlformats.org/officeDocument/2006/relationships/hyperlink" Target="https://propakistani.pk/2025/03/12/pakistan-ranks-fifth-among-top-property-buyers-in-dubai/" TargetMode="External"/><Relationship Id="rId165" Type="http://schemas.openxmlformats.org/officeDocument/2006/relationships/hyperlink" Target="https://www.google.com/url?rct=j&amp;sa=t&amp;url=https://www.thenationalnews.com/news/uae/2025/06/16/dubai-homeowners-prepared-to-play-the-long-game-if-property-values-fall/&amp;ct=ga&amp;cd=CAEYAioTNDYzNDkyODI2MzAxODkwMDQzNTIaZjEwY2EzOWY3Y2Y0YjM2Yzpjb206ZW46VVM&amp;usg=AOvVaw1mbVexmFndEmPuv1HqVu9S" TargetMode="External"/><Relationship Id="rId286" Type="http://schemas.openxmlformats.org/officeDocument/2006/relationships/hyperlink" Target="https://www.google.com/url?rct=j&amp;sa=t&amp;url=https://gulfbusiness.com/uae-real-estates-investors-residents-ownership/&amp;ct=ga&amp;cd=CAAYADIaZjEwY2EzOWY3Y2Y0YjM2Yzpjb206ZW46VVM&amp;usg=AOvVaw3glKSkoWqWlgxizv4Wjc9s" TargetMode="External"/><Relationship Id="rId69" Type="http://schemas.openxmlformats.org/officeDocument/2006/relationships/hyperlink" Target="https://propnewstime.com/getdetailsStories/MTYwNDM=/dubai-real-estate-market-maintains-strong-momentum-with-record-prices-and-rising-sales-volumes" TargetMode="External"/><Relationship Id="rId164" Type="http://schemas.openxmlformats.org/officeDocument/2006/relationships/hyperlink" Target="https://www.google.com/url?rct=j&amp;sa=t&amp;url=https://www.thenationalnews.com/news/uae/2025/06/16/dubai-homeowners-prepared-to-play-the-long-game-if-property-values-fall/&amp;ct=ga&amp;cd=CAEYAioTNDYzNDkyODI2MzAxODkwMDQzNTIaZjEwY2EzOWY3Y2Y0YjM2Yzpjb206ZW46VVM&amp;usg=AOvVaw1mbVexmFndEmPuv1HqVu9S" TargetMode="External"/><Relationship Id="rId285" Type="http://schemas.openxmlformats.org/officeDocument/2006/relationships/hyperlink" Target="https://www.google.com/url?rct=j&amp;sa=t&amp;url=https://economymiddleeast.com/news/13-9-billion-in-dubai-property-sales-signals-strong-real-estate-momentum-in-august-2025/&amp;ct=ga&amp;cd=CAAYADIaZjEwY2EzOWY3Y2Y0YjM2Yzpjb206ZW46VVM&amp;usg=AOvVaw2IBFR5DkKMnuavOM-tUbld" TargetMode="External"/><Relationship Id="rId163" Type="http://schemas.openxmlformats.org/officeDocument/2006/relationships/hyperlink" Target="https://businesslobbies.com/realestate/investment/jumeirah-bay-leads-dubais-luxury-waterfront-with-24-price-growth-yoy" TargetMode="External"/><Relationship Id="rId284" Type="http://schemas.openxmlformats.org/officeDocument/2006/relationships/hyperlink" Target="https://www.google.com/url?rct=j&amp;sa=t&amp;url=https://economymiddleeast.com/news/13-9-billion-in-dubai-property-sales-signals-strong-real-estate-momentum-in-august-2025/&amp;ct=ga&amp;cd=CAAYADIaZjEwY2EzOWY3Y2Y0YjM2Yzpjb206ZW46VVM&amp;usg=AOvVaw2IBFR5DkKMnuavOM-tUbld" TargetMode="External"/><Relationship Id="rId162" Type="http://schemas.openxmlformats.org/officeDocument/2006/relationships/hyperlink" Target="https://www.google.com/url?rct=j&amp;sa=t&amp;url=https://www.khaleejtimes.com/business/jumeirah-bay-island-leads-surge-in-dubai-luxury-property-values&amp;ct=ga&amp;cd=CAEYASoTNDYzNDkyODI2MzAxODkwMDQzNTIaZjEwY2EzOWY3Y2Y0YjM2Yzpjb206ZW46VVM&amp;usg=AOvVaw1YQQP8LR9PUin54znj2y09" TargetMode="External"/><Relationship Id="rId283" Type="http://schemas.openxmlformats.org/officeDocument/2006/relationships/hyperlink" Target="http://google.com/url?rct=j&amp;sa=t&amp;url=https://www.onearabia.me/local/uae-real-estate-sector-strong-momentum-2025-011-120869.html&amp;ct=ga&amp;cd=CAAYATIaZjEwY2EzOWY3Y2Y0YjM2Yzpjb206ZW46VVM&amp;usg=AOvVaw0o6fRtL7qWjqiY0l97gnbD" TargetMode="External"/><Relationship Id="rId169" Type="http://schemas.openxmlformats.org/officeDocument/2006/relationships/hyperlink" Target="https://www.thenationalnews.com/business/property/2025/06/18/developer-expects-1bn-trump-tower-in-dubai-to-sell-out-by-end-of-summer/" TargetMode="External"/><Relationship Id="rId168" Type="http://schemas.openxmlformats.org/officeDocument/2006/relationships/hyperlink" Target="https://www.msn.com/en-ae/money/news/developer-expects-1bn-trump-tower-in-dubai-to-sell-out-by-end-of-summer/ar-AA1GVdRW?ocid=finance-verthp-feeds" TargetMode="External"/><Relationship Id="rId289" Type="http://schemas.openxmlformats.org/officeDocument/2006/relationships/hyperlink" Target="https://www.google.com/url?rct=j&amp;sa=t&amp;url=https://economymiddleeast.com/news/dubai-zayed-housing-program-issues-2971-approvals-in-2025-totaling-over-544-6-million-in-value/&amp;ct=ga&amp;cd=CAAYADIaZjEwY2EzOWY3Y2Y0YjM2Yzpjb206ZW46VVM&amp;usg=AOvVaw38SPXqSd3O0VDIH7QnffkI" TargetMode="External"/><Relationship Id="rId167" Type="http://schemas.openxmlformats.org/officeDocument/2006/relationships/hyperlink" Target="https://www.google.com/url?rct=j&amp;sa=t&amp;url=https://www.khaleejtimes.com/business/property/dubai-metro-blue-line-rents-in-9-communities-jump-up-to-43-percent&amp;ct=ga&amp;cd=CAEYAyoTNDYzNDkyODI2MzAxODkwMDQzNTIaZjEwY2EzOWY3Y2Y0YjM2Yzpjb206ZW46VVM&amp;usg=AOvVaw1eJk6A8lu2dcyCDARgtH4E" TargetMode="External"/><Relationship Id="rId288" Type="http://schemas.openxmlformats.org/officeDocument/2006/relationships/hyperlink" Target="https://www.google.com/url?rct=j&amp;sa=t&amp;url=https://economymiddleeast.com/news/dubai-zayed-housing-program-issues-2971-approvals-in-2025-totaling-over-544-6-million-in-value/&amp;ct=ga&amp;cd=CAAYADIaZjEwY2EzOWY3Y2Y0YjM2Yzpjb206ZW46VVM&amp;usg=AOvVaw38SPXqSd3O0VDIH7QnffkI" TargetMode="External"/><Relationship Id="rId166" Type="http://schemas.openxmlformats.org/officeDocument/2006/relationships/hyperlink" Target="https://www.google.com/url?rct=j&amp;sa=t&amp;url=https://www.khaleejtimes.com/business/property/dubai-metro-blue-line-rents-in-9-communities-jump-up-to-43-percent&amp;ct=ga&amp;cd=CAEYAyoTNDYzNDkyODI2MzAxODkwMDQzNTIaZjEwY2EzOWY3Y2Y0YjM2Yzpjb206ZW46VVM&amp;usg=AOvVaw1eJk6A8lu2dcyCDARgtH4E" TargetMode="External"/><Relationship Id="rId287" Type="http://schemas.openxmlformats.org/officeDocument/2006/relationships/hyperlink" Target="https://www.google.com/url?rct=j&amp;sa=t&amp;url=https://gulfbusiness.com/uae-real-estates-investors-residents-ownership/&amp;ct=ga&amp;cd=CAAYADIaZjEwY2EzOWY3Y2Y0YjM2Yzpjb206ZW46VVM&amp;usg=AOvVaw3glKSkoWqWlgxizv4Wjc9s" TargetMode="External"/><Relationship Id="rId51" Type="http://schemas.openxmlformats.org/officeDocument/2006/relationships/hyperlink" Target="https://economictimes.indiatimes.com/wealth/real-estate/thinking-of-buying-a-property-in-dubai-consider-fema-limits-hidden-costs-developers-and-zone-type-before-taking-a-call/articleshow/118642147.cms?from=mdr" TargetMode="External"/><Relationship Id="rId50" Type="http://schemas.openxmlformats.org/officeDocument/2006/relationships/hyperlink" Target="https://www.zawya.com/en/press-release/companies-news/betterhomes-awarded-best-real-estate-agency-in-arabia-at-the-international-property-awards-t6ekdgob" TargetMode="External"/><Relationship Id="rId53" Type="http://schemas.openxmlformats.org/officeDocument/2006/relationships/hyperlink" Target="https://www.brecorder.com/news/40351232/pakistanis-among-top-5-buyers-of-real-estate-in-dubai-indians-top-list" TargetMode="External"/><Relationship Id="rId52" Type="http://schemas.openxmlformats.org/officeDocument/2006/relationships/hyperlink" Target="https://www.msn.com/en-in/money/real-estate/meet-the-owner-of-dubai-s-burj-khalifa-world-s-tallest-building-not-sultan-of-uae-dubai-king-the-name-is/ar-AA1zQCjB?ocid=BingNewsVerp&amp;apiversion=v2&amp;noservercache=1&amp;domshim=1&amp;renderwebcomponents=1&amp;wcseo=1&amp;batchservertelemetry=1&amp;noservertelemetry=1" TargetMode="External"/><Relationship Id="rId55" Type="http://schemas.openxmlformats.org/officeDocument/2006/relationships/hyperlink" Target="https://www.arabianbusiness.com/industries/real-estate/dubai-real-estate-betterhomes-takes-over-management-of-dg-129-in-discovery-gardens" TargetMode="External"/><Relationship Id="rId161" Type="http://schemas.openxmlformats.org/officeDocument/2006/relationships/hyperlink" Target="https://www.google.com/url?rct=j&amp;sa=t&amp;url=https://www.khaleejtimes.com/business/jumeirah-bay-island-leads-surge-in-dubai-luxury-property-values&amp;ct=ga&amp;cd=CAEYASoTNDYzNDkyODI2MzAxODkwMDQzNTIaZjEwY2EzOWY3Y2Y0YjM2Yzpjb206ZW46VVM&amp;usg=AOvVaw1YQQP8LR9PUin54znj2y09" TargetMode="External"/><Relationship Id="rId282" Type="http://schemas.openxmlformats.org/officeDocument/2006/relationships/hyperlink" Target="https://www.google.com/url?rct=j&amp;sa=t&amp;url=https://www.onearabia.me/local/uae-real-estate-sector-strong-momentum-2025-011-120869.html&amp;ct=ga&amp;cd=CAAYATIaZjEwY2EzOWY3Y2Y0YjM2Yzpjb206ZW46VVM&amp;usg=AOvVaw0o6fRtL7qWjqiY0l97gnbD" TargetMode="External"/><Relationship Id="rId54" Type="http://schemas.openxmlformats.org/officeDocument/2006/relationships/hyperlink" Target="https://www.zawya.com/en/press-release/companies-news/dg-129-now-exclusively-managed-by-betterhomes-sfrxelru" TargetMode="External"/><Relationship Id="rId160" Type="http://schemas.openxmlformats.org/officeDocument/2006/relationships/hyperlink" Target="https://www.google.com/url?rct=j&amp;sa=t&amp;url=https://gulfnews.com/business/property/dubais-jumeira-bay-leads-the-way-in-priciest-waterfront-homes-1.500164958&amp;ct=ga&amp;cd=CAEYACoTNDYzNDkyODI2MzAxODkwMDQzNTIaZjEwY2EzOWY3Y2Y0YjM2Yzpjb206ZW46VVM&amp;usg=AOvVaw35FRzJhzIL59OszkpoaKPL" TargetMode="External"/><Relationship Id="rId281" Type="http://schemas.openxmlformats.org/officeDocument/2006/relationships/hyperlink" Target="https://www.wam.ae/en/article/blhmzqw-uae-real-estate-sector-maintains-strong-momentum" TargetMode="External"/><Relationship Id="rId57" Type="http://schemas.openxmlformats.org/officeDocument/2006/relationships/hyperlink" Target="https://menafn.com/1109300107/Dubais-Real-Estate-Boom-During-Ramadan-Why-the-Market-Surges-Instead-of-Slowing" TargetMode="External"/><Relationship Id="rId280" Type="http://schemas.openxmlformats.org/officeDocument/2006/relationships/hyperlink" Target="http://wam.ae/" TargetMode="External"/><Relationship Id="rId56" Type="http://schemas.openxmlformats.org/officeDocument/2006/relationships/hyperlink" Target="https://www.agbi.com/real-estate/2025/03/egyptians-show-sudden-interest-in-dubai-property/" TargetMode="External"/><Relationship Id="rId159" Type="http://schemas.openxmlformats.org/officeDocument/2006/relationships/hyperlink" Target="https://www.google.com/url?rct=j&amp;sa=t&amp;url=https://gulfnews.com/business/property/dubais-jumeira-bay-leads-the-way-in-priciest-waterfront-homes-1.500164958&amp;ct=ga&amp;cd=CAEYACoTNDYzNDkyODI2MzAxODkwMDQzNTIaZjEwY2EzOWY3Y2Y0YjM2Yzpjb206ZW46VVM&amp;usg=AOvVaw35FRzJhzIL59OszkpoaKPL" TargetMode="External"/><Relationship Id="rId59" Type="http://schemas.openxmlformats.org/officeDocument/2006/relationships/hyperlink" Target="https://english.aaj.tv/news/330406793/pakistan-ranks-fifth-among-top-property-buyers-in-dubai" TargetMode="External"/><Relationship Id="rId154" Type="http://schemas.openxmlformats.org/officeDocument/2006/relationships/hyperlink" Target="https://www.cbnme.com/analysis/jumeirah-bay-island-leads-dubais-coastal-luxury-boom/" TargetMode="External"/><Relationship Id="rId275" Type="http://schemas.openxmlformats.org/officeDocument/2006/relationships/hyperlink" Target="https://whatson.ae/2025/08/dubai-real-estate-140-branded-residences-coming-to-dubai-by-2031/" TargetMode="External"/><Relationship Id="rId58" Type="http://schemas.openxmlformats.org/officeDocument/2006/relationships/hyperlink" Target="https://www.khaleejtimes.com/uae/dubai-rent-rise-slow-down-2025" TargetMode="External"/><Relationship Id="rId153" Type="http://schemas.openxmlformats.org/officeDocument/2006/relationships/hyperlink" Target="https://businesslobbies.com/realestate/investment/dubai-real-estate-delivers-aed-545b-in-may-sales-with-15-growth-across-sales-and-leasing" TargetMode="External"/><Relationship Id="rId274" Type="http://schemas.openxmlformats.org/officeDocument/2006/relationships/hyperlink" Target="https://businesslobbies.com/realestate/residential/dubai-branded-residences-boom-with-over-140-new-projects-by-2031" TargetMode="External"/><Relationship Id="rId152" Type="http://schemas.openxmlformats.org/officeDocument/2006/relationships/hyperlink" Target="https://nabd-alhadath.com/archives/105500" TargetMode="External"/><Relationship Id="rId273" Type="http://schemas.openxmlformats.org/officeDocument/2006/relationships/hyperlink" Target="https://www.google.com/url?rct=j&amp;sa=t&amp;url=https://arqam.news/480288/&amp;ct=ga&amp;cd=CAEYAyoUMTczNDk0MjQxNzcwNjY3Nzc0MTIyGmZhYjQyOTJhMDU3NTVhZjY6Y29tOmVuOlVT&amp;usg=AOvVaw3TjHm4DXc9DsING6Mx4ZXd" TargetMode="External"/><Relationship Id="rId151" Type="http://schemas.openxmlformats.org/officeDocument/2006/relationships/hyperlink" Target="https://www.google.com/url?rct=j&amp;sa=t&amp;url=https://economymiddleeast.com/news/dubai-south-property-prices-to-rise-15-20-percent-amid-35-billion-al-maktoum-airport-expansion/&amp;ct=ga&amp;cd=CAEYASoTODE1MTcyNDc3NTAzMjc4NzM1NjIaZjEwY2EzOWY3Y2Y0YjM2Yzpjb206ZW46VVM&amp;usg=AOvVaw2H0BPVjMwVwoGTadTD9wIg" TargetMode="External"/><Relationship Id="rId272" Type="http://schemas.openxmlformats.org/officeDocument/2006/relationships/hyperlink" Target="https://www.google.com/url?rct=j&amp;sa=t&amp;url=https://arqam.news/480288/&amp;ct=ga&amp;cd=CAEYAyoUMTczNDk0MjQxNzcwNjY3Nzc0MTIyGmZhYjQyOTJhMDU3NTVhZjY6Y29tOmVuOlVT&amp;usg=AOvVaw3TjHm4DXc9DsING6Mx4ZXd" TargetMode="External"/><Relationship Id="rId158" Type="http://schemas.openxmlformats.org/officeDocument/2006/relationships/hyperlink" Target="https://menafn.com/1109678192/AED-128B-Al-Maktoum-Project-Fuels-Real-Estate-Boom-In-Dubai-South" TargetMode="External"/><Relationship Id="rId279" Type="http://schemas.openxmlformats.org/officeDocument/2006/relationships/hyperlink" Target="https://www.arabianbusiness.com/industries/real-estate/dubai-real-estate-emirate-sets-global-standard-for-branded-residences-with-140-projects-by-2031-says-new-report" TargetMode="External"/><Relationship Id="rId157" Type="http://schemas.openxmlformats.org/officeDocument/2006/relationships/hyperlink" Target="https://www.google.com/url?rct=j&amp;sa=t&amp;url=https://www.arabianbusiness.com/industries/real-estate/dubai-real-estate-jumeirah-bay-island-property-prices-jump-24-says-new-report&amp;ct=ga&amp;cd=CAEYACoTMjI0NTY4NjQ5MDM0OTYxOTQ1NzIaZmFiNDI5MmEwNTc1NWFmNjpjb206ZW46VVM&amp;usg=AOvVaw0aAKAX2xs_1lh3bRxOvSFl" TargetMode="External"/><Relationship Id="rId278" Type="http://schemas.openxmlformats.org/officeDocument/2006/relationships/hyperlink" Target="https://www.google.com/url?rct=j&amp;sa=t&amp;url=https://www.constructionweekonline.com/news/dubai-branded-residences&amp;ct=ga&amp;cd=CAEYACoUMTI5Nzc1MDAxNzEyNjY5OTUxMjkyGmZhYjQyOTJhMDU3NTVhZjY6Y29tOmVuOlVT&amp;usg=AOvVaw0n4Q0ThPER5gwTvw5Es61a" TargetMode="External"/><Relationship Id="rId156" Type="http://schemas.openxmlformats.org/officeDocument/2006/relationships/hyperlink" Target="https://www.google.com/url?rct=j&amp;sa=t&amp;url=https://www.arabianbusiness.com/industries/real-estate/dubai-real-estate-jumeirah-bay-island-property-prices-jump-24-says-new-report&amp;ct=ga&amp;cd=CAEYACoTMjI0NTY4NjQ5MDM0OTYxOTQ1NzIaZmFiNDI5MmEwNTc1NWFmNjpjb206ZW46VVM&amp;usg=AOvVaw0aAKAX2xs_1lh3bRxOvSFl" TargetMode="External"/><Relationship Id="rId277" Type="http://schemas.openxmlformats.org/officeDocument/2006/relationships/hyperlink" Target="https://www.google.com/url?rct=j&amp;sa=t&amp;url=https://www.constructionweekonline.com/news/dubai-branded-residences&amp;ct=ga&amp;cd=CAEYACoUMTI5Nzc1MDAxNzEyNjY5OTUxMjkyGmZhYjQyOTJhMDU3NTVhZjY6Y29tOmVuOlVT&amp;usg=AOvVaw0n4Q0ThPER5gwTvw5Es61a" TargetMode="External"/><Relationship Id="rId155" Type="http://schemas.openxmlformats.org/officeDocument/2006/relationships/hyperlink" Target="https://mid-east.info/jumeirah-bay-leads-dubais-luxury-waterfront-with-24-price-growth-yoy/" TargetMode="External"/><Relationship Id="rId276" Type="http://schemas.openxmlformats.org/officeDocument/2006/relationships/hyperlink" Target="https://www.arabianbusiness.com/industries/real-estate/dubai-real-estate-emirate-sets-global-standard-for-branded-residences-with-140-projects-by-2031-says-new-report?utm_medium=email&amp;utm_medium=email&amp;utm_campaign=Dubai%20branded%20residences%20to%20grow%20by%20140%20projects%20UAE-Vietnam%20trade%20up%2017%20Abu%20Dhabi%20issues%205000%20licences%20to%20Emirati%20women%20085642%20AM&amp;utm_content=Dubai%20branded%20residences%20to%20grow%20by%20140%20projects%20UAE-Vietnam%20trade%20up%2017%20Abu%20Dhabi%20issues%205000%20licences%20to%20Emirati%20women%20085642%20AM+CID_dbf5ce16608de0bb4caa1662df3c31d5&amp;utm_source=Newsletters&amp;utm_term=Dubai%20sets%20global%20standard%20for%20branded%20residences%20with%20140%20projects%20by%202031%20says%20new%20report" TargetMode="External"/><Relationship Id="rId107" Type="http://schemas.openxmlformats.org/officeDocument/2006/relationships/hyperlink" Target="https://www.arabianbusiness.com/industries/real-estate/abu-dhabi-property-prices-to-surge-following-disney-theme-park-announcement?utm_medium=email&amp;utm_medium=email&amp;utm_campaign=Al%20Maktoum%20International%20Airport%20update%203%20new%20hospitals%20in%20Dubai%20AED100m%20divorce%20in%20UAE%20051007%20AM&amp;utm_content=Al%20Maktoum%20International%20Airport%20update%203%20new%20hospitals%20in%20Dubai%20AED100m%20divorce%20in%20UAE%20051007%20AM+CID_5663614f6207e9e7123efdc83bb5f3dd&amp;utm_source=Newsletters&amp;utm_term=Abu%20Dhabi%20property%20prices%20to%20surge%20following%20Disney%20theme%20park%20announcement" TargetMode="External"/><Relationship Id="rId228" Type="http://schemas.openxmlformats.org/officeDocument/2006/relationships/hyperlink" Target="https://www.khaleejtimes.com/uae/schools-and-parents/dubai9best-areasfortopschools" TargetMode="External"/><Relationship Id="rId349" Type="http://schemas.openxmlformats.org/officeDocument/2006/relationships/hyperlink" Target="https://www.tradingview.com/news/reuters.com,2025-11-14:newsml_Zaw81dTpy:0-sng-dubai-property-market-holds-steady-sales-value-climbs-4-2-in-october/" TargetMode="External"/><Relationship Id="rId106" Type="http://schemas.openxmlformats.org/officeDocument/2006/relationships/hyperlink" Target="https://arqam.news/446966/" TargetMode="External"/><Relationship Id="rId227" Type="http://schemas.openxmlformats.org/officeDocument/2006/relationships/hyperlink" Target="https://menafn.com/1109921822/Moving-Your-Family-To-Dubai-9-Best-Areas-For-Top-Schools" TargetMode="External"/><Relationship Id="rId348" Type="http://schemas.openxmlformats.org/officeDocument/2006/relationships/hyperlink" Target="http://google.com/url?rct=j&amp;sa=t&amp;url=https://menafn.com/1110352196/Dubai-Property-Market-Holds-Steady-As-Sales-Value-Climbs-42-Mom-And-Leasing-Demand-Remains-Resilient-In-October&amp;ct=ga&amp;cd=CAEYACoTMjg2MTg1NjYxNzczNjUwNzYxMTIaZjEwY2EzOWY3Y2Y0YjM2Yzpjb206ZW46VVM&amp;usg=AOvVaw0jbkXu5FFlupxG0w0ShtUS" TargetMode="External"/><Relationship Id="rId105" Type="http://schemas.openxmlformats.org/officeDocument/2006/relationships/hyperlink" Target="https://www.cbnme.com/news/betterhomes-partners-with-dhb-holding-to-launch-first-residential-project-in-yas-bay/" TargetMode="External"/><Relationship Id="rId226" Type="http://schemas.openxmlformats.org/officeDocument/2006/relationships/hyperlink" Target="https://www.google.com/url?rct=j&amp;sa=t&amp;url=https://menafn.com/1109921822/Moving-Your-Family-To-Dubai-9-Best-Areas-For-Top-Schools&amp;ct=ga&amp;cd=CAEYAioUMTIwNTQ3MDQwMjUxNjUwNzY2MjYyGmYxMGNhMzlmN2NmNGIzNmM6Y29tOmVuOlVT&amp;usg=AOvVaw0dhzDU6a8JzpLEyDV8mL1v" TargetMode="External"/><Relationship Id="rId347" Type="http://schemas.openxmlformats.org/officeDocument/2006/relationships/hyperlink" Target="http://google.com/url?rct=j&amp;sa=t&amp;url=https://www.arabianbusiness.com/industries/real-estate/dubai-real-estate-stable-as-sales-hit-12-65bn-and-leasing-demand-holds-firm&amp;ct=ga&amp;cd=CAAYADIaZjEwY2EzOWY3Y2Y0YjM2Yzpjb206ZW46VVM&amp;usg=AOvVaw3K3WEcmq9p0_e2O5u8MNhk" TargetMode="External"/><Relationship Id="rId104" Type="http://schemas.openxmlformats.org/officeDocument/2006/relationships/hyperlink" Target="https://www.zawya.com/en/press-release/companies-news/betterhomes-and-dhb-holding-announce-exclusive-partnership-in-yas-bay-u9g76tkr" TargetMode="External"/><Relationship Id="rId225" Type="http://schemas.openxmlformats.org/officeDocument/2006/relationships/hyperlink" Target="https://www.builtenvironmentme.com/dubai-residential-property-market-powers-ahead-july-sales-up-20-rentals-hold-strong" TargetMode="External"/><Relationship Id="rId346" Type="http://schemas.openxmlformats.org/officeDocument/2006/relationships/hyperlink" Target="http://google.com/url?rct=j&amp;sa=t&amp;url=https://www.tradearabia.com/News/330452/Dubai-property-market-holds-steady%252C-sales-value-climbs-4.2-Percent-in-October/CONS&amp;ct=ga&amp;cd=CAAYADIaZjEwY2EzOWY3Y2Y0YjM2Yzpjb206ZW46VVM&amp;usg=AOvVaw2tlcvoGrcpSt8ye0zPlYNi" TargetMode="External"/><Relationship Id="rId109" Type="http://schemas.openxmlformats.org/officeDocument/2006/relationships/hyperlink" Target="https://www.thenationalnews.com/news/uae/2025/05/09/disneyland-abu-dhabi-theme-park-yas-island-property-prices/" TargetMode="External"/><Relationship Id="rId108" Type="http://schemas.openxmlformats.org/officeDocument/2006/relationships/hyperlink" Target="https://www.arabianbusiness.com/industries/real-estate/dubai-real-estate-tenants-want-professionally-managed-properties-betterhomes-study-reveals?utm_medium=email&amp;utm_medium=email&amp;utm_campaign=Dubai%20real%20estate%20study%20Primark%20in%20the%20Middle%20East%20Dubai%20real%20estate%20sales%20up%2061%20110046%20AM&amp;utm_content=Dubai%20real%20estate%20study%20Primark%20in%20the%20Middle%20East%20Dubai%20real%20estate%20sales%20up%2061%20110046%20AM+CID_47a28fd968f41ccbcbfd9bbc593fc5f7&amp;utm_source=Newsletters&amp;utm_term=Dubai%20real%20estate%20Tenants%20want%20professionally%20managed%20properties" TargetMode="External"/><Relationship Id="rId229" Type="http://schemas.openxmlformats.org/officeDocument/2006/relationships/hyperlink" Target="https://www.google.com/url?rct=j&amp;sa=t&amp;url=https://www.msn.com/en-ae/money/news/why-it-s-easier-now-for-dubai-tenants-to-become-homeowners/ar-AA1KpORt&amp;ct=ga&amp;cd=CAEYASoUMTIwNTQ3MDQwMjUxNjUwNzY2MjYyGmYxMGNhMzlmN2NmNGIzNmM6Y29tOmVuOlVT&amp;usg=AOvVaw3ageMbBL_Gt3N20fHE5_UK" TargetMode="External"/><Relationship Id="rId220" Type="http://schemas.openxmlformats.org/officeDocument/2006/relationships/hyperlink" Target="https://www.msn.com/en-nz/money/homeandproperty/buy-or-rent-in-2025-new-dubai-real-estate-trends-residents-can-use-now/ar-AA1KjiNM?ocid=finance-verthp-feeds" TargetMode="External"/><Relationship Id="rId341" Type="http://schemas.openxmlformats.org/officeDocument/2006/relationships/hyperlink" Target="https://www.google.com/url?rct=j&amp;sa=t&amp;url=https://www.zawya.com/en/press-release/events-and-conferences/dubais-top-50-homes-returns-for-its-third-year-le8czl4r&amp;ct=ga&amp;cd=CAAYATIaZjEwY2EzOWY3Y2Y0YjM2Yzpjb206ZW46VVM&amp;usg=AOvVaw1FI9txGm4vWrEIdX1bGWtI" TargetMode="External"/><Relationship Id="rId340" Type="http://schemas.openxmlformats.org/officeDocument/2006/relationships/hyperlink" Target="https://www.google.com/url?rct=j&amp;sa=t&amp;url=https://www.zawya.com/en/press-release/events-and-conferences/dubais-top-50-homes-returns-for-its-third-year-le8czl4r&amp;ct=ga&amp;cd=CAAYATIaZjEwY2EzOWY3Y2Y0YjM2Yzpjb206ZW46VVM&amp;usg=AOvVaw1FI9txGm4vWrEIdX1bGWtI" TargetMode="External"/><Relationship Id="rId103" Type="http://schemas.openxmlformats.org/officeDocument/2006/relationships/hyperlink" Target="https://www.arabianbusiness.com/industries/real-estate/uae-real-estate-dhb-holding-betterhomes-launches-first-abu-dhabi-project" TargetMode="External"/><Relationship Id="rId224" Type="http://schemas.openxmlformats.org/officeDocument/2006/relationships/hyperlink" Target="https://businesslobbies.com/realestate/residential/residential-sales-surge-20-in-july-rentals-remain-strong" TargetMode="External"/><Relationship Id="rId345" Type="http://schemas.openxmlformats.org/officeDocument/2006/relationships/hyperlink" Target="https://arabianmarketer.ae/dubais-top-50-homes-returns-for-its-third-year/" TargetMode="External"/><Relationship Id="rId102" Type="http://schemas.openxmlformats.org/officeDocument/2006/relationships/hyperlink" Target="https://propakistani.pk/2025/04/30/rents-in-dubai-face-sudden-double-digit-hike/" TargetMode="External"/><Relationship Id="rId223" Type="http://schemas.openxmlformats.org/officeDocument/2006/relationships/hyperlink" Target="https://businesslobbies.com/realestate/residential/residential-sales-surge-20-in-july-rentals-remain-strong" TargetMode="External"/><Relationship Id="rId344" Type="http://schemas.openxmlformats.org/officeDocument/2006/relationships/hyperlink" Target="https://markets.financialcontent.com/wral/article/getnews-2025-11-6-dubai-realestate-introduces-a-smarter-way-to-explore-homes-and-investments-across-the-uae" TargetMode="External"/><Relationship Id="rId101" Type="http://schemas.openxmlformats.org/officeDocument/2006/relationships/hyperlink" Target="https://dreamproperties.ae/betterhomes-reports-strong-start-to-2025-as-dubai-real-estate-transactions-rise-sharply-in-first-quarter-streetinsider-22/" TargetMode="External"/><Relationship Id="rId222" Type="http://schemas.openxmlformats.org/officeDocument/2006/relationships/hyperlink" Target="https://www.arabianbusiness.com/industries/real-estate/dubai-smart-rental-index-bears-fruit-as-landlords-recalibrate-pricing-strategies" TargetMode="External"/><Relationship Id="rId343" Type="http://schemas.openxmlformats.org/officeDocument/2006/relationships/hyperlink" Target="http://wral.com/" TargetMode="External"/><Relationship Id="rId100" Type="http://schemas.openxmlformats.org/officeDocument/2006/relationships/hyperlink" Target="https://markets.businessinsider.com/news/stocks/betterhomes-reports-strong-start-to-2025-as-dubai-real-estate-transactions-rise-sharply-in-first-quarter-1034629417" TargetMode="External"/><Relationship Id="rId221" Type="http://schemas.openxmlformats.org/officeDocument/2006/relationships/hyperlink" Target="https://www.google.com/url?rct=j&amp;sa=t&amp;url=https://www.arabianbusiness.com/industries/real-estate/dubai-smart-rental-index-bears-fruit-as-landlords-recalibrate-pricing-strategies&amp;ct=ga&amp;cd=CAEYACoTNDkxNzE4MzY3MDk5OTI3NTc1MjIaZjEwY2EzOWY3Y2Y0YjM2Yzpjb206ZW46VVM&amp;usg=AOvVaw3MQoLolced9xOri_4357wU" TargetMode="External"/><Relationship Id="rId342" Type="http://schemas.openxmlformats.org/officeDocument/2006/relationships/hyperlink" Target="https://www.tradearabia.com/News/330251/Dubai%E2%80%99s-Top-50-Homes-competition-returns/CONS" TargetMode="External"/><Relationship Id="rId217" Type="http://schemas.openxmlformats.org/officeDocument/2006/relationships/hyperlink" Target="https://gulfnews.com/business/property/buy-or-rent-in-2025-new-dubai-real-estate-trends-residents-can-use-now-1.500229592" TargetMode="External"/><Relationship Id="rId338" Type="http://schemas.openxmlformats.org/officeDocument/2006/relationships/hyperlink" Target="https://www.onearabia.me/lifestyle/dubais-luxury-real-estate-market-enters-stable-mature-cycle-011-129371.html" TargetMode="External"/><Relationship Id="rId216" Type="http://schemas.openxmlformats.org/officeDocument/2006/relationships/hyperlink" Target="https://www.arabianbusiness.com/industries/real-estate/dubai-property-sales-hit-14bn-in-july-as-off-plan-demand-and-rents-surge-top-developers-revealed?utm_medium=email&amp;utm_medium=email&amp;utm_campaign=AB%20Espresso%20Dubai%20property%20sales%20hit%2014bn%20in%20July%20110013%20PM&amp;utm_content=AB%20Espresso%20Dubai%20property%20sales%20hit%2014bn%20in%20July%20110013%20PM+CID_488d1ee8c66466e3011f1033af3d186b&amp;utm_source=Newsletters&amp;utm_term=Dubais%20residential%20market%20saw%20higher%20sales%20and%20leasing%20activity%20in%20July" TargetMode="External"/><Relationship Id="rId337" Type="http://schemas.openxmlformats.org/officeDocument/2006/relationships/hyperlink" Target="https://www.arabianbusiness.com/industries/real-estate/dubai-real-estate-4-1m-luxury-homes-drive-737-sales-in-q3-as-wealthy-eye-palm-jumeirah-and-dubai-hills" TargetMode="External"/><Relationship Id="rId215" Type="http://schemas.openxmlformats.org/officeDocument/2006/relationships/hyperlink" Target="https://www.khaleejtimes.com/business/property/rents-property-prices-rise-etihad-rail-route" TargetMode="External"/><Relationship Id="rId336" Type="http://schemas.openxmlformats.org/officeDocument/2006/relationships/hyperlink" Target="https://economymiddleeast.com/news/dubai-luxury-real-estate-market-transitions-to-healthy-stabilization/" TargetMode="External"/><Relationship Id="rId214" Type="http://schemas.openxmlformats.org/officeDocument/2006/relationships/hyperlink" Target="https://whatson.ae/2025/08/etihad-rail-and-real-estate-what-it-means-for-property-prices/" TargetMode="External"/><Relationship Id="rId335" Type="http://schemas.openxmlformats.org/officeDocument/2006/relationships/hyperlink" Target="https://www.zawya.com/en/press-release/companies-news/dubais-luxury-real-estate-market-enters-a-stable-mature-cycle-p5hciymz" TargetMode="External"/><Relationship Id="rId219" Type="http://schemas.openxmlformats.org/officeDocument/2006/relationships/hyperlink" Target="https://arqam.news/476538/" TargetMode="External"/><Relationship Id="rId218" Type="http://schemas.openxmlformats.org/officeDocument/2006/relationships/hyperlink" Target="https://www.google.com/url?rct=j&amp;sa=t&amp;url=https://arqam.news/476538/&amp;ct=ga&amp;cd=CAAYAjIaZjEwY2EzOWY3Y2Y0YjM2Yzpjb206ZW46VVM&amp;usg=AOvVaw1hKGhvY7e2nesr9J79w6o0" TargetMode="External"/><Relationship Id="rId339" Type="http://schemas.openxmlformats.org/officeDocument/2006/relationships/hyperlink" Target="https://www.openpr.com/news/4258092/dubai-real-estate-introduces-a-smarter-way-to-explore-homes" TargetMode="External"/><Relationship Id="rId330" Type="http://schemas.openxmlformats.org/officeDocument/2006/relationships/hyperlink" Target="https://nabd-alhadath.com/archives/122413" TargetMode="External"/><Relationship Id="rId213" Type="http://schemas.openxmlformats.org/officeDocument/2006/relationships/hyperlink" Target="https://economymiddleeast.com/news/dubai-real-estate-transactions-surge-to-13-52-billion-in-july-as-off-plan-market-dominates/" TargetMode="External"/><Relationship Id="rId334" Type="http://schemas.openxmlformats.org/officeDocument/2006/relationships/hyperlink" Target="https://economymiddleeast.com/news/dubai-commercial-property-market-surges-8-27-billion-amid-strong-office-market-demand/" TargetMode="External"/><Relationship Id="rId212" Type="http://schemas.openxmlformats.org/officeDocument/2006/relationships/hyperlink" Target="https://www.constructionweekonline.com/business/insights/dubai-ultra-luxury-home-sales" TargetMode="External"/><Relationship Id="rId333" Type="http://schemas.openxmlformats.org/officeDocument/2006/relationships/hyperlink" Target="https://www.khaleejtimes.com/business/property/dubais-commercial-property-boom-accelerates-as-office-demand-hits-new-highs" TargetMode="External"/><Relationship Id="rId211" Type="http://schemas.openxmlformats.org/officeDocument/2006/relationships/hyperlink" Target="https://www.khaleejtimes.com/business/property/off-plan-apartment-transactions-in-dubai-surged-43-in-second-quarter" TargetMode="External"/><Relationship Id="rId332" Type="http://schemas.openxmlformats.org/officeDocument/2006/relationships/hyperlink" Target="https://www.zawya.com/en/press-release/research-and-studies/dubais-commercial-property-market-surges-to-aed-3038bln-in-q3-2025-marking-a-31-increase-j8lchl9c" TargetMode="External"/><Relationship Id="rId210" Type="http://schemas.openxmlformats.org/officeDocument/2006/relationships/hyperlink" Target="https://economymiddleeast.com/news/dubai-real-estate-off-plan-market-surges-43-percent-in-q2-2025-with-16-4-billion-sales/" TargetMode="External"/><Relationship Id="rId331" Type="http://schemas.openxmlformats.org/officeDocument/2006/relationships/hyperlink" Target="https://egyeconomy.com/en/28/10/2025/67432/" TargetMode="External"/><Relationship Id="rId370" Type="http://schemas.openxmlformats.org/officeDocument/2006/relationships/hyperlink" Target="https://www.google.com/url?rct=j&amp;sa=t&amp;url=https://arqam.news/521479/&amp;ct=ga&amp;cd=CAEYASoTNzQ0NzEyMDI2MTMxMzAxODA5MTIaZmFiNDI5MmEwNTc1NWFmNjpjb206ZW46VVM&amp;usg=AOvVaw0mQovHcPh1jCLrTl0wZpkR" TargetMode="External"/><Relationship Id="rId129" Type="http://schemas.openxmlformats.org/officeDocument/2006/relationships/hyperlink" Target="https://gulfbusiness.com/revealed-why-dubai-is-the-hottest-global-destination-for-the-super-rich/" TargetMode="External"/><Relationship Id="rId128" Type="http://schemas.openxmlformats.org/officeDocument/2006/relationships/hyperlink" Target="https://www.msn.com/en-ae/money/news/palm-jebel-ali-drives-remarkable-beachfront-property-surge/ar-AA1EPncn?ocid=finance-verthp-feeds" TargetMode="External"/><Relationship Id="rId249" Type="http://schemas.openxmlformats.org/officeDocument/2006/relationships/hyperlink" Target="https://www.google.com/url?rct=j&amp;sa=t&amp;url=https://www.tradearabia.com/News/435895/Dubai-set-to-welcome-10%252C000-millionaires%253B-luxury-home-buys-seen&amp;ct=ga&amp;cd=CAEYASoUMTMxODU1MzM4Mzk3MzkzNTY2ODkyGmYxMGNhMzlmN2NmNGIzNmM6Y29tOmVuOlVT&amp;usg=AOvVaw0pNQFFVThRdnx7oeNK4r_-" TargetMode="External"/><Relationship Id="rId127" Type="http://schemas.openxmlformats.org/officeDocument/2006/relationships/hyperlink" Target="https://www.brecorder.com/news/40362926/dubai-marked-as-premier-destination-for-global-wealth-migration" TargetMode="External"/><Relationship Id="rId248" Type="http://schemas.openxmlformats.org/officeDocument/2006/relationships/hyperlink" Target="https://www.google.com/url?rct=j&amp;sa=t&amp;url=https://www.tradearabia.com/News/435895/Dubai-set-to-welcome-10%252C000-millionaires%253B-luxury-home-buys-seen&amp;ct=ga&amp;cd=CAEYASoUMTMxODU1MzM4Mzk3MzkzNTY2ODkyGmYxMGNhMzlmN2NmNGIzNmM6Y29tOmVuOlVT&amp;usg=AOvVaw0pNQFFVThRdnx7oeNK4r_-" TargetMode="External"/><Relationship Id="rId369" Type="http://schemas.openxmlformats.org/officeDocument/2006/relationships/hyperlink" Target="https://www.google.com/url?rct=j&amp;sa=t&amp;url=https://www.arabianbusiness.com/industries/real-estate/revealed-dubai-real-estate-market-trends-in-2026-according-to-experts&amp;ct=ga&amp;cd=CAEYACoTNzQ0NzEyMDI2MTMxMzAxODA5MTIaZmFiNDI5MmEwNTc1NWFmNjpjb206ZW46VVM&amp;usg=AOvVaw3iaRqs-9vn7ud5FJZz4HNZ" TargetMode="External"/><Relationship Id="rId126" Type="http://schemas.openxmlformats.org/officeDocument/2006/relationships/hyperlink" Target="https://news.uppersetup.com/tag/betterhomes/" TargetMode="External"/><Relationship Id="rId247" Type="http://schemas.openxmlformats.org/officeDocument/2006/relationships/hyperlink" Target="https://www.google.com/url?rct=j&amp;sa=t&amp;url=https://www.khaleejtimes.com/business/dubai-set-to-welcome-one-millionaire-every-hour-this-year&amp;ct=ga&amp;cd=CAEYAioUMTMxODU1MzM4Mzk3MzkzNTY2ODkyGmYxMGNhMzlmN2NmNGIzNmM6Y29tOmVuOlVT&amp;usg=AOvVaw15GmkjvGE4Vfm3k2BT0Pke" TargetMode="External"/><Relationship Id="rId368" Type="http://schemas.openxmlformats.org/officeDocument/2006/relationships/hyperlink" Target="https://www.google.com/url?rct=j&amp;sa=t&amp;url=https://www.arabianbusiness.com/industries/real-estate/revealed-dubai-real-estate-market-trends-in-2026-according-to-experts&amp;ct=ga&amp;cd=CAEYACoTNzQ0NzEyMDI2MTMxMzAxODA5MTIaZmFiNDI5MmEwNTc1NWFmNjpjb206ZW46VVM&amp;usg=AOvVaw3iaRqs-9vn7ud5FJZz4HNZ" TargetMode="External"/><Relationship Id="rId121" Type="http://schemas.openxmlformats.org/officeDocument/2006/relationships/hyperlink" Target="https://gulfnews.com/business/markets/millionaire-influx-in-2025-dubai-to-welcome-wealth-wave-worth-over-dh25-billion-1.500127150" TargetMode="External"/><Relationship Id="rId242" Type="http://schemas.openxmlformats.org/officeDocument/2006/relationships/hyperlink" Target="https://www.google.com/url?rct=j&amp;sa=t&amp;url=https://whatson.ae/2025/08/why-buying-property-in-dubai-in-2025-is-easier-than-ever/&amp;ct=ga&amp;cd=CAEYACoUMTMxMTAyNDYyMDY0MjA5NDA3ODQyHDUyZWM4ZGZlYjE5ZjVlODQ6Y29tOmVuOkFFOlI&amp;usg=AOvVaw1PPEgwKiENE4xWq6nOC0oQ" TargetMode="External"/><Relationship Id="rId363" Type="http://schemas.openxmlformats.org/officeDocument/2006/relationships/hyperlink" Target="https://menafn.com/1110463371/Best-Real-Estate-Agents-In-Dubai-For-Spotting-The-Next-Investment-Hotspots" TargetMode="External"/><Relationship Id="rId120" Type="http://schemas.openxmlformats.org/officeDocument/2006/relationships/hyperlink" Target="https://www.builtenvironmentme.com/dubai-sales-soar-in-april-off-plan-leads-but-ready-homes-make-a-strong-comeback" TargetMode="External"/><Relationship Id="rId241" Type="http://schemas.openxmlformats.org/officeDocument/2006/relationships/hyperlink" Target="https://www.khaleejtimes.com/business/property/dubai-residential-property-prices-average-dh1893-per-square-foot-in-july" TargetMode="External"/><Relationship Id="rId362" Type="http://schemas.openxmlformats.org/officeDocument/2006/relationships/hyperlink" Target="https://www.thefinance360.com/dubai-property-investments-outshine-global-markets-report-2025/" TargetMode="External"/><Relationship Id="rId240" Type="http://schemas.openxmlformats.org/officeDocument/2006/relationships/hyperlink" Target="https://www.google.com/url?rct=j&amp;sa=t&amp;url=https://www.khaleejtimes.com/business/property/dubai-residential-property-prices-average-dh1893-per-square-foot-in-july&amp;ct=ga&amp;cd=CAEYACoUMTQ0NDA2NDA4NTc1MzAyOTM0NzkyGmYxMGNhMzlmN2NmNGIzNmM6Y29tOmVuOlVT&amp;usg=AOvVaw3RlPLJvXUGUS4eWG5mVRpa" TargetMode="External"/><Relationship Id="rId361" Type="http://schemas.openxmlformats.org/officeDocument/2006/relationships/hyperlink" Target="https://www.khaleejtimes.com/business/property/44-of-property-investors-say-their-dubai-investments-outperform-their-overseas-portfolios" TargetMode="External"/><Relationship Id="rId360" Type="http://schemas.openxmlformats.org/officeDocument/2006/relationships/hyperlink" Target="https://www.msn.com/en-ae/money/news/44-of-property-investors-say-their-dubai-investments-outperform-their-overseas-portfolios/ar-AA1RDJH8" TargetMode="External"/><Relationship Id="rId125" Type="http://schemas.openxmlformats.org/officeDocument/2006/relationships/hyperlink" Target="https://www.arabianbusiness.com/money/wealth/dubai-emerges-as-premier-destination-for-global-millionaire-migration-report?utm_medium=email&amp;utm_medium=email&amp;utm_campaign=Dubai%20premier%20destination%20for%20millionaire%20migration%20Qatar%20Airways%20to%20become%20regions%20largest%20787%20operator%20New%20Dubai%20real%20estate%20project%20105856%20AM&amp;utm_content=Dubai%20premier%20destination%20for%20millionaire%20migration%20Qatar%20Airways%20to%20become%20regions%20largest%20787%20operator%20New%20Dubai%20real%20estate%20project%20105856%20AM+CID_e4f0637047e1fc4ea9d700a505e4bf97&amp;utm_source=Newsletters&amp;utm_term=Dubai%20emerges%20as%20premier%20destination%20for%20global%20millionaire%20migration%20Report" TargetMode="External"/><Relationship Id="rId246" Type="http://schemas.openxmlformats.org/officeDocument/2006/relationships/hyperlink" Target="https://www.google.com/url?rct=j&amp;sa=t&amp;url=https://www.khaleejtimes.com/business/dubai-set-to-welcome-one-millionaire-every-hour-this-year&amp;ct=ga&amp;cd=CAEYAioUMTMxODU1MzM4Mzk3MzkzNTY2ODkyGmYxMGNhMzlmN2NmNGIzNmM6Y29tOmVuOlVT&amp;usg=AOvVaw15GmkjvGE4Vfm3k2BT0Pke" TargetMode="External"/><Relationship Id="rId367" Type="http://schemas.openxmlformats.org/officeDocument/2006/relationships/hyperlink" Target="https://www.arabianbusiness.com/industries/real-estate/dubai-villa-owners-are-sitting-on-a-goldmine-as-property-market-enters-2026-expert" TargetMode="External"/><Relationship Id="rId124" Type="http://schemas.openxmlformats.org/officeDocument/2006/relationships/hyperlink" Target="https://www.khaleejtimes.com/business/why-millionaires-are-migrating-to-dubai-and-what-it-signals" TargetMode="External"/><Relationship Id="rId245" Type="http://schemas.openxmlformats.org/officeDocument/2006/relationships/hyperlink" Target="https://www.google.com/url?rct=j&amp;sa=t&amp;url=https://gulfnews.com/business/property/will-dubai-get-71b-boost-from-more-millionaires-calling-city-their-home-1.500238221&amp;ct=ga&amp;cd=CAEYACoUMTMxODU1MzM4Mzk3MzkzNTY2ODkyGmYxMGNhMzlmN2NmNGIzNmM6Y29tOmVuOlVT&amp;usg=AOvVaw0sHJXztB-rfyiIPBycUO-K" TargetMode="External"/><Relationship Id="rId366" Type="http://schemas.openxmlformats.org/officeDocument/2006/relationships/hyperlink" Target="https://www.khaleejtimes.com/business/property/dubai-luxury-property-demand-ultra-rich" TargetMode="External"/><Relationship Id="rId123" Type="http://schemas.openxmlformats.org/officeDocument/2006/relationships/hyperlink" Target="https://menafn.com/1109548456/Dubai-Poised-For-A-Wealth-Surge-In-2025-New-Betterhomes-Report-Reveals" TargetMode="External"/><Relationship Id="rId244" Type="http://schemas.openxmlformats.org/officeDocument/2006/relationships/hyperlink" Target="https://www.google.com/url?rct=j&amp;sa=t&amp;url=https://gulfnews.com/business/property/will-dubai-get-71b-boost-from-more-millionaires-calling-city-their-home-1.500238221&amp;ct=ga&amp;cd=CAEYACoUMTMxODU1MzM4Mzk3MzkzNTY2ODkyGmYxMGNhMzlmN2NmNGIzNmM6Y29tOmVuOlVT&amp;usg=AOvVaw0sHJXztB-rfyiIPBycUO-K" TargetMode="External"/><Relationship Id="rId365" Type="http://schemas.openxmlformats.org/officeDocument/2006/relationships/hyperlink" Target="https://www.khaleejtimes.com/business/off-plan-sales-dominate-as-dubai-realty-charges-into-2026?fbclid=IwZXh0bgNhZW0CMTEAc3J0YwZhcHBfaWQMMjU2MjgxMDQwNTU4AAEeeBBRrzz0vi7yyXC-zpwU28XYa8hBn_LiM6j6Wcc1kQJVdLFsY4bL0JYJtfY_aem_4avZfyHI8ONdK5nm-dZlCQ" TargetMode="External"/><Relationship Id="rId122" Type="http://schemas.openxmlformats.org/officeDocument/2006/relationships/hyperlink" Target="https://gulfbusiness.com/6700-millionaires-relocated-to-the-uae-in-2024/" TargetMode="External"/><Relationship Id="rId243" Type="http://schemas.openxmlformats.org/officeDocument/2006/relationships/hyperlink" Target="https://www.google.com/url?rct=j&amp;sa=t&amp;url=https://whatson.ae/2025/08/why-buying-property-in-dubai-in-2025-is-easier-than-ever/&amp;ct=ga&amp;cd=CAEYACoUMTMxMTAyNDYyMDY0MjA5NDA3ODQyHDUyZWM4ZGZlYjE5ZjVlODQ6Y29tOmVuOkFFOlI&amp;usg=AOvVaw1PPEgwKiENE4xWq6nOC0oQ" TargetMode="External"/><Relationship Id="rId364" Type="http://schemas.openxmlformats.org/officeDocument/2006/relationships/hyperlink" Target="https://www.arabianbusiness.com/industries/real-estate/dubai-property-prices-jump-2-5-in-november-as-buyer-confidence-grows" TargetMode="External"/><Relationship Id="rId95" Type="http://schemas.openxmlformats.org/officeDocument/2006/relationships/hyperlink" Target="https://finance.yahoo.com/news/betterhomes-record-breaking-start-2025-100800890.html?guccounter=1&amp;guce_referrer=aHR0cHM6Ly93d3cuZ29vZ2xlLmNvbS8&amp;guce_referrer_sig=AQAAAK9ItZrecG5iJiJwnXylExjxK0YMewpPAFuiI7U-C0RgaEOVwdpFnPXekdt5pgHKtCGPTgXwQcrSbfNOV074KfUQ9J-CpkPhHqobtt8s9GOJUOlWHYuxDh3aeNr5PDKjjjFKvl1df2LDFRdYeFdlAVLrKtA1titfIBL1bYoje8oP" TargetMode="External"/><Relationship Id="rId94" Type="http://schemas.openxmlformats.org/officeDocument/2006/relationships/hyperlink" Target="https://web-release.com/inside-dubais-property-surge-betterhomes-q1-2025-real-estate-market-insights/" TargetMode="External"/><Relationship Id="rId97" Type="http://schemas.openxmlformats.org/officeDocument/2006/relationships/hyperlink" Target="https://thebrewnews.com/thebrew-news/uae/dubai-property-market-q1-2025/" TargetMode="External"/><Relationship Id="rId96" Type="http://schemas.openxmlformats.org/officeDocument/2006/relationships/hyperlink" Target="https://onevillenews.com/2025/04/23/betterhomes-cements-its-position-as-uaes-leading-property-management-company-with-ips-2025-win/" TargetMode="External"/><Relationship Id="rId99" Type="http://schemas.openxmlformats.org/officeDocument/2006/relationships/hyperlink" Target="https://web-release.com/betterhomes-cements-its-position-as-uaes-leading-property-management-company-with-ips-2025-win/" TargetMode="External"/><Relationship Id="rId98" Type="http://schemas.openxmlformats.org/officeDocument/2006/relationships/hyperlink" Target="https://gulfbusiness.com/dubai-property-is-booming-what-every-investor-should-know/" TargetMode="External"/><Relationship Id="rId91" Type="http://schemas.openxmlformats.org/officeDocument/2006/relationships/hyperlink" Target="https://www.arabianbusiness.com/industries/real-estate/dubai-real-estate-is-it-the-right-time-to-invest-in-the-property-market-experts-weigh-in" TargetMode="External"/><Relationship Id="rId90" Type="http://schemas.openxmlformats.org/officeDocument/2006/relationships/hyperlink" Target="https://www.forbesmiddleeast.com/industry/real-estate/talal-moafaq-al-gaddah" TargetMode="External"/><Relationship Id="rId93" Type="http://schemas.openxmlformats.org/officeDocument/2006/relationships/hyperlink" Target="https://www.khaleejtimes.com/business/villa-market-outshines-as-dubai-realty-posts-big-q1-sales-surge" TargetMode="External"/><Relationship Id="rId92" Type="http://schemas.openxmlformats.org/officeDocument/2006/relationships/hyperlink" Target="https://www.arabianbusiness.com/industries/real-estate/dubai-real-estate-market-grows-23-in-q1-2025-as-villa-sales-lead-surge-report?utm_medium=email&amp;utm_medium=email&amp;utm_campaign=Dubai%20real%20estate%20market%20up%2023%20Emaar%20invests%201bn%20in%20Dubais%20global%20identity%20Metallica%20in%20Abu%20Dhabi%20081304%20AM&amp;utm_content=Dubai%20real%20estate%20market%20up%2023%20Emaar%20invests%201bn%20in%20Dubais%20global%20identity%20Metallica%20in%20Abu%20Dhabi%20081304%20AM+CID_e7b2d6ef60047341d0b0bf63cf3e4273&amp;utm_source=Newsletters&amp;utm_term=Dubai%20real%20estate%20market%20grows%2023%20in%20Q1%202025%20as%20villa%20sales%20lead%20surge" TargetMode="External"/><Relationship Id="rId118" Type="http://schemas.openxmlformats.org/officeDocument/2006/relationships/hyperlink" Target="https://www.constructionweekonline.com/business/insights/disneyland-abu-dhabi-announced-what-it-means-for-the-real-estate-market" TargetMode="External"/><Relationship Id="rId239" Type="http://schemas.openxmlformats.org/officeDocument/2006/relationships/hyperlink" Target="https://www.khaleejtimes.com/business/property/buying-home-trends-uae" TargetMode="External"/><Relationship Id="rId117" Type="http://schemas.openxmlformats.org/officeDocument/2006/relationships/hyperlink" Target="https://www.khaleejtimes.com/business/dubais-property-sales-rents-surge-in-april-on-sustained-demand" TargetMode="External"/><Relationship Id="rId238" Type="http://schemas.openxmlformats.org/officeDocument/2006/relationships/hyperlink" Target="https://www.google.com/url?rct=j&amp;sa=t&amp;url=https://www.khaleejtimes.com/business/property/buying-home-trends-uae&amp;ct=ga&amp;cd=CAEYACoUMTMzNTAwNDgxODk3MjQ1ODI3MjQyGjdlNGM0ZmU4ZDc1YjU4Yjc6Y29tOmVuOlVT&amp;usg=AOvVaw3k0-CI0txjc2SPiRgRW_N0" TargetMode="External"/><Relationship Id="rId359" Type="http://schemas.openxmlformats.org/officeDocument/2006/relationships/hyperlink" Target="https://www.khaleejtimes.com/business/property/dubai-rents-stabilise-new-apartment-supply-tenants-benefit" TargetMode="External"/><Relationship Id="rId116" Type="http://schemas.openxmlformats.org/officeDocument/2006/relationships/hyperlink" Target="https://gulfnews.com/your-money/saving-investment/what-sold-in-april-dubais-hottest-property-picks-revealed-1.500124061" TargetMode="External"/><Relationship Id="rId237" Type="http://schemas.openxmlformats.org/officeDocument/2006/relationships/hyperlink" Target="https://www.digitaljournal.com/pr/news/vehement-media/betterhomes-reports-dubai-s-prime-property-1841881304.html" TargetMode="External"/><Relationship Id="rId358" Type="http://schemas.openxmlformats.org/officeDocument/2006/relationships/hyperlink" Target="https://www.zawya.com/en/press-release/research-and-studies/44-of-property-investors-say-their-dubai-investments-outperform-their-overseas-portfolios-according-to-betterhomes-future-living-report-2025-ua3a5qoo" TargetMode="External"/><Relationship Id="rId115" Type="http://schemas.openxmlformats.org/officeDocument/2006/relationships/hyperlink" Target="https://www.msn.com/en-ae/money/news/dubai-s-property-sales-rents-surge-in-april-on-sustained-demand/ar-AA1EDnck?ocid=finance-verthp-feeds" TargetMode="External"/><Relationship Id="rId236" Type="http://schemas.openxmlformats.org/officeDocument/2006/relationships/hyperlink" Target="https://www.pressreader.com/uae/gulf-news/20250813/281736980534764" TargetMode="External"/><Relationship Id="rId357" Type="http://schemas.openxmlformats.org/officeDocument/2006/relationships/hyperlink" Target="https://www.arabianbusiness.com/industries/real-estate/dubai-property-delivers-stronger-returns-than-global-markets-new-report-shows" TargetMode="External"/><Relationship Id="rId119" Type="http://schemas.openxmlformats.org/officeDocument/2006/relationships/hyperlink" Target="https://www.tycoonstory.com/top-10-real-estate-brokers-in-dubai-for-2025/" TargetMode="External"/><Relationship Id="rId110" Type="http://schemas.openxmlformats.org/officeDocument/2006/relationships/hyperlink" Target="https://www.khaleejtimes.com/business/dubai-rents-tenants-show-strong-preference-for-professionally-managed-units" TargetMode="External"/><Relationship Id="rId231" Type="http://schemas.openxmlformats.org/officeDocument/2006/relationships/hyperlink" Target="https://www.thenationalnews.com/business/money/2025/08/13/property-dubai-home-buy-rent/" TargetMode="External"/><Relationship Id="rId352" Type="http://schemas.openxmlformats.org/officeDocument/2006/relationships/hyperlink" Target="https://www.arabianbusiness.com/industries/real-estate/dubai-rental-pressures-push-tenants-toward-ownership-as-55-plan-to-buy" TargetMode="External"/><Relationship Id="rId230" Type="http://schemas.openxmlformats.org/officeDocument/2006/relationships/hyperlink" Target="https://www.google.com/url?rct=j&amp;sa=t&amp;url=https://www.msn.com/en-ae/money/news/why-it-s-easier-now-for-dubai-tenants-to-become-homeowners/ar-AA1KpORt&amp;ct=ga&amp;cd=CAEYASoUMTIwNTQ3MDQwMjUxNjUwNzY2MjYyGmYxMGNhMzlmN2NmNGIzNmM6Y29tOmVuOlVT&amp;usg=AOvVaw3ageMbBL_Gt3N20fHE5_UK" TargetMode="External"/><Relationship Id="rId351" Type="http://schemas.openxmlformats.org/officeDocument/2006/relationships/hyperlink" Target="https://www.khaleejtimes.com/business/property/dubai-rent-hike-pushes-tenants-buy-homes" TargetMode="External"/><Relationship Id="rId350" Type="http://schemas.openxmlformats.org/officeDocument/2006/relationships/hyperlink" Target="https://www.zawya.com/en/business/real-estate/dubai-property-market-holds-steady-sales-value-climbs-42-in-october-he85fv1o" TargetMode="External"/><Relationship Id="rId114" Type="http://schemas.openxmlformats.org/officeDocument/2006/relationships/hyperlink" Target="https://menafn.com/1109535652/Dubai-Tenants-Demand-Professionally-Managed-Properties-Betterhomes-Survey-Finds" TargetMode="External"/><Relationship Id="rId235" Type="http://schemas.openxmlformats.org/officeDocument/2006/relationships/hyperlink" Target="https://www.google.com/url?rct=j&amp;sa=t&amp;url=https://www.pressreader.com/uae/gulf-news/20250813/281736980534764&amp;ct=ga&amp;cd=CAAYADIaZjEwY2EzOWY3Y2Y0YjM2Yzpjb206ZW46VVM&amp;usg=AOvVaw2ipm2oWrNKKusHzJxm0aZt" TargetMode="External"/><Relationship Id="rId356" Type="http://schemas.openxmlformats.org/officeDocument/2006/relationships/hyperlink" Target="https://www.constructionweekonline.com/business/insights/tenants-property-ownership" TargetMode="External"/><Relationship Id="rId113" Type="http://schemas.openxmlformats.org/officeDocument/2006/relationships/hyperlink" Target="https://www.arabianbusiness.com/industries/real-estate/dubai-real-estate-property-sales-jump-23-in-april-says-betterhomes-report?utm_medium=email&amp;utm_medium=email&amp;utm_campaign=AED46bn%20in%20Dubai%20property%20sales%20BlackRock%20Lunates%2010bn%20reinsurance%20firm%20with%20IHC%20Massive%20Dubai%20road%20project%20complete%20072533%20AM&amp;utm_content=AED46bn%20in%20Dubai%20property%20sales%20BlackRock%20Lunates%2010bn%20reinsurance%20firm%20with%20IHC%20Massive%20Dubai%20road%20project%20complete%20072533%20AM+CID_e1d2b6ff5815f23f99312f4e47688f9c&amp;utm_source=Newsletters&amp;utm_term=Dubai%20property%20sales%20jump%2023%20in%20April" TargetMode="External"/><Relationship Id="rId234" Type="http://schemas.openxmlformats.org/officeDocument/2006/relationships/hyperlink" Target="https://www.agbi.com/analysis/real-estate/2025/08/dubai-rental-market-cooling-but-not-crashing-experts-say/" TargetMode="External"/><Relationship Id="rId355" Type="http://schemas.openxmlformats.org/officeDocument/2006/relationships/hyperlink" Target="https://economymiddleeast.com/news/dubai-tenants-shift-to-homeownership-amid-rising-rents-and-long-term-residency-with-55-percent-planning-purchases/" TargetMode="External"/><Relationship Id="rId112" Type="http://schemas.openxmlformats.org/officeDocument/2006/relationships/hyperlink" Target="https://www.msn.com/en-ae/money/news/dubai-rents-tenants-show-strong-preference-for-professionally-managed-units/ar-AA1Ez3Pc?ocid=finance-verthp-feeds" TargetMode="External"/><Relationship Id="rId233" Type="http://schemas.openxmlformats.org/officeDocument/2006/relationships/hyperlink" Target="https://gulfnews.com/business/property/etihad-rail-metro-blue-line-boost-where-property-prices-will-rise-in-dubai-1.500231814" TargetMode="External"/><Relationship Id="rId354" Type="http://schemas.openxmlformats.org/officeDocument/2006/relationships/hyperlink" Target="https://www.msn.com/en-ae/money/news/from-renters-to-buyers-dubai-rent-hike-pushes-tenants-to-buy-homes/ar-AA1R7UK8?ocid=finance-verthp-feeds" TargetMode="External"/><Relationship Id="rId111" Type="http://schemas.openxmlformats.org/officeDocument/2006/relationships/hyperlink" Target="https://www.khaleejtimes.com/uae/disneyland-abu-dhabi-higher-rents-property" TargetMode="External"/><Relationship Id="rId232" Type="http://schemas.openxmlformats.org/officeDocument/2006/relationships/hyperlink" Target="https://www.google.com/url?rct=j&amp;sa=t&amp;url=https://www.streetinsider.com/Press%2BReleases/Betterhomes%2BReports%2BDubai%25E2%2580%2599s%2BPrime%2BProperty%2BMarket%2BHits%2BHistoric%2BHighs%2Bwith%2B1%252C417%2BUltra%25E2%2580%2591Luxury%2BSales%2Bin%2BQ2%2B2025/25198694.html&amp;ct=ga&amp;cd=CAEYACoUMTIwNTQ3MDQwMjUxNjUwNzY2MjYyGmYxMGNhMzlmN2NmNGIzNmM6Y29tOmVuOlVT&amp;usg=AOvVaw3N0Q77A-H4VMaAyPeImaDo" TargetMode="External"/><Relationship Id="rId353" Type="http://schemas.openxmlformats.org/officeDocument/2006/relationships/hyperlink" Target="https://www.zawya.com/en/press-release/research-and-studies/dubais-tenant-mindset-flips-betterhomes-reports-55-now-plan-purchases-within-13-years-hjhyh3gp" TargetMode="External"/><Relationship Id="rId305" Type="http://schemas.openxmlformats.org/officeDocument/2006/relationships/hyperlink" Target="https://gulfbusiness.com/dubai-rentals-that-are-worth-heres-where-to-look/" TargetMode="External"/><Relationship Id="rId304" Type="http://schemas.openxmlformats.org/officeDocument/2006/relationships/hyperlink" Target="https://www.khaleejtimes.com/uae/dubai-silicon-oasis-road-capacity-raised" TargetMode="External"/><Relationship Id="rId303" Type="http://schemas.openxmlformats.org/officeDocument/2006/relationships/hyperlink" Target="https://www.khaleejtimes.com/business/property/dubai-soaring-rents-property-prices-residents-cost-of-living" TargetMode="External"/><Relationship Id="rId302" Type="http://schemas.openxmlformats.org/officeDocument/2006/relationships/hyperlink" Target="https://economymiddleeast.com/news/dubais-branded-residences-command-40-percent-price-premium-as-appeal-to-migrating-millionaires-drives-demand/" TargetMode="External"/><Relationship Id="rId309" Type="http://schemas.openxmlformats.org/officeDocument/2006/relationships/hyperlink" Target="https://gulfnews.com/business/property/dubai-islands-turn-next-big-waterfront-investment-1.500299548" TargetMode="External"/><Relationship Id="rId308" Type="http://schemas.openxmlformats.org/officeDocument/2006/relationships/hyperlink" Target="https://www.constructionweekonline.com/analysis/dubai-islands-records-1-7bn-in-sales-in-h1-2025" TargetMode="External"/><Relationship Id="rId307" Type="http://schemas.openxmlformats.org/officeDocument/2006/relationships/hyperlink" Target="https://www.zawya.com/en/press-release/companies-news/dubai-islands-records-aed-61bln-in-sales-in-h1-2025-pt9045cz" TargetMode="External"/><Relationship Id="rId306" Type="http://schemas.openxmlformats.org/officeDocument/2006/relationships/hyperlink" Target="https://www.khaleejtimes.com/business/property/dubai-islands-emerging-as-dubais-next-waterfront-investment-hub" TargetMode="External"/><Relationship Id="rId301" Type="http://schemas.openxmlformats.org/officeDocument/2006/relationships/hyperlink" Target="https://finance.yahoo.com/news/betterhomes-dubai-welcome-nearly-10-083400291.html" TargetMode="External"/><Relationship Id="rId300" Type="http://schemas.openxmlformats.org/officeDocument/2006/relationships/hyperlink" Target="https://www.zawya.com/en/business/real-estate/dubais-residential-property-fundamentals-steady-despite-seasonal-dip-pt2faq5f" TargetMode="External"/><Relationship Id="rId206" Type="http://schemas.openxmlformats.org/officeDocument/2006/relationships/hyperlink" Target="https://onevillenews.com/2025/07/28/office-sales-soar-93-as-dubais-commercial-property-market-reaches-aed-31-billion/" TargetMode="External"/><Relationship Id="rId327" Type="http://schemas.openxmlformats.org/officeDocument/2006/relationships/hyperlink" Target="https://www.barchart.com/story/news/35610078/dubai-real-estate-holds-firm-in-q3-2025-driven-by-strong-apartment-sales-and-record-prices" TargetMode="External"/><Relationship Id="rId205" Type="http://schemas.openxmlformats.org/officeDocument/2006/relationships/hyperlink" Target="https://economymiddleeast.com/news/dubai-real-estate-office-sales-soar-93-percent-commercial-property-market-hits-8-44-billion/" TargetMode="External"/><Relationship Id="rId326" Type="http://schemas.openxmlformats.org/officeDocument/2006/relationships/hyperlink" Target="https://www.builtenvironmentme.com/dubai-s-off-plan-market-hits-record-highs-as-apartment-sales-surge-35-in-q3-2025" TargetMode="External"/><Relationship Id="rId204" Type="http://schemas.openxmlformats.org/officeDocument/2006/relationships/hyperlink" Target="https://www.arabianbusiness.com/industries/real-estate/dubai-real-estate-commercial-property-sales-surge-50-to-8-4bn-in-q2-2025" TargetMode="External"/><Relationship Id="rId325" Type="http://schemas.openxmlformats.org/officeDocument/2006/relationships/hyperlink" Target="https://markets.businessinsider.com/news/stocks/dubai-real-estate-holds-firm-in-q3-2025-driven-by-strong-apartment-sales-and-record-prices-1035412706" TargetMode="External"/><Relationship Id="rId203" Type="http://schemas.openxmlformats.org/officeDocument/2006/relationships/hyperlink" Target="https://www.zawya.com/en/press-release/research-and-studies/office-sales-soar-93-as-dubais-commercial-property-market-reaches-aed-31bln-sxbvdw9p" TargetMode="External"/><Relationship Id="rId324" Type="http://schemas.openxmlformats.org/officeDocument/2006/relationships/hyperlink" Target="https://www.google.com/url?rct=j&amp;sa=t&amp;url=https://www.arabianbusiness.com/industries/real-estate/dubais-off-plan-market-hits-record-highs-apartment-sales-up-35&amp;ct=ga&amp;cd=CAEYASoTNDk4ODE0NDkwNTAzNjM5MTk5MzIaZjEwY2EzOWY3Y2Y0YjM2Yzpjb206ZW46VVM&amp;usg=AOvVaw1Pq7p7GeSfaWm2J1tt1eTJ" TargetMode="External"/><Relationship Id="rId209" Type="http://schemas.openxmlformats.org/officeDocument/2006/relationships/hyperlink" Target="https://www.arabianbusiness.com/industries/real-estate/dubai-off-plan-apartment-sales-surge-43-in-q2-2025-report" TargetMode="External"/><Relationship Id="rId208" Type="http://schemas.openxmlformats.org/officeDocument/2006/relationships/hyperlink" Target="https://uaenews247.com/2025/07/29/off-plan-apartment-sales-surge-43-in-q2-2025-to-aed-60-15-billion-signalling-global-confidence-in-citys-growth-trajectory/" TargetMode="External"/><Relationship Id="rId329" Type="http://schemas.openxmlformats.org/officeDocument/2006/relationships/hyperlink" Target="https://nabd-alhadath.com/" TargetMode="External"/><Relationship Id="rId207" Type="http://schemas.openxmlformats.org/officeDocument/2006/relationships/hyperlink" Target="https://www.msn.com/en-ae/money/news/demand-for-ultra-luxury-homes-continues-to-surge-in-dubai/ar-AA1JnDyN?ocid=finance-verthp-feeds" TargetMode="External"/><Relationship Id="rId328" Type="http://schemas.openxmlformats.org/officeDocument/2006/relationships/hyperlink" Target="https://arqam.news/503066/" TargetMode="External"/><Relationship Id="rId202" Type="http://schemas.openxmlformats.org/officeDocument/2006/relationships/hyperlink" Target="https://arqam.news/471057/" TargetMode="External"/><Relationship Id="rId323" Type="http://schemas.openxmlformats.org/officeDocument/2006/relationships/hyperlink" Target="https://www.google.com/url?rct=j&amp;sa=t&amp;url=https://www.arabianbusiness.com/industries/real-estate/dubais-off-plan-market-hits-record-highs-apartment-sales-up-35&amp;ct=ga&amp;cd=CAEYASoTNDk4ODE0NDkwNTAzNjM5MTk5MzIaZjEwY2EzOWY3Y2Y0YjM2Yzpjb206ZW46VVM&amp;usg=AOvVaw1Pq7p7GeSfaWm2J1tt1eTJ" TargetMode="External"/><Relationship Id="rId201" Type="http://schemas.openxmlformats.org/officeDocument/2006/relationships/hyperlink" Target="https://onevillenews.com/2025/07/25/dubais-prime-property-market-hits-historic-highs-with-1417-ultra%e2%80%91luxury-sales-in-q2-2025-up-113-yoy/" TargetMode="External"/><Relationship Id="rId322" Type="http://schemas.openxmlformats.org/officeDocument/2006/relationships/hyperlink" Target="https://www.zawya.com/en/press-release/companies-news/betterhomes-and-panchshil-realty-have-announced-an-exclusive-partnership-marking-panchshils-landmark-debut-in-dubai-bawsxgrn" TargetMode="External"/><Relationship Id="rId200" Type="http://schemas.openxmlformats.org/officeDocument/2006/relationships/hyperlink" Target="https://gulfnews.com/business/property/are-sharjahs-rent-increases-starting-to-slow-down-after-18-25-hikes-1.500211814" TargetMode="External"/><Relationship Id="rId321" Type="http://schemas.openxmlformats.org/officeDocument/2006/relationships/hyperlink" Target="https://www.manilatimes.net/2025/10/22/tmt-newswire/plentisoft/dubai-real-estate-holds-firm-in-q3-2025-driven-by-strong-apartment-sales-and-record-prices/2206588" TargetMode="External"/><Relationship Id="rId320" Type="http://schemas.openxmlformats.org/officeDocument/2006/relationships/hyperlink" Target="https://gulfnews.com/business/property/dubai-rents-stable-as-new-tenants-get-more-options-buyers-eye-flats-in-uae-1.500319021" TargetMode="External"/><Relationship Id="rId316" Type="http://schemas.openxmlformats.org/officeDocument/2006/relationships/hyperlink" Target="https://www.google.com/url?rct=j&amp;sa=t&amp;url=https://economymiddleeast.com/news/dubai-real-estate-apartment-sales-soar-to-record-25-32-billion-in-q3-2025-as-prices-nearly-double-from-2020/&amp;ct=ga&amp;cd=CAEYASoTNDMyNjk0NDk2OTM4NjY1NDk2MzIaZjEwY2EzOWY3Y2Y0YjM2Yzpjb206ZW46VVM&amp;usg=AOvVaw10iq4owLODQRLqGm_JzziD" TargetMode="External"/><Relationship Id="rId315" Type="http://schemas.openxmlformats.org/officeDocument/2006/relationships/hyperlink" Target="https://www.khaleejtimes.com/business/property/dubais-property-market-enters-a-phase-of-selective-growth" TargetMode="External"/><Relationship Id="rId314" Type="http://schemas.openxmlformats.org/officeDocument/2006/relationships/hyperlink" Target="https://www.zawya.com/en/press-release/research-and-studies/dubai-real-estate-holds-firm-in-q3-2025-driven-by-strong-apartment-sales-and-record-prices-qdi9dc2d" TargetMode="External"/><Relationship Id="rId313" Type="http://schemas.openxmlformats.org/officeDocument/2006/relationships/hyperlink" Target="https://www.arabianbusiness.com/industries/real-estate/dubai-property-market-hits-37-7bn" TargetMode="External"/><Relationship Id="rId319" Type="http://schemas.openxmlformats.org/officeDocument/2006/relationships/hyperlink" Target="https://timesofindia.indiatimes.com/world/middle-east/explained-why-dubais-real-estate-prices-are-surging-what-it-means-for-investors-renters-and-the-citys-future/articleshow/124801105.cms" TargetMode="External"/><Relationship Id="rId318" Type="http://schemas.openxmlformats.org/officeDocument/2006/relationships/hyperlink" Target="http://google.com/url?rct=j&amp;sa=t&amp;url=https://markets.financialcontent.com/wral/article/marketersmedia-2025-10-22-dubai-real-estate-holds-firm-in-q3-2025-driven-by-strong-apartment-sales-and-record-prices&amp;ct=ga&amp;cd=CAEYACoTNDMyNjk0NDk2OTM4NjY1NDk2MzIaZjEwY2EzOWY3Y2Y0YjM2Yzpjb206ZW46VVM&amp;usg=AOvVaw0aIHO7N8Eq3X2l08_yfKXR" TargetMode="External"/><Relationship Id="rId317" Type="http://schemas.openxmlformats.org/officeDocument/2006/relationships/hyperlink" Target="http://wral.com/" TargetMode="External"/><Relationship Id="rId312" Type="http://schemas.openxmlformats.org/officeDocument/2006/relationships/hyperlink" Target="https://alhurra.com/en/5657" TargetMode="External"/><Relationship Id="rId311" Type="http://schemas.openxmlformats.org/officeDocument/2006/relationships/hyperlink" Target="https://www.rismedia.com/2025/10/15/leadingre-hosts-annual-global-symposium-uniting-real-estate-professionals-from-31-countries/" TargetMode="External"/><Relationship Id="rId310" Type="http://schemas.openxmlformats.org/officeDocument/2006/relationships/hyperlink" Target="https://www.arabianbusiness.com/industries/real-estate/dubai-islands-hits-1-6bn-in-h1-sales-as-investors-flock-to-new-waterfront-hub"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thedogoodpress.com/property/4836/ryan-mahoney-dubai-uae-dubais-secondary-real-estate-market-boom/" TargetMode="External"/><Relationship Id="rId190" Type="http://schemas.openxmlformats.org/officeDocument/2006/relationships/hyperlink" Target="https://cnnbusinessarabic.com/real-estate-construction/34375/%D8%A3%D9%8A%D9%87%D9%85%D8%A7-%D8%A3%D9%81%D8%B6%D9%84-%D8%B4%D8%B1%D8%A7%D8%A1-%D8%A7%D9%84%D8%B9%D9%82%D8%A7%D8%B1%D8%A7%D8%AA-%D8%A3%D9%85-%D8%A7%D8%B3%D8%AA%D8%A6%D8%AC%D8%A7%D8%B1%D9%87%D8%A7%D8%9F-%D8%A7%D9%84%D8%AE%D8%A8%D8%B1%D8%A7%D8%A1-%D9%8A%D8%AC%D9%8A%D8%A8%D9%88%D9%86" TargetMode="External"/><Relationship Id="rId42" Type="http://schemas.openxmlformats.org/officeDocument/2006/relationships/hyperlink" Target="https://www.khaleejtimes.com/business/property/dubai-tenants-could-negotiate-monthly-rent-payments-with-new-direct-debit-system" TargetMode="External"/><Relationship Id="rId41" Type="http://schemas.openxmlformats.org/officeDocument/2006/relationships/hyperlink" Target="https://www.zawya.com/en/business/real-estate/five-cheapest-places-to-rent-a-flat-in-dubai-g1kn1kd8" TargetMode="External"/><Relationship Id="rId44" Type="http://schemas.openxmlformats.org/officeDocument/2006/relationships/hyperlink" Target="https://www.khaleejtimes.com/business/uae-central-bank-granted-licence-to-russias-mts-bank" TargetMode="External"/><Relationship Id="rId194" Type="http://schemas.openxmlformats.org/officeDocument/2006/relationships/hyperlink" Target="https://www.khaleejtimes.com/business/the-surge-of-custom-built-villas-in-palm-jumeirah-unveiling-the-trend-and-its-motivations" TargetMode="External"/><Relationship Id="rId43" Type="http://schemas.openxmlformats.org/officeDocument/2006/relationships/hyperlink" Target="https://www.bloomberg.com/news/articles/2023-02-08/uae-grants-banking-license-to-russia-s-mts-bank" TargetMode="External"/><Relationship Id="rId193" Type="http://schemas.openxmlformats.org/officeDocument/2006/relationships/hyperlink" Target="https://www.khaleejtimes.com/business/the-surge-of-custom-built-villas-in-palm-jumeirah-unveiling-the-trend-and-its-motivations" TargetMode="External"/><Relationship Id="rId46" Type="http://schemas.openxmlformats.org/officeDocument/2006/relationships/hyperlink" Target="https://english.alarabiya.net/News/gulf/2023/02/09/UAE-grants-banking-license-to-Russia-s-MTS-Bank" TargetMode="External"/><Relationship Id="rId192" Type="http://schemas.openxmlformats.org/officeDocument/2006/relationships/hyperlink" Target="https://menafn.com/1106880144/The-Surge-Of-Custom-Built-Villas-In-Palm-Jumeirah-Unveiling-The-Trend-And-Its-Motivations" TargetMode="External"/><Relationship Id="rId45" Type="http://schemas.openxmlformats.org/officeDocument/2006/relationships/hyperlink" Target="https://www.reuters.com/business/finance/russias-mts-bank-has-uae-licence-central-bank-website-2023-02-08/" TargetMode="External"/><Relationship Id="rId191" Type="http://schemas.openxmlformats.org/officeDocument/2006/relationships/hyperlink" Target="https://menafn.com/1106880144/The-Surge-Of-Custom-Built-Villas-In-Palm-Jumeirah-Unveiling-The-Trend-And-Its-Motivations" TargetMode="External"/><Relationship Id="rId48" Type="http://schemas.openxmlformats.org/officeDocument/2006/relationships/hyperlink" Target="https://www.voanews.com/a/latest-developments-in-ukraine-feb-13/6960220.html" TargetMode="External"/><Relationship Id="rId187" Type="http://schemas.openxmlformats.org/officeDocument/2006/relationships/hyperlink" Target="https://www.khaleejtimes.com/business/how-is-off-plan-investment-different-from-investing-in-ready-properties" TargetMode="External"/><Relationship Id="rId47" Type="http://schemas.openxmlformats.org/officeDocument/2006/relationships/hyperlink" Target="https://abcnews.go.com/Business/wireStory/dubai-boom-sees-russian-cash-high-rents-reborn-97074165" TargetMode="External"/><Relationship Id="rId186" Type="http://schemas.openxmlformats.org/officeDocument/2006/relationships/hyperlink" Target="https://www.zawya.com/en/business/real-estate/rents-in-dubai-up-to-5-500-discount-on-fewer-cheque-payments-snyex3vu" TargetMode="External"/><Relationship Id="rId185" Type="http://schemas.openxmlformats.org/officeDocument/2006/relationships/hyperlink" Target="https://www.zawya.com/en/business/real-estate/rents-in-dubai-up-to-5-500-discount-on-fewer-cheque-payments-snyex3vu" TargetMode="External"/><Relationship Id="rId49" Type="http://schemas.openxmlformats.org/officeDocument/2006/relationships/hyperlink" Target="https://www.bluewin.ch/de/news/international/wie-dubai-wieder-einmal-von-einer-krise-profitiert-1628020.html" TargetMode="External"/><Relationship Id="rId184" Type="http://schemas.openxmlformats.org/officeDocument/2006/relationships/hyperlink" Target="https://www.khaleejtimes.com/life-and-living/housing-in-uae/rents-in-dubai-up-to-dh20000-discount-on-fewer-cheque-payments?_refresh=true" TargetMode="External"/><Relationship Id="rId189" Type="http://schemas.openxmlformats.org/officeDocument/2006/relationships/hyperlink" Target="https://cnnbusinessarabic.com/real-estate-construction/34375/%D8%A3%D9%8A%D9%87%D9%85%D8%A7-%D8%A3%D9%81%D8%B6%D9%84-%D8%B4%D8%B1%D8%A7%D8%A1-%D8%A7%D9%84%D8%B9%D9%82%D8%A7%D8%B1%D8%A7%D8%AA-%D8%A3%D9%85-%D8%A7%D8%B3%D8%AA%D8%A6%D8%AC%D8%A7%D8%B1%D9%87%D8%A7%D8%9F-%D8%A7%D9%84%D8%AE%D8%A8%D8%B1%D8%A7%D8%A1-%D9%8A%D8%AC%D9%8A%D8%A8%D9%88%D9%86" TargetMode="External"/><Relationship Id="rId188" Type="http://schemas.openxmlformats.org/officeDocument/2006/relationships/hyperlink" Target="https://www.khaleejtimes.com/business/how-is-off-plan-investment-different-from-investing-in-ready-properties" TargetMode="External"/><Relationship Id="rId31" Type="http://schemas.openxmlformats.org/officeDocument/2006/relationships/hyperlink" Target="https://wydarzenia.interia.pl/raport-media-zagraniczne/news-mala-rosja-w-dubaju-ucieczka-przed-sankcjami-zachodu-napedza,nId,6544444" TargetMode="External"/><Relationship Id="rId30" Type="http://schemas.openxmlformats.org/officeDocument/2006/relationships/hyperlink" Target="https://www.national.ro/afaceri/lux-cu-bani-gheata-dubai-ramane-marele-refugiu-imobiliar-si-in-acest-an-784646.html" TargetMode="External"/><Relationship Id="rId33" Type="http://schemas.openxmlformats.org/officeDocument/2006/relationships/hyperlink" Target="https://www.openpr.com/news/2893895/uae-real-estate-companies-list-engineering-firms-in-dubai-list" TargetMode="External"/><Relationship Id="rId183" Type="http://schemas.openxmlformats.org/officeDocument/2006/relationships/hyperlink" Target="https://www.khaleejtimes.com/life-and-living/housing-in-uae/rents-in-dubai-up-to-dh20000-discount-on-fewer-cheque-payments?_refresh=true" TargetMode="External"/><Relationship Id="rId32" Type="http://schemas.openxmlformats.org/officeDocument/2006/relationships/hyperlink" Target="https://www.gazeteduvar.com.tr/rusya-basininda-gecen-hafta-rusya-vatandaslari-2022de-turkiyede-16312-gayrimenkul-aldilar-haber-1599565" TargetMode="External"/><Relationship Id="rId182" Type="http://schemas.openxmlformats.org/officeDocument/2006/relationships/hyperlink" Target="https://www.thenationalnews.com/weekend/2023/07/28/whats-next-for-the-dubai-property-market/" TargetMode="External"/><Relationship Id="rId35" Type="http://schemas.openxmlformats.org/officeDocument/2006/relationships/hyperlink" Target="https://www.thenationalnews.com/uae/2023/01/25/dubai-property-top-three-areas-where-expats-prefer-to-buy-apartments/" TargetMode="External"/><Relationship Id="rId181" Type="http://schemas.openxmlformats.org/officeDocument/2006/relationships/hyperlink" Target="https://prian.ru/pub/samye-russkie-rayony-dubaya-gde-pokupayut-nedvizhimost-investory-iz-rf.html" TargetMode="External"/><Relationship Id="rId34" Type="http://schemas.openxmlformats.org/officeDocument/2006/relationships/hyperlink" Target="https://www.challenges.fr/immobilier/l-immobilier-flambe-a-dubai_843005" TargetMode="External"/><Relationship Id="rId180" Type="http://schemas.openxmlformats.org/officeDocument/2006/relationships/hyperlink" Target="https://www.watson.ch/fr/economie/russie/982986502-de-la-paradeplatz-a-dubai-les-riches-russes-deplacent-leur-argent" TargetMode="External"/><Relationship Id="rId37" Type="http://schemas.openxmlformats.org/officeDocument/2006/relationships/hyperlink" Target="https://www.elcorreo.ae/articulo/economia/conozca-zonas-dubai-donde-expatriados-compran-apartamentos/20230127092502152882.html" TargetMode="External"/><Relationship Id="rId176" Type="http://schemas.openxmlformats.org/officeDocument/2006/relationships/hyperlink" Target="https://www.agbi.com/articles/norwegians-return-dubai-commercial-property-sector/" TargetMode="External"/><Relationship Id="rId297" Type="http://schemas.openxmlformats.org/officeDocument/2006/relationships/hyperlink" Target="https://www.bloomberg.com/news/articles/2023-11-10/china-s-property-risks-manageable-pboc-governor-says" TargetMode="External"/><Relationship Id="rId36" Type="http://schemas.openxmlformats.org/officeDocument/2006/relationships/hyperlink" Target="https://www.zawya.com/en/business/real-estate/dubai-property-deals-surge-76-to-144bln-in-2022-spwo2ai5" TargetMode="External"/><Relationship Id="rId175" Type="http://schemas.openxmlformats.org/officeDocument/2006/relationships/hyperlink" Target="https://www.zawya.com/en/business/real-estate/dubai-commercial-property-sees-high-demand-c2lxyinv" TargetMode="External"/><Relationship Id="rId296" Type="http://schemas.openxmlformats.org/officeDocument/2006/relationships/hyperlink" Target="https://www.vedomosti.ru/realty/news/2023/11/07/1004505-smi-soobschili" TargetMode="External"/><Relationship Id="rId39" Type="http://schemas.openxmlformats.org/officeDocument/2006/relationships/hyperlink" Target="https://www.abcmoney.co.uk/2023/01/sheikh-youssef-al-shelash-discusses-trends-and-upcoming-developments-in-the-middle-east/" TargetMode="External"/><Relationship Id="rId174" Type="http://schemas.openxmlformats.org/officeDocument/2006/relationships/hyperlink" Target="https://www.khaleejtimes.com/business/dubai-commercial-property-sees-high-demand" TargetMode="External"/><Relationship Id="rId295" Type="http://schemas.openxmlformats.org/officeDocument/2006/relationships/hyperlink" Target="https://www.vedomosti.ru/realty/news/2023/11/07/1004505-smi-soobschili" TargetMode="External"/><Relationship Id="rId38" Type="http://schemas.openxmlformats.org/officeDocument/2006/relationships/hyperlink" Target="https://www.zawya.com/en/business/real-estate/dubai-realtor-haus-and-haus-eyes-expansion-to-hire-150-new-staff-r6be9cf7" TargetMode="External"/><Relationship Id="rId173" Type="http://schemas.openxmlformats.org/officeDocument/2006/relationships/hyperlink" Target="https://gulfnews.com/business/property/as-dubai-property-market-nears-peak-ready-homes-get-buyers-full-attention-1.97161895" TargetMode="External"/><Relationship Id="rId294" Type="http://schemas.openxmlformats.org/officeDocument/2006/relationships/hyperlink" Target="https://www.bloombergtv.bg/a/8-novini-ot-sveta/123646-bumat-na-ruskite-imoti-v-dubay-izglezhda-e-priklyuchil" TargetMode="External"/><Relationship Id="rId179" Type="http://schemas.openxmlformats.org/officeDocument/2006/relationships/hyperlink" Target="https://www.timeoutdubai.com/moving-to-dubai/real-estate-apps-in-dubai" TargetMode="External"/><Relationship Id="rId178" Type="http://schemas.openxmlformats.org/officeDocument/2006/relationships/hyperlink" Target="https://www.agbi.com/articles/russians-bigger-long-term-dubai-homes/?utm_source=linkedin&amp;utm_medium=social&amp;utm_campaign=awa&amp;utm_content=russians_dubai_villas-img&amp;utm_term=feed-real_estate" TargetMode="External"/><Relationship Id="rId299" Type="http://schemas.openxmlformats.org/officeDocument/2006/relationships/hyperlink" Target="https://www.khaleejtimes.com/business/rising-rents-spur-changes-in-dubai-realty-buyer-profiles" TargetMode="External"/><Relationship Id="rId177" Type="http://schemas.openxmlformats.org/officeDocument/2006/relationships/hyperlink" Target="https://www.arabianbusiness.com/industries/real-estate/dubai-abu-dhabi-real-estate-markets-cash-in-as-soaring-investor-confidence-fuels-uae-off-plan-property-boom" TargetMode="External"/><Relationship Id="rId298" Type="http://schemas.openxmlformats.org/officeDocument/2006/relationships/hyperlink" Target="https://www.bloomberg.com/news/articles/2023-11-10/china-s-property-risks-manageable-pboc-governor-says" TargetMode="External"/><Relationship Id="rId20" Type="http://schemas.openxmlformats.org/officeDocument/2006/relationships/hyperlink" Target="https://www.bloomberg.com/news/articles/2023-01-16/russian-buyers-help-to-propel-dubai-s-property-sales-to-record" TargetMode="External"/><Relationship Id="rId22" Type="http://schemas.openxmlformats.org/officeDocument/2006/relationships/hyperlink" Target="https://www.arabianbusiness.com/industries/travel-hospitality/russia-chases-saudi-arabia-bahrain-oman-visa-free-entry-diplomat" TargetMode="External"/><Relationship Id="rId21" Type="http://schemas.openxmlformats.org/officeDocument/2006/relationships/hyperlink" Target="https://www.zawya.com/en/business/real-estate/dubai-property-price-rises-seen-slowing-further-in-2023-betterhomes-o3nd1qy9" TargetMode="External"/><Relationship Id="rId24" Type="http://schemas.openxmlformats.org/officeDocument/2006/relationships/hyperlink" Target="https://www.bankingnews.gr/diethni/articles/661165/ti-anazitoyn-oi-rosoi-sto-doumpai-o-rolos-tou-seixi-stis-sxeseis-mosxas-kievou" TargetMode="External"/><Relationship Id="rId23" Type="http://schemas.openxmlformats.org/officeDocument/2006/relationships/hyperlink" Target="https://gulfnews.com/business/property/more-dubai-landlords-now-want-one-cheque-payments-with-their-rental-deals-1.1673930156220" TargetMode="External"/><Relationship Id="rId26" Type="http://schemas.openxmlformats.org/officeDocument/2006/relationships/hyperlink" Target="https://www.russiamatters.org/news/russia-review/russia-review-jan-13-20-2023" TargetMode="External"/><Relationship Id="rId25" Type="http://schemas.openxmlformats.org/officeDocument/2006/relationships/hyperlink" Target="https://www.inform.kz/ru/rynok-nedvizhimosti-dubaya-b-et-rekordy-pochemu-eto-sluchilos-i-chego-zhdat-v-2023-godu_a4025063" TargetMode="External"/><Relationship Id="rId28" Type="http://schemas.openxmlformats.org/officeDocument/2006/relationships/hyperlink" Target="https://english.alarabiya.net/business/technology/2023/01/18/Dubai-based-Tabby-raises-58-million-in-funding-round-valued-at-660-million-" TargetMode="External"/><Relationship Id="rId27" Type="http://schemas.openxmlformats.org/officeDocument/2006/relationships/hyperlink" Target="https://tuoitre.vn/nguoi-nga-thuc-day-doanh-so-ban-bat-dong-san-dubai-dat-ky-luc-20230117142503266.htm" TargetMode="External"/><Relationship Id="rId29" Type="http://schemas.openxmlformats.org/officeDocument/2006/relationships/hyperlink" Target="https://www.ukrhaber.com/blog/ruslar-kuresel-emlak-piyasasini-nasil-etkiliyor/" TargetMode="External"/><Relationship Id="rId11" Type="http://schemas.openxmlformats.org/officeDocument/2006/relationships/hyperlink" Target="https://www.ilmattino.it/primopiano/esteri/abramovich_oligarchi_russi_investimenti_dubai_cosa_sta_succedendo-7173231.html" TargetMode="External"/><Relationship Id="rId10" Type="http://schemas.openxmlformats.org/officeDocument/2006/relationships/hyperlink" Target="https://finanzmarktwelt.de/immobilien-so-massiv-stroemt-russisches-geld-nach-dubai-258253/" TargetMode="External"/><Relationship Id="rId13" Type="http://schemas.openxmlformats.org/officeDocument/2006/relationships/hyperlink" Target="https://kumparan.com/kabar-bisnis/harga-properti-di-dubai-diperkirakan-melambat-di-2023-1zeDE6UsPlZ?ref=register" TargetMode="External"/><Relationship Id="rId12" Type="http://schemas.openxmlformats.org/officeDocument/2006/relationships/hyperlink" Target="https://forbes.ua/news/prodazh-nerukhomosti-v-dubai-zris-do-rekordnogo-rivnya-cherez-zbilshennya-kilkosti-pokuptsiv-z-rosii-16012023-11091" TargetMode="External"/><Relationship Id="rId15" Type="http://schemas.openxmlformats.org/officeDocument/2006/relationships/hyperlink" Target="https://www.profit.ro/povesti-cu-profit/real-estate-constructii/cresterea-preturilor-proprietatilor-imobiliare-din-dubai-ar-putea-incetini-20983668" TargetMode="External"/><Relationship Id="rId198" Type="http://schemas.openxmlformats.org/officeDocument/2006/relationships/hyperlink" Target="https://www.russiamatters.org/news/russia-review/russia-review-aug-18-25-2023" TargetMode="External"/><Relationship Id="rId14" Type="http://schemas.openxmlformats.org/officeDocument/2006/relationships/hyperlink" Target="https://forbes.ua/ru/news/prodazh-nerukhomosti-v-dubai-zris-do-rekordnogo-rivnya-cherez-zbilshennya-kilkosti-pokuptsiv-z-rosii-16012023-11091" TargetMode="External"/><Relationship Id="rId197" Type="http://schemas.openxmlformats.org/officeDocument/2006/relationships/hyperlink" Target="https://www.russiamatters.org/news/russia-review/russia-review-aug-18-25-2023" TargetMode="External"/><Relationship Id="rId17" Type="http://schemas.openxmlformats.org/officeDocument/2006/relationships/hyperlink" Target="https://www.finansavisen.no/bolig/2023/01/16/7977177/russerne-bidro-til-ny-rekord?zephr_sso_ott=Ltz99Z" TargetMode="External"/><Relationship Id="rId196" Type="http://schemas.openxmlformats.org/officeDocument/2006/relationships/hyperlink" Target="https://www.thenationalnews.com/uae/2023/08/24/best-area-live-dubai-family/" TargetMode="External"/><Relationship Id="rId16" Type="http://schemas.openxmlformats.org/officeDocument/2006/relationships/hyperlink" Target="https://nl.marketscreener.com/beursnieuws/laatste/Prijsstijging-vastgoed-Dubai-verder-vertraagd-in-2023-Betterhomes--42738330/" TargetMode="External"/><Relationship Id="rId195" Type="http://schemas.openxmlformats.org/officeDocument/2006/relationships/hyperlink" Target="https://www.thenationalnews.com/uae/2023/08/24/best-area-live-dubai-family/" TargetMode="External"/><Relationship Id="rId19" Type="http://schemas.openxmlformats.org/officeDocument/2006/relationships/hyperlink" Target="https://www.bloomberg.com/news/newsletters/2023-01-16/egypt-pound-s-egp-usd-plunge-dubai-s-housing-boom-erdogan-s-nato-moves" TargetMode="External"/><Relationship Id="rId18" Type="http://schemas.openxmlformats.org/officeDocument/2006/relationships/hyperlink" Target="https://www.samaaenglish.tv/news/40025569" TargetMode="External"/><Relationship Id="rId199" Type="http://schemas.openxmlformats.org/officeDocument/2006/relationships/hyperlink" Target="https://www.businessinsider.de/politik/international-politics/russlands-wirtschaftliche-probleme-haben-zu-flut-von-bargeld-gefuehrt-und-immobilienboom-in-den-vereinigten-arabischen-emiraten-ausgeloest/" TargetMode="External"/><Relationship Id="rId84" Type="http://schemas.openxmlformats.org/officeDocument/2006/relationships/hyperlink" Target="https://www.zawya.com/en/press-release/companies-news/the-inaugural-top-50-homes-competition-takes-dubai-by-storm-u1711svg" TargetMode="External"/><Relationship Id="rId83" Type="http://schemas.openxmlformats.org/officeDocument/2006/relationships/hyperlink" Target="https://www.bnnbloomberg.ca/champagne-exports-to-gulf-nations-turkey-soar-as-russia-sinks-1.1898741" TargetMode="External"/><Relationship Id="rId86" Type="http://schemas.openxmlformats.org/officeDocument/2006/relationships/hyperlink" Target="https://www.bbc.com/news/business-65037061" TargetMode="External"/><Relationship Id="rId85" Type="http://schemas.openxmlformats.org/officeDocument/2006/relationships/hyperlink" Target="https://www.khaleejtimes.com/business/what-you-should-know-about-freehold-and-leasehold-properties" TargetMode="External"/><Relationship Id="rId88" Type="http://schemas.openxmlformats.org/officeDocument/2006/relationships/hyperlink" Target="https://www.timeoutdubai.com/news/dubai-luxury-homes-competition" TargetMode="External"/><Relationship Id="rId150" Type="http://schemas.openxmlformats.org/officeDocument/2006/relationships/hyperlink" Target="https://www.tagblatt.ch/wirtschaft/oligarchen-vom-paradeplatz-nach-dubai-reiche-russen-verschieben-ihr-geld-in-den-golfstaat-ld.2480762?reduced=true" TargetMode="External"/><Relationship Id="rId271" Type="http://schemas.openxmlformats.org/officeDocument/2006/relationships/hyperlink" Target="https://www.khaleejtimes.com/business/dubai-realty-matures-as-end-users-dominate" TargetMode="External"/><Relationship Id="rId87" Type="http://schemas.openxmlformats.org/officeDocument/2006/relationships/hyperlink" Target="https://www.khaleejtimes.com/business/three-options-to-consider-if-you-are-selling-your-property-in-dubai-2" TargetMode="External"/><Relationship Id="rId270" Type="http://schemas.openxmlformats.org/officeDocument/2006/relationships/hyperlink" Target="https://skift.com/2023/10/16/russian-tourists-opt-to-become-dubai-residents/" TargetMode="External"/><Relationship Id="rId89" Type="http://schemas.openxmlformats.org/officeDocument/2006/relationships/hyperlink" Target="https://www.timeoutdubai.com/news/mo-vlogs-house-downtown-dubai" TargetMode="External"/><Relationship Id="rId80" Type="http://schemas.openxmlformats.org/officeDocument/2006/relationships/hyperlink" Target="https://gulfnews.com/business/corporate-news/bayut-and-dubizzle-hold-their-annual-awards-ceremony-1.1678870778266" TargetMode="External"/><Relationship Id="rId82" Type="http://schemas.openxmlformats.org/officeDocument/2006/relationships/hyperlink" Target="https://www.nytimes.com/es/2023/03/20/espanol/rusos-dubai.html" TargetMode="External"/><Relationship Id="rId81" Type="http://schemas.openxmlformats.org/officeDocument/2006/relationships/hyperlink" Target="https://www.demorgen.be/oorlog-in-oekraine/dit-is-een-deel-van-rusland-buiten-rusland-hoe-dubai-een-toevluchtsoord-voor-de-russische-elite-wordt~b198e9fd/?referrer=https%3A%2F%2Fwww.google.com%2F" TargetMode="External"/><Relationship Id="rId1" Type="http://schemas.openxmlformats.org/officeDocument/2006/relationships/hyperlink" Target="https://www.reuters.com/world/middle-east/dubai-property-price-rises-seen-slowing-further-2023-betterhomes-2023-01-15/" TargetMode="External"/><Relationship Id="rId2" Type="http://schemas.openxmlformats.org/officeDocument/2006/relationships/hyperlink" Target="https://www.latestly.com/socially/sports/cricket/virat-kohli-does-a-ms-dhoni-star-india-batter-hits-helicopter-shot-for-six-in-ind-vs-sl-3rd-odi-2023-watch-video-4716180.html" TargetMode="External"/><Relationship Id="rId3" Type="http://schemas.openxmlformats.org/officeDocument/2006/relationships/hyperlink" Target="https://www.zonebourse.com/actualite-bourse/La-hausse-des-prix-de-l-immobilier-a-Dubai-devrait-encore-ralentir-en-2023-Betterhomes--42738330/?utm_medium=RSS&amp;utm_content=20230115" TargetMode="External"/><Relationship Id="rId149" Type="http://schemas.openxmlformats.org/officeDocument/2006/relationships/hyperlink" Target="https://www.luzernerzeitung.ch/wirtschaft/oligarchen-vom-paradeplatz-nach-dubai-reiche-russen-verschieben-ihr-geld-in-den-golfstaat-ld.2480762?reduced=true" TargetMode="External"/><Relationship Id="rId4" Type="http://schemas.openxmlformats.org/officeDocument/2006/relationships/hyperlink" Target="https://www.khaleejtimes.com/business/dubai-property-price-rises-seen-slowing-further-in-2023-betterhomes" TargetMode="External"/><Relationship Id="rId148" Type="http://schemas.openxmlformats.org/officeDocument/2006/relationships/hyperlink" Target="https://www.agbi.com/analysis/affordable-homes-warning-for-dubai-private-developers/" TargetMode="External"/><Relationship Id="rId269" Type="http://schemas.openxmlformats.org/officeDocument/2006/relationships/hyperlink" Target="https://skift.com/2023/10/16/russian-tourists-opt-to-become-dubai-residents/" TargetMode="External"/><Relationship Id="rId9" Type="http://schemas.openxmlformats.org/officeDocument/2006/relationships/hyperlink" Target="https://www.di.se/live/ryska-pengar-dopar-dubais-fastighetsmarknad-nar-ny-rekordniva/" TargetMode="External"/><Relationship Id="rId143" Type="http://schemas.openxmlformats.org/officeDocument/2006/relationships/hyperlink" Target="https://www.forbes.ro/cea-mai-recenta-frenezie-imobiliara-din-dubai-ii-determina-pe-cumparatorii-bogati-sa-isi-asume-riscuri-mai-mari-336737" TargetMode="External"/><Relationship Id="rId264" Type="http://schemas.openxmlformats.org/officeDocument/2006/relationships/hyperlink" Target="https://www.arabianbusiness.com/industries/real-estate/dubai-real-estate-commercial-property-market-demand-rises-in-q3-2023" TargetMode="External"/><Relationship Id="rId142" Type="http://schemas.openxmlformats.org/officeDocument/2006/relationships/hyperlink" Target="https://www.ot.gr/2023/06/22/diethni/ntoumpai-ksefreni-anodos-gia-ta-akinita/" TargetMode="External"/><Relationship Id="rId263" Type="http://schemas.openxmlformats.org/officeDocument/2006/relationships/hyperlink" Target="https://www.arabianbusiness.com/industries/real-estate/dubai-real-estate-commercial-property-market-demand-rises-in-q3-2023" TargetMode="External"/><Relationship Id="rId141" Type="http://schemas.openxmlformats.org/officeDocument/2006/relationships/hyperlink" Target="https://www.khaleejtimes.com/business/floating-villas-another-game-changer-in-dubai-real-estate" TargetMode="External"/><Relationship Id="rId262" Type="http://schemas.openxmlformats.org/officeDocument/2006/relationships/hyperlink" Target="https://www.khaleejtimes.com/business/dubais-secondary-market-sales-up-31-in-september" TargetMode="External"/><Relationship Id="rId140" Type="http://schemas.openxmlformats.org/officeDocument/2006/relationships/hyperlink" Target="https://www.bnnbloomberg.ca/dubai-s-latest-property-spree-has-rich-buyers-taking-more-risk-1.1936277" TargetMode="External"/><Relationship Id="rId261" Type="http://schemas.openxmlformats.org/officeDocument/2006/relationships/hyperlink" Target="https://www.khaleejtimes.com/business/dubais-secondary-market-sales-up-31-in-september" TargetMode="External"/><Relationship Id="rId5" Type="http://schemas.openxmlformats.org/officeDocument/2006/relationships/hyperlink" Target="https://manager.bg/%D0%B1%D0%B8%D0%B7%D0%BD%D0%B5%D1%81/rusnacite-stanaha-nai-golemite-kupuvachi-na-luksozni-imoti-v-dubai" TargetMode="External"/><Relationship Id="rId147" Type="http://schemas.openxmlformats.org/officeDocument/2006/relationships/hyperlink" Target="https://europost.gr/neos-kataskeyastikos-pyretos-ntoympai-o-rolos-tis-rosias/" TargetMode="External"/><Relationship Id="rId268" Type="http://schemas.openxmlformats.org/officeDocument/2006/relationships/hyperlink" Target="https://www.khaleejtimes.com/uae/dubai-why-it-is-the-right-time-to-buy-off-plan-properties" TargetMode="External"/><Relationship Id="rId6" Type="http://schemas.openxmlformats.org/officeDocument/2006/relationships/hyperlink" Target="https://titulares.ar/dubai-alcanza-cifra-record-de-transacciones-inmobiliarias-de-mas-de-143-000-millones-tras-anos-de-crisis/" TargetMode="External"/><Relationship Id="rId146" Type="http://schemas.openxmlformats.org/officeDocument/2006/relationships/hyperlink" Target="https://beritautama.net/orang-kaya-rusia-memindahkan-uang-mereka-ke-negara-teluk/" TargetMode="External"/><Relationship Id="rId267" Type="http://schemas.openxmlformats.org/officeDocument/2006/relationships/hyperlink" Target="https://www.khaleejtimes.com/uae/dubai-why-it-is-the-right-time-to-buy-off-plan-properties" TargetMode="External"/><Relationship Id="rId7" Type="http://schemas.openxmlformats.org/officeDocument/2006/relationships/hyperlink" Target="https://foco.lanacion.com.py/2023/01/16/por-que-dubai-logro-record-de-transacciones-inmobiliarias-en-2022/" TargetMode="External"/><Relationship Id="rId145" Type="http://schemas.openxmlformats.org/officeDocument/2006/relationships/hyperlink" Target="https://www.gazetatema.net/ekonomia/praktika-e-durresit-ne-ethet-e-reja-te-ndertimit-ne-dubai-i395865" TargetMode="External"/><Relationship Id="rId266" Type="http://schemas.openxmlformats.org/officeDocument/2006/relationships/hyperlink" Target="https://www.zawya.com/en/business/real-estate/dubai-why-it-is-the-right-time-to-buy-off-plan-properties-ru841oov" TargetMode="External"/><Relationship Id="rId8" Type="http://schemas.openxmlformats.org/officeDocument/2006/relationships/hyperlink" Target="https://www.arabnews.com/node/2233301/business-economy" TargetMode="External"/><Relationship Id="rId144" Type="http://schemas.openxmlformats.org/officeDocument/2006/relationships/hyperlink" Target="https://www.news24.com/fin24/international/dubai-chases-long-term-growth-as-property-booms-seeks-to-blunt-debt-risk-20230619" TargetMode="External"/><Relationship Id="rId265" Type="http://schemas.openxmlformats.org/officeDocument/2006/relationships/hyperlink" Target="https://www.zawya.com/en/business/real-estate/dubai-why-it-is-the-right-time-to-buy-off-plan-properties-ru841oov" TargetMode="External"/><Relationship Id="rId73" Type="http://schemas.openxmlformats.org/officeDocument/2006/relationships/hyperlink" Target="https://news.housefun.com.tw/news/article/569264367691.html" TargetMode="External"/><Relationship Id="rId72" Type="http://schemas.openxmlformats.org/officeDocument/2006/relationships/hyperlink" Target="https://www.lrytas.lt/bustas/nekilnojamasis-turtas/2023/03/08/news/is-rusijos-begantys-turciai-iskraipe-nt-rinka-dubajuje-uz-bustus-ne-nesideredami-jie-moka-beprotiskas-sumas-26342315" TargetMode="External"/><Relationship Id="rId75" Type="http://schemas.openxmlformats.org/officeDocument/2006/relationships/hyperlink" Target="https://www.khaleejtimes.com/business/dubai-should-you-buy-rent-property-directly-from-the-owner-or-through-a-property-agent" TargetMode="External"/><Relationship Id="rId74" Type="http://schemas.openxmlformats.org/officeDocument/2006/relationships/hyperlink" Target="https://www.zawya.com/en/business/real-estate/demand-for-dubai-properties-is-increasing-but-russian-buyers-are-not-the-main-drivers-rkqoqu4s" TargetMode="External"/><Relationship Id="rId77" Type="http://schemas.openxmlformats.org/officeDocument/2006/relationships/hyperlink" Target="https://menafn.com/1105778651/Why-Property-Buyers-Pay-Up-To-7-Extra-Of-Total-Value" TargetMode="External"/><Relationship Id="rId260" Type="http://schemas.openxmlformats.org/officeDocument/2006/relationships/hyperlink" Target="https://www.mansionglobal.com/articles/abu-dhabis-most-expensive-house-is-now-a-spec-megamansion-asking-aed-98-million-1d6b7c2?mod=sponsored_main" TargetMode="External"/><Relationship Id="rId76" Type="http://schemas.openxmlformats.org/officeDocument/2006/relationships/hyperlink" Target="https://www.bloomberglinea.com.br/2023/03/12/dubai-se-aproxima-de-ny-na-atracao-de-milionarios-que-buscam-casas-de-luxo/" TargetMode="External"/><Relationship Id="rId79" Type="http://schemas.openxmlformats.org/officeDocument/2006/relationships/hyperlink" Target="https://www.khaleejtimes.com/business/why-property-buyers-pay-up-to-7-extra-of-total-value" TargetMode="External"/><Relationship Id="rId78" Type="http://schemas.openxmlformats.org/officeDocument/2006/relationships/hyperlink" Target="https://indianexpress.com/article/world/how-dubai-became-russia-wartime-harbour-8495299/" TargetMode="External"/><Relationship Id="rId71" Type="http://schemas.openxmlformats.org/officeDocument/2006/relationships/hyperlink" Target="https://www.ft.com/content/5ccb498b-9d6c-4a67-87aa-69f7e3f17092" TargetMode="External"/><Relationship Id="rId70" Type="http://schemas.openxmlformats.org/officeDocument/2006/relationships/hyperlink" Target="https://www.larepublica.co/ocio/las-casas-de-lujo-de-dubai-lideran-los-mejores-y-peores-mercados-inmobiliarios-del-mundo-3558753" TargetMode="External"/><Relationship Id="rId139" Type="http://schemas.openxmlformats.org/officeDocument/2006/relationships/hyperlink" Target="https://www.bloomberg.com/news/articles/2023-06-22/dubai-s-latest-property-spree-has-rich-buyers-taking-more-risk" TargetMode="External"/><Relationship Id="rId138" Type="http://schemas.openxmlformats.org/officeDocument/2006/relationships/hyperlink" Target="https://www.thenationalnews.com/uae/2023/06/22/megaprojects-the-3bn-dubai-tower-set-to-join-the-worlds-tallest-residential-buildings/" TargetMode="External"/><Relationship Id="rId259" Type="http://schemas.openxmlformats.org/officeDocument/2006/relationships/hyperlink" Target="https://www.mansionglobal.com/articles/abu-dhabis-most-expensive-house-is-now-a-spec-megamansion-asking-aed-98-million-1d6b7c2?mod=sponsored_main" TargetMode="External"/><Relationship Id="rId137" Type="http://schemas.openxmlformats.org/officeDocument/2006/relationships/hyperlink" Target="https://www.thenationalnews.com/lifestyle/home-garden/2023/06/20/inside-a-luxury-dh90-million-dubai-home-complete-with-an-american-style-diner/" TargetMode="External"/><Relationship Id="rId258" Type="http://schemas.openxmlformats.org/officeDocument/2006/relationships/hyperlink" Target="https://prian.ru/pub/da-gde-zhe-holod-pochemu-rynok-nedvizhimosti-dubaya-nabiraet-oboroty-hotya-prognozirovali-inoe.html" TargetMode="External"/><Relationship Id="rId132" Type="http://schemas.openxmlformats.org/officeDocument/2006/relationships/hyperlink" Target="https://www.zawya.com/en/press-release/companies-news/50-of-the-citys-most-remarkable-homes-competed-for-the-crown-but-who-won-dubais-top-50-homes-competition-fu0mo56k" TargetMode="External"/><Relationship Id="rId253" Type="http://schemas.openxmlformats.org/officeDocument/2006/relationships/hyperlink" Target="https://www.khaleejtimes.com/business/big-demand-surge-fuels-dubais-off-plan-market" TargetMode="External"/><Relationship Id="rId131" Type="http://schemas.openxmlformats.org/officeDocument/2006/relationships/hyperlink" Target="https://www.saltwire.com/prince-edward-island/business/dubai-chases-long-term-growth-as-property-booms-seeks-to-blunt-debt-risk-100865458/" TargetMode="External"/><Relationship Id="rId252" Type="http://schemas.openxmlformats.org/officeDocument/2006/relationships/hyperlink" Target="https://gulfnews.com/business/property/in-dubai-residential-rentals-co-living-spaces-now-emerge-as-popular-choices-with-new-residents-1.98594038" TargetMode="External"/><Relationship Id="rId130" Type="http://schemas.openxmlformats.org/officeDocument/2006/relationships/hyperlink" Target="https://au.sports.yahoo.com/dubai-eyes-long-term-growth-134304251.html" TargetMode="External"/><Relationship Id="rId251" Type="http://schemas.openxmlformats.org/officeDocument/2006/relationships/hyperlink" Target="https://gulfnews.com/business/property/in-dubai-residential-rentals-co-living-spaces-now-emerge-as-popular-choices-with-new-residents-1.98594038" TargetMode="External"/><Relationship Id="rId250" Type="http://schemas.openxmlformats.org/officeDocument/2006/relationships/hyperlink" Target="https://primeresi.com/dubai-firm-recruits-top-prime-london-estate-agency-boss/" TargetMode="External"/><Relationship Id="rId136" Type="http://schemas.openxmlformats.org/officeDocument/2006/relationships/hyperlink" Target="https://www.gulftoday.ae/news/2023/06/21/dubai-is-looking-forward-to-long-term-growth-with-real-estate-booming-after-rapid-recovery" TargetMode="External"/><Relationship Id="rId257" Type="http://schemas.openxmlformats.org/officeDocument/2006/relationships/hyperlink" Target="https://prian.ru/pub/da-gde-zhe-holod-pochemu-rynok-nedvizhimosti-dubaya-nabiraet-oboroty-hotya-prognozirovali-inoe.html" TargetMode="External"/><Relationship Id="rId135" Type="http://schemas.openxmlformats.org/officeDocument/2006/relationships/hyperlink" Target="https://www.thedailystar.net/business/global-economy/news/chinas-youth-confront-bleak-job-market-3351496" TargetMode="External"/><Relationship Id="rId256" Type="http://schemas.openxmlformats.org/officeDocument/2006/relationships/hyperlink" Target="https://menafn.com/1107266348/Dubai-Realty-Matures-As-End-Users-Dominate" TargetMode="External"/><Relationship Id="rId134" Type="http://schemas.openxmlformats.org/officeDocument/2006/relationships/hyperlink" Target="https://www.reuters.com/world/middle-east/dubai-chases-long-term-growth-property-booms-seeks-blunt-debt-risk-2023-06-19/" TargetMode="External"/><Relationship Id="rId255" Type="http://schemas.openxmlformats.org/officeDocument/2006/relationships/hyperlink" Target="https://menafn.com/1107266348/Dubai-Realty-Matures-As-End-Users-Dominate" TargetMode="External"/><Relationship Id="rId133" Type="http://schemas.openxmlformats.org/officeDocument/2006/relationships/hyperlink" Target="https://www.youtube.com/watch?v=ulUPhJhGAjg" TargetMode="External"/><Relationship Id="rId254" Type="http://schemas.openxmlformats.org/officeDocument/2006/relationships/hyperlink" Target="https://www.khaleejtimes.com/business/big-demand-surge-fuels-dubais-off-plan-market" TargetMode="External"/><Relationship Id="rId62" Type="http://schemas.openxmlformats.org/officeDocument/2006/relationships/hyperlink" Target="https://finance.yahoo.com/news/g-7-sanctions-target-key-100000648.html?guccounter=1&amp;guce_referrer=aHR0cHM6Ly93d3cuZ29vZ2xlLmNvbS8&amp;guce_referrer_sig=AQAAANuRxrMPOhqOn5MEnoNAKUL86axWbGapzrkoX5cCD9T9DKehlHWNel1fiG4EzF1yW4Hg4YHNnxWWMQkY1fszEhPFGiL8AHhFHfGht_dn0gPU1ZxlxqGN27BeZJfxWSZDyKPVpEln1_SZdZNR6LN_JCztuZM0eMuGXTSUSctbUfSP" TargetMode="External"/><Relationship Id="rId61" Type="http://schemas.openxmlformats.org/officeDocument/2006/relationships/hyperlink" Target="https://zamanbelcika.be/ekonomi/dubai-konut-patlamasi-alicilari-samandiralar-kiracilari-zorlar/93593/" TargetMode="External"/><Relationship Id="rId64" Type="http://schemas.openxmlformats.org/officeDocument/2006/relationships/hyperlink" Target="https://www.forbesindia.com/article/lifes/dubai-housing-boom-buoys-buyers-burdens-tenants/83411/1" TargetMode="External"/><Relationship Id="rId63" Type="http://schemas.openxmlformats.org/officeDocument/2006/relationships/hyperlink" Target="https://www.bfmtv.com/immobilier/international-etranger/a-dubai-les-locataires-subissent-les-fortes-hausses-des-prix-de-l-immobilier_AD-202302230202.html" TargetMode="External"/><Relationship Id="rId66" Type="http://schemas.openxmlformats.org/officeDocument/2006/relationships/hyperlink" Target="https://menafn.com/1105644812/Dubai-Airport-Sees-Surge-In-Arrivals-Bolstered-By-Russian-Influx" TargetMode="External"/><Relationship Id="rId172" Type="http://schemas.openxmlformats.org/officeDocument/2006/relationships/hyperlink" Target="https://www.arabianbusiness.com/industries/real-estate/dubai-real-estate-off-plan-property-resurgence-fuels-market-boom-amid-rising-population" TargetMode="External"/><Relationship Id="rId293" Type="http://schemas.openxmlformats.org/officeDocument/2006/relationships/hyperlink" Target="https://www.bloombergtv.bg/a/8-novini-ot-sveta/123646-bumat-na-ruskite-imoti-v-dubay-izglezhda-e-priklyuchil" TargetMode="External"/><Relationship Id="rId65" Type="http://schemas.openxmlformats.org/officeDocument/2006/relationships/hyperlink" Target="https://www.instagram.com/reel/CpCbCVLAlhj/?id=3045115205483911267_1544565637" TargetMode="External"/><Relationship Id="rId171" Type="http://schemas.openxmlformats.org/officeDocument/2006/relationships/hyperlink" Target="https://www.khaleejtimes.com/business/dubai-waterfront-villa-prices-set-to-rise-further-due-to-limited-supply" TargetMode="External"/><Relationship Id="rId292" Type="http://schemas.openxmlformats.org/officeDocument/2006/relationships/hyperlink" Target="https://www.bloomberg.com/news/articles/2023-11-07/dubai-real-estate-russians-slow-purchases-of-pricey-properties-with-ruble-fall" TargetMode="External"/><Relationship Id="rId68" Type="http://schemas.openxmlformats.org/officeDocument/2006/relationships/hyperlink" Target="https://www.bloomberg.com/news/articles/2023-03-01/dubai-s-luxury-property-market-is-closing-in-on-new-york-london?utm_source=twitter&amp;utm_content=business&amp;utm_medium=social&amp;utm_campaign=socialflow-organic&amp;cmpid%3D=socialflow-twitter-pursuits&amp;cmpid=socialflow-twitter-business&amp;leadSource=uverify%20wall" TargetMode="External"/><Relationship Id="rId170" Type="http://schemas.openxmlformats.org/officeDocument/2006/relationships/hyperlink" Target="https://www.zawya.com/en/business/real-estate/norwegians-second-biggest-buyers-of-dubai-commercial-real-estate-cfzxoqfu" TargetMode="External"/><Relationship Id="rId291" Type="http://schemas.openxmlformats.org/officeDocument/2006/relationships/hyperlink" Target="https://www.bloomberg.com/news/articles/2023-11-07/dubai-real-estate-russians-slow-purchases-of-pricey-properties-with-ruble-fall" TargetMode="External"/><Relationship Id="rId67" Type="http://schemas.openxmlformats.org/officeDocument/2006/relationships/hyperlink" Target="https://gulfnews.com/business/property/dubais-luxury-property-market-is-closing-in-on-new-york-los-angeles-1.94169475" TargetMode="External"/><Relationship Id="rId290" Type="http://schemas.openxmlformats.org/officeDocument/2006/relationships/hyperlink" Target="https://www.epravda.com.ua/news/2023/11/7/706307/" TargetMode="External"/><Relationship Id="rId60" Type="http://schemas.openxmlformats.org/officeDocument/2006/relationships/hyperlink" Target="https://vietnambiz.vn/dubai-chung-kien-luong-giao-dich-bat-dong-san-ky-luc-trong-nam-2022-2023223222756601.htm" TargetMode="External"/><Relationship Id="rId165" Type="http://schemas.openxmlformats.org/officeDocument/2006/relationships/hyperlink" Target="https://www.zawya.com/en/business/real-estate/dubai-realty-posts-37-q2-growth-as-ultra-rich-rush-in-j94zfwoo" TargetMode="External"/><Relationship Id="rId286" Type="http://schemas.openxmlformats.org/officeDocument/2006/relationships/hyperlink" Target="https://www.bwhindi.com/real-estate-news/group-108-to-redefine-it-and-ites-sector-of-noida-soon-57700.html" TargetMode="External"/><Relationship Id="rId69" Type="http://schemas.openxmlformats.org/officeDocument/2006/relationships/hyperlink" Target="https://www.businesstimes.com.sg/property/dubais-luxury-property-market-closing-new-york-la" TargetMode="External"/><Relationship Id="rId164" Type="http://schemas.openxmlformats.org/officeDocument/2006/relationships/hyperlink" Target="https://www.zawya.com/en/business/real-estate/dubais-10-best-homes-revealed-il4crxtg" TargetMode="External"/><Relationship Id="rId285" Type="http://schemas.openxmlformats.org/officeDocument/2006/relationships/hyperlink" Target="https://www.bwhindi.com/real-estate-news/group-108-to-redefine-it-and-ites-sector-of-noida-soon-57700.html" TargetMode="External"/><Relationship Id="rId163" Type="http://schemas.openxmlformats.org/officeDocument/2006/relationships/hyperlink" Target="https://www.moneycontrol.com/news/business/real-estate/investing-abroad-should-you-consider-buying-a-second-home-in-dubai-10965401.html" TargetMode="External"/><Relationship Id="rId284" Type="http://schemas.openxmlformats.org/officeDocument/2006/relationships/hyperlink" Target="https://www.brecorder.com/news/40271440" TargetMode="External"/><Relationship Id="rId162" Type="http://schemas.openxmlformats.org/officeDocument/2006/relationships/hyperlink" Target="https://www.khaleejtimes.com/business/property/dubai-british-indian-and-russian-among-top-investors-in-property-market-in-q2" TargetMode="External"/><Relationship Id="rId283" Type="http://schemas.openxmlformats.org/officeDocument/2006/relationships/hyperlink" Target="https://www.brecorder.com/news/40271440" TargetMode="External"/><Relationship Id="rId169" Type="http://schemas.openxmlformats.org/officeDocument/2006/relationships/hyperlink" Target="https://www.khaleejtimes.com/business/dubais-commercial-real-estate-transactions-surge-101-in-q2" TargetMode="External"/><Relationship Id="rId168" Type="http://schemas.openxmlformats.org/officeDocument/2006/relationships/hyperlink" Target="https://www.zawya.com/en/business/real-estate/what-are-the-most-promising-upcoming-neighbourhoods-in-dubai-f2cailrd" TargetMode="External"/><Relationship Id="rId289" Type="http://schemas.openxmlformats.org/officeDocument/2006/relationships/hyperlink" Target="https://www.epravda.com.ua/news/2023/11/7/706307/" TargetMode="External"/><Relationship Id="rId167" Type="http://schemas.openxmlformats.org/officeDocument/2006/relationships/hyperlink" Target="https://www.khaleejtimes.com/business/what-are-the-most-promising-upcoming-neighbourhoods-in-dubai" TargetMode="External"/><Relationship Id="rId288" Type="http://schemas.openxmlformats.org/officeDocument/2006/relationships/hyperlink" Target="https://www.bnnbloomberg.ca/russians-lose-taste-for-suddenly-pricey-dubai-property-1.1994910" TargetMode="External"/><Relationship Id="rId166" Type="http://schemas.openxmlformats.org/officeDocument/2006/relationships/hyperlink" Target="https://www.khaleejtimes.com/business/dubai-realty-posts-37-q2-growth-as-ultra-rich-rush-in" TargetMode="External"/><Relationship Id="rId287" Type="http://schemas.openxmlformats.org/officeDocument/2006/relationships/hyperlink" Target="https://www.bnnbloomberg.ca/russians-lose-taste-for-suddenly-pricey-dubai-property-1.1994910" TargetMode="External"/><Relationship Id="rId51" Type="http://schemas.openxmlformats.org/officeDocument/2006/relationships/hyperlink" Target="https://www.khaleejtimes.com/business/what-are-the-red-flags-when-buying-a-flat-in-dubai" TargetMode="External"/><Relationship Id="rId50" Type="http://schemas.openxmlformats.org/officeDocument/2006/relationships/hyperlink" Target="https://nhipsongkinhdoanh.vn/bat-dong-san-dubai-bung-no-tro-lai-voi-nguon-tien-manh-tu-nga-post3107017.html" TargetMode="External"/><Relationship Id="rId53" Type="http://schemas.openxmlformats.org/officeDocument/2006/relationships/hyperlink" Target="https://apnews.com/article/us-department-of-the-treasury-business-united-arab-emirates-dubai-middle-east-192fbc4638f38d9334ad2508cae1eef4" TargetMode="External"/><Relationship Id="rId52" Type="http://schemas.openxmlformats.org/officeDocument/2006/relationships/hyperlink" Target="https://gulfnews.com/living-in-uae/housing/no-more-rental-cheques-tenants-in-dubai-now-have-the-option-to-pay-for-rent-via-direct-debit--heres-how-1.1676445697131" TargetMode="External"/><Relationship Id="rId55" Type="http://schemas.openxmlformats.org/officeDocument/2006/relationships/hyperlink" Target="https://jordantimes.com/news/business/dubai-airport-sees-surge-arrivals-bolstered-russian-influx" TargetMode="External"/><Relationship Id="rId161" Type="http://schemas.openxmlformats.org/officeDocument/2006/relationships/hyperlink" Target="https://www.khaleejtimes.com/business/realty/look-dubais-10-best-homes-revealed" TargetMode="External"/><Relationship Id="rId282" Type="http://schemas.openxmlformats.org/officeDocument/2006/relationships/hyperlink" Target="https://www.thenationalnews.com/weekend/2023/11/03/is-now-the-right-time-to-sell-your-uae-property/" TargetMode="External"/><Relationship Id="rId54" Type="http://schemas.openxmlformats.org/officeDocument/2006/relationships/hyperlink" Target="https://www.elindependiente.com/internacional/2023/02/20/dubai-el-refugio-dorado-de-los-millonarios-rusos/" TargetMode="External"/><Relationship Id="rId160" Type="http://schemas.openxmlformats.org/officeDocument/2006/relationships/hyperlink" Target="https://www.zawya.com/en/business/real-estate/real-estate-update-dubai-apartment-sales-grow-while-villa-sales-reduce-marginally-ceqysi00" TargetMode="External"/><Relationship Id="rId281" Type="http://schemas.openxmlformats.org/officeDocument/2006/relationships/hyperlink" Target="https://www.thenationalnews.com/weekend/2023/11/03/is-now-the-right-time-to-sell-your-uae-property/" TargetMode="External"/><Relationship Id="rId57" Type="http://schemas.openxmlformats.org/officeDocument/2006/relationships/hyperlink" Target="https://www.npr.org/2023/02/26/1152488159/ukrainian-food-dubai-yoy-restaurant" TargetMode="External"/><Relationship Id="rId280" Type="http://schemas.openxmlformats.org/officeDocument/2006/relationships/hyperlink" Target="https://www.zawya.com/en/business/real-estate/dubai-how-is-off-plan-investment-different-from-investing-in-ready-properties-a57lufb5" TargetMode="External"/><Relationship Id="rId56" Type="http://schemas.openxmlformats.org/officeDocument/2006/relationships/hyperlink" Target="https://www.khaleejtimes.com/business/property/dubai-should-i-hire-a-property-company-to-lease-my-villa-as-i-relocate-to-my-country" TargetMode="External"/><Relationship Id="rId159" Type="http://schemas.openxmlformats.org/officeDocument/2006/relationships/hyperlink" Target="https://www.arabnews.com/node/2339316/business-economy" TargetMode="External"/><Relationship Id="rId59" Type="http://schemas.openxmlformats.org/officeDocument/2006/relationships/hyperlink" Target="https://economictimes.indiatimes.com/nri/invest/dubai-housing-boom-buoys-buyers-burdens-tenants/articleshow/98170301.cms" TargetMode="External"/><Relationship Id="rId154" Type="http://schemas.openxmlformats.org/officeDocument/2006/relationships/hyperlink" Target="https://rossaprimavera.ru/article/50ce93fa" TargetMode="External"/><Relationship Id="rId275" Type="http://schemas.openxmlformats.org/officeDocument/2006/relationships/hyperlink" Target="https://e-vesti.ru/ru/rossiyan-snova-obvinili-v-udorozhanii-zhizni-v-dubae/" TargetMode="External"/><Relationship Id="rId58" Type="http://schemas.openxmlformats.org/officeDocument/2006/relationships/hyperlink" Target="https://www.businesstimes.com.sg/international/dubai-airport-sees-surge-arrivals-bolstered-russian-influx" TargetMode="External"/><Relationship Id="rId153" Type="http://schemas.openxmlformats.org/officeDocument/2006/relationships/hyperlink" Target="https://www.forbes.ro/proprietatile-din-dubai-tranzactii-si-preturi-in-crestere-riscuri-338894" TargetMode="External"/><Relationship Id="rId274" Type="http://schemas.openxmlformats.org/officeDocument/2006/relationships/hyperlink" Target="https://www.thenationalnews.com/opinion/editorial/2023/09/22/dubai-property-market-uae/" TargetMode="External"/><Relationship Id="rId152" Type="http://schemas.openxmlformats.org/officeDocument/2006/relationships/hyperlink" Target="https://www.thenationalnews.com/business/money/2023/07/05/uae-cost-of-living-school-fees-rent-visa-expat/" TargetMode="External"/><Relationship Id="rId273" Type="http://schemas.openxmlformats.org/officeDocument/2006/relationships/hyperlink" Target="https://www.thenationalnews.com/opinion/editorial/2023/09/22/dubai-property-market-uae/" TargetMode="External"/><Relationship Id="rId151" Type="http://schemas.openxmlformats.org/officeDocument/2006/relationships/hyperlink" Target="https://www.khaleejtimes.com/business/property-in-dubai-how-are-branded-residences-different-from-luxury-real-estate" TargetMode="External"/><Relationship Id="rId272" Type="http://schemas.openxmlformats.org/officeDocument/2006/relationships/hyperlink" Target="https://www.khaleejtimes.com/business/dubai-realty-matures-as-end-users-dominate" TargetMode="External"/><Relationship Id="rId158" Type="http://schemas.openxmlformats.org/officeDocument/2006/relationships/hyperlink" Target="https://www.khaleejtimes.com/business/property/dubai-waterfront-property-rates-have-doubled-will-prices-drop-as-palm-jebel-begins-to-take-shape" TargetMode="External"/><Relationship Id="rId279" Type="http://schemas.openxmlformats.org/officeDocument/2006/relationships/hyperlink" Target="https://www.zawya.com/en/business/real-estate/dubai-how-is-off-plan-investment-different-from-investing-in-ready-properties-a57lufb5" TargetMode="External"/><Relationship Id="rId157" Type="http://schemas.openxmlformats.org/officeDocument/2006/relationships/hyperlink" Target="https://www.khaleejtimes.com/uae/dubai-why-tenants-are-unlikely-to-see-relief-in-rents-anytime-soon" TargetMode="External"/><Relationship Id="rId278" Type="http://schemas.openxmlformats.org/officeDocument/2006/relationships/hyperlink" Target="https://www.khaleejtimes.com/ta/business/dubai-how-is-off-plan-investment-different-from-investing-in-ready-properties" TargetMode="External"/><Relationship Id="rId156" Type="http://schemas.openxmlformats.org/officeDocument/2006/relationships/hyperlink" Target="https://www.andhrajyothy.com/2023/nri/british-and-indian-buyers-among-top-investors-in-property-market-in-dubai-rams-spl-1103559.html" TargetMode="External"/><Relationship Id="rId277" Type="http://schemas.openxmlformats.org/officeDocument/2006/relationships/hyperlink" Target="https://www.khaleejtimes.com/ta/business/dubai-how-is-off-plan-investment-different-from-investing-in-ready-properties" TargetMode="External"/><Relationship Id="rId155" Type="http://schemas.openxmlformats.org/officeDocument/2006/relationships/hyperlink" Target="https://americannewsreport.com/top-real-estate-agencies-in-dubai/" TargetMode="External"/><Relationship Id="rId276" Type="http://schemas.openxmlformats.org/officeDocument/2006/relationships/hyperlink" Target="https://e-vesti.ru/ru/rossiyan-snova-obvinili-v-udorozhanii-zhizni-v-dubae/" TargetMode="External"/><Relationship Id="rId107" Type="http://schemas.openxmlformats.org/officeDocument/2006/relationships/hyperlink" Target="https://www.constructionweekonline.com/business/buying-property-in-dubai-top-buyer-nationalities-revealed" TargetMode="External"/><Relationship Id="rId228" Type="http://schemas.openxmlformats.org/officeDocument/2006/relationships/hyperlink" Target="https://vietnamnet.vn/cam-trai-xuyen-dem-xep-hang-tu-3h-sang-cho-mua-biet-thu-dao-o-dubai-2193119.html" TargetMode="External"/><Relationship Id="rId349" Type="http://schemas.openxmlformats.org/officeDocument/2006/relationships/hyperlink" Target="https://www.khaleejtimes.com/business/realty/dubai-tenants-increasingly-entering-multiple-year-contracts-as-rents-continue-to-rise-in-2024" TargetMode="External"/><Relationship Id="rId106" Type="http://schemas.openxmlformats.org/officeDocument/2006/relationships/hyperlink" Target="https://www.khaleejtimes.com/business/how-much-do-i-have-to-pay-an-agent-to-buy-a-home-in-dubai" TargetMode="External"/><Relationship Id="rId227" Type="http://schemas.openxmlformats.org/officeDocument/2006/relationships/hyperlink" Target="https://vietnamnet.vn/cam-trai-xuyen-dem-xep-hang-tu-3h-sang-cho-mua-biet-thu-dao-o-dubai-2193119.html" TargetMode="External"/><Relationship Id="rId348" Type="http://schemas.openxmlformats.org/officeDocument/2006/relationships/hyperlink" Target="https://news.eseuro.com/local/2735982.html" TargetMode="External"/><Relationship Id="rId105" Type="http://schemas.openxmlformats.org/officeDocument/2006/relationships/hyperlink" Target="https://www.9news.com.au/world/dubai-island-plot-of-empty-land-sold-for-fifty-million-dollars-in-record-sale/7e7745b4-340e-47e2-be40-166b3c9b3c1f" TargetMode="External"/><Relationship Id="rId226" Type="http://schemas.openxmlformats.org/officeDocument/2006/relationships/hyperlink" Target="https://www.wam.ae/zh-CN/details/1395303200431" TargetMode="External"/><Relationship Id="rId347" Type="http://schemas.openxmlformats.org/officeDocument/2006/relationships/hyperlink" Target="https://www.zawya.com/en/business/real-estate/dubai-rents-to-continue-rising-in-2024-but-at-a-slower-pace-gm3ddtnu" TargetMode="External"/><Relationship Id="rId104" Type="http://schemas.openxmlformats.org/officeDocument/2006/relationships/hyperlink" Target="https://www.khaleejtimes.com/business/property/steps-to-buying-a-property-in-dubai" TargetMode="External"/><Relationship Id="rId225" Type="http://schemas.openxmlformats.org/officeDocument/2006/relationships/hyperlink" Target="https://www.wam.ae/zh-CN/details/1395303200431" TargetMode="External"/><Relationship Id="rId346" Type="http://schemas.openxmlformats.org/officeDocument/2006/relationships/hyperlink" Target="https://www.dnaindia.com/personal-finance/report-how-to-invest-in-dubai-real-estate-from-india-the-ultimate-guide-3070821" TargetMode="External"/><Relationship Id="rId109" Type="http://schemas.openxmlformats.org/officeDocument/2006/relationships/hyperlink" Target="https://runews24.ru/realty/08/05/2023/2d3010790707d895bb61870f26beba78" TargetMode="External"/><Relationship Id="rId108" Type="http://schemas.openxmlformats.org/officeDocument/2006/relationships/hyperlink" Target="https://www.arabianbusiness.com/industries/real-estate/dubais-most-popular-residential-areas-buyer-nationalities-revealed" TargetMode="External"/><Relationship Id="rId229" Type="http://schemas.openxmlformats.org/officeDocument/2006/relationships/hyperlink" Target="https://wam.ae/tr/details/1395303201169" TargetMode="External"/><Relationship Id="rId220" Type="http://schemas.openxmlformats.org/officeDocument/2006/relationships/hyperlink" Target="https://www.agbi.com/articles/russian-investors-dubai-real-estate-little-moscow/" TargetMode="External"/><Relationship Id="rId341" Type="http://schemas.openxmlformats.org/officeDocument/2006/relationships/hyperlink" Target="https://www.bloomberg.com/news/articles/2023-11-27/a-london-luxury-property-executive-decamps-to-dubai" TargetMode="External"/><Relationship Id="rId340" Type="http://schemas.openxmlformats.org/officeDocument/2006/relationships/hyperlink" Target="https://www.bwhindi.com/real-estate-news/35-percent-of-stalled-housing-projects-are-in-noida-57987.html" TargetMode="External"/><Relationship Id="rId103" Type="http://schemas.openxmlformats.org/officeDocument/2006/relationships/hyperlink" Target="https://www.zawya.com/en/business/real-estate/steps-to-buying-a-property-in-dubai-ym3xbfuu" TargetMode="External"/><Relationship Id="rId224" Type="http://schemas.openxmlformats.org/officeDocument/2006/relationships/hyperlink" Target="https://www.khaleejtimes.com/business/why-property-buyers-pay-up-to-7-extra-of-total-value" TargetMode="External"/><Relationship Id="rId345" Type="http://schemas.openxmlformats.org/officeDocument/2006/relationships/hyperlink" Target="https://ryb.ru/2023/12/05/1990463" TargetMode="External"/><Relationship Id="rId102" Type="http://schemas.openxmlformats.org/officeDocument/2006/relationships/hyperlink" Target="https://www.khaleejtimes.com/business/property/dubai-property-british-indian-and-russian-buyers-lead-real-estate-market-pakistanis-slip-out-of" TargetMode="External"/><Relationship Id="rId223" Type="http://schemas.openxmlformats.org/officeDocument/2006/relationships/hyperlink" Target="https://www.khaleejtimes.com/business/why-property-buyers-pay-up-to-7-extra-of-total-value" TargetMode="External"/><Relationship Id="rId344" Type="http://schemas.openxmlformats.org/officeDocument/2006/relationships/hyperlink" Target="https://www.arabianbusiness.com/industries/real-estate/dubai-real-estate-when-is-the-best-time-to-buy-property-experts-reveal" TargetMode="External"/><Relationship Id="rId101" Type="http://schemas.openxmlformats.org/officeDocument/2006/relationships/hyperlink" Target="https://www.zawya.com/en/business/real-estate/dubai-property-british-indian-and-russian-buyers-lead-real-estate-market-pakistanis-slip-out-of-top-10-n61n484u" TargetMode="External"/><Relationship Id="rId222" Type="http://schemas.openxmlformats.org/officeDocument/2006/relationships/hyperlink" Target="https://www.arabianbusiness.com/industries/real-estate/dubai-real-estate-how-much-property-does-1-million-buy" TargetMode="External"/><Relationship Id="rId343" Type="http://schemas.openxmlformats.org/officeDocument/2006/relationships/hyperlink" Target="https://www.arabianbusiness.com/industries/real-estate/dubai-real-estate-when-is-the-best-time-to-buy-property-experts-reveal" TargetMode="External"/><Relationship Id="rId100" Type="http://schemas.openxmlformats.org/officeDocument/2006/relationships/hyperlink" Target="https://www.forbes.ru/brandvoice/488385-emirat-vozmoznostej-osobennosti-relokacii-v-dubaj" TargetMode="External"/><Relationship Id="rId221" Type="http://schemas.openxmlformats.org/officeDocument/2006/relationships/hyperlink" Target="https://www.arabianbusiness.com/industries/real-estate/dubai-real-estate-how-much-property-does-1-million-buy" TargetMode="External"/><Relationship Id="rId342" Type="http://schemas.openxmlformats.org/officeDocument/2006/relationships/hyperlink" Target="https://www.bloomberg.com/news/articles/2023-11-27/a-london-luxury-property-executive-decamps-to-dubai" TargetMode="External"/><Relationship Id="rId217" Type="http://schemas.openxmlformats.org/officeDocument/2006/relationships/hyperlink" Target="https://menafn.com/1107053466/What-Are-The-Best-Locations-For-An-Investor-Seeking-To-Buy-Mid-Range-Property-In-Dubai" TargetMode="External"/><Relationship Id="rId338" Type="http://schemas.openxmlformats.org/officeDocument/2006/relationships/hyperlink" Target="https://vc.ru/money/927836-banki-oae-stali-uzhestochat-proverki-rossiyskih-kompaniy-pod-davleniem-ssha-bloomberg" TargetMode="External"/><Relationship Id="rId216" Type="http://schemas.openxmlformats.org/officeDocument/2006/relationships/hyperlink" Target="https://www.khaleejtimes.com/business/what-are-the-best-locations-for-an-investor-seeking-to-buy-mid-range-property-in-dubai" TargetMode="External"/><Relationship Id="rId337" Type="http://schemas.openxmlformats.org/officeDocument/2006/relationships/hyperlink" Target="https://vc.ru/money/927836-banki-oae-stali-uzhestochat-proverki-rossiyskih-kompaniy-pod-davleniem-ssha-bloomberg" TargetMode="External"/><Relationship Id="rId215" Type="http://schemas.openxmlformats.org/officeDocument/2006/relationships/hyperlink" Target="https://www.khaleejtimes.com/business/what-are-the-best-locations-for-an-investor-seeking-to-buy-mid-range-property-in-dubai" TargetMode="External"/><Relationship Id="rId336" Type="http://schemas.openxmlformats.org/officeDocument/2006/relationships/hyperlink" Target="https://www.arabianbusiness.com/industries/real-estate/dubai-real-estate-is-it-better-to-fix-a-mortgage-now-or-next-year-experts-weigh-in" TargetMode="External"/><Relationship Id="rId214" Type="http://schemas.openxmlformats.org/officeDocument/2006/relationships/hyperlink" Target="https://cafef.vn/suc-hap-dan-cua-vuong-quoc-sieu-giau-don-nhan-dong-tai-san-khong-lo-tu-nga-188230906093157615.chn" TargetMode="External"/><Relationship Id="rId335" Type="http://schemas.openxmlformats.org/officeDocument/2006/relationships/hyperlink" Target="https://www.arabianbusiness.com/industries/real-estate/dubai-real-estate-is-it-better-to-fix-a-mortgage-now-or-next-year-experts-weigh-in" TargetMode="External"/><Relationship Id="rId219" Type="http://schemas.openxmlformats.org/officeDocument/2006/relationships/hyperlink" Target="https://www.agbi.com/articles/russian-investors-dubai-real-estate-little-moscow/" TargetMode="External"/><Relationship Id="rId218" Type="http://schemas.openxmlformats.org/officeDocument/2006/relationships/hyperlink" Target="https://menafn.com/1107053466/What-Are-The-Best-Locations-For-An-Investor-Seeking-To-Buy-Mid-Range-Property-In-Dubai" TargetMode="External"/><Relationship Id="rId339" Type="http://schemas.openxmlformats.org/officeDocument/2006/relationships/hyperlink" Target="https://www.bwhindi.com/real-estate-news/35-percent-of-stalled-housing-projects-are-in-noida-57987.html" TargetMode="External"/><Relationship Id="rId330" Type="http://schemas.openxmlformats.org/officeDocument/2006/relationships/hyperlink" Target="https://timesofindia.indiatimes.com/city/bhopal/realty-boom-in-poll-season-sales-up-with-448-new-projects/articleshow/105400439.cms" TargetMode="External"/><Relationship Id="rId213" Type="http://schemas.openxmlformats.org/officeDocument/2006/relationships/hyperlink" Target="https://cafef.vn/suc-hap-dan-cua-vuong-quoc-sieu-giau-don-nhan-dong-tai-san-khong-lo-tu-nga-188230906093157615.chn" TargetMode="External"/><Relationship Id="rId334" Type="http://schemas.openxmlformats.org/officeDocument/2006/relationships/hyperlink" Target="https://dailyguardian.ae/business/dubai-realty-stands-out-in-october/" TargetMode="External"/><Relationship Id="rId212" Type="http://schemas.openxmlformats.org/officeDocument/2006/relationships/hyperlink" Target="https://www.khaleejtimes.com/business/dubai-should-you-buy-rent-property-directly-from-the-owner-or-through-a-property-agent" TargetMode="External"/><Relationship Id="rId333" Type="http://schemas.openxmlformats.org/officeDocument/2006/relationships/hyperlink" Target="https://dailyguardian.ae/business/dubai-realty-stands-out-in-october/" TargetMode="External"/><Relationship Id="rId211" Type="http://schemas.openxmlformats.org/officeDocument/2006/relationships/hyperlink" Target="https://www.khaleejtimes.com/business/dubai-should-you-buy-rent-property-directly-from-the-owner-or-through-a-property-agent" TargetMode="External"/><Relationship Id="rId332" Type="http://schemas.openxmlformats.org/officeDocument/2006/relationships/hyperlink" Target="https://www.khaleejtimes.com/ta/business/dubai-realty-stands-out-in-october" TargetMode="External"/><Relationship Id="rId210" Type="http://schemas.openxmlformats.org/officeDocument/2006/relationships/hyperlink" Target="https://www.logicno.com/politika/ogromno-povlacenje-kapitala-iz-svicarske-na-bliski-istok.html" TargetMode="External"/><Relationship Id="rId331" Type="http://schemas.openxmlformats.org/officeDocument/2006/relationships/hyperlink" Target="https://www.khaleejtimes.com/ta/business/dubai-realty-stands-out-in-october" TargetMode="External"/><Relationship Id="rId129" Type="http://schemas.openxmlformats.org/officeDocument/2006/relationships/hyperlink" Target="https://www.thenationalnews.com/uae/2023/06/15/dubais-property-bubble-far-from-bursting-real-estate-experts-say/" TargetMode="External"/><Relationship Id="rId128" Type="http://schemas.openxmlformats.org/officeDocument/2006/relationships/hyperlink" Target="https://www.arabianbusiness.com/resources/from-pandemic-era-startup-to-industry-player-k4s-rise-to-the-top" TargetMode="External"/><Relationship Id="rId249" Type="http://schemas.openxmlformats.org/officeDocument/2006/relationships/hyperlink" Target="https://primeresi.com/dubai-firm-recruits-top-prime-london-estate-agency-boss/" TargetMode="External"/><Relationship Id="rId127" Type="http://schemas.openxmlformats.org/officeDocument/2006/relationships/hyperlink" Target="https://areamilitarof.com/russia-os-russos-lideram-entre-os-compradores-estrangeiros-de-imoveis-na-turquia-ha-meio-ano/" TargetMode="External"/><Relationship Id="rId248" Type="http://schemas.openxmlformats.org/officeDocument/2006/relationships/hyperlink" Target="https://www.zawya.com/en/press-release/people-in-the-news/betterhomes-appoints-louis-harding-as-new-managing-director-sncasc5v" TargetMode="External"/><Relationship Id="rId369" Type="http://schemas.openxmlformats.org/officeDocument/2006/relationships/drawing" Target="../drawings/drawing6.xml"/><Relationship Id="rId126" Type="http://schemas.openxmlformats.org/officeDocument/2006/relationships/hyperlink" Target="https://www.khaleejtimes.com/business/uae-here-are-the-various-visas-you-can-get-on-purchasing-a-property" TargetMode="External"/><Relationship Id="rId247" Type="http://schemas.openxmlformats.org/officeDocument/2006/relationships/hyperlink" Target="https://www.zawya.com/en/press-release/people-in-the-news/betterhomes-appoints-louis-harding-as-new-managing-director-sncasc5v" TargetMode="External"/><Relationship Id="rId368" Type="http://schemas.openxmlformats.org/officeDocument/2006/relationships/hyperlink" Target="https://www.zawya.com/en/business/real-estate/dubai-property-owners-increasingly-opting-for-flipping-as-prices-hit-all-time-high-gowl4ibz" TargetMode="External"/><Relationship Id="rId121" Type="http://schemas.openxmlformats.org/officeDocument/2006/relationships/hyperlink" Target="https://lepetitjournal.com/dubai/logement/quartiers-populaires-dubai-nationalites-acheteurs-361117" TargetMode="External"/><Relationship Id="rId242" Type="http://schemas.openxmlformats.org/officeDocument/2006/relationships/hyperlink" Target="https://www.dp.ru/a/2023/10/03/rossijskie-investori-skupajut" TargetMode="External"/><Relationship Id="rId363" Type="http://schemas.openxmlformats.org/officeDocument/2006/relationships/hyperlink" Target="https://www.arabianbusiness.com/industries/real-estate/dubai-real-estate-when-is-the-right-time-to-sell-your-property" TargetMode="External"/><Relationship Id="rId120" Type="http://schemas.openxmlformats.org/officeDocument/2006/relationships/hyperlink" Target="https://www.khaleejtimes.com/business/property/top-luxury-property-buyers-in-dubai-chinese-british-investors-overtake-indians" TargetMode="External"/><Relationship Id="rId241" Type="http://schemas.openxmlformats.org/officeDocument/2006/relationships/hyperlink" Target="https://www.dp.ru/a/2023/10/03/rossijskie-investori-skupajut" TargetMode="External"/><Relationship Id="rId362" Type="http://schemas.openxmlformats.org/officeDocument/2006/relationships/hyperlink" Target="https://www.constructionweekonline.in/business/2024-property-market-forecasts-the-5-trends-you-need-to-know" TargetMode="External"/><Relationship Id="rId240" Type="http://schemas.openxmlformats.org/officeDocument/2006/relationships/hyperlink" Target="https://www.constructionweekonline.com/projects-tenders/russian-investors-occupy-land-plots-to-build-little-moscow-in-dubai" TargetMode="External"/><Relationship Id="rId361" Type="http://schemas.openxmlformats.org/officeDocument/2006/relationships/hyperlink" Target="https://www.arabianbusiness.com/industries/real-estate/uae-real-estate-property-experts-share-5-trends-for-investors-in-2024" TargetMode="External"/><Relationship Id="rId360" Type="http://schemas.openxmlformats.org/officeDocument/2006/relationships/hyperlink" Target="https://www.dp.ru/a/2023/12/19/blizhnij-nam-vostok-kak-rossijane" TargetMode="External"/><Relationship Id="rId125" Type="http://schemas.openxmlformats.org/officeDocument/2006/relationships/hyperlink" Target="https://cnnbusinessarabic.com/real-estate-construction/27602/%d8%ad%d9%81%d9%84-%d8%aa%d9%88%d8%b2%d9%8a%d8%b9-%d8%ac%d9%88%d8%a7%d8%a6%d8%b2-%d8%a3%d9%81%d8%b6%d9%84-50-%d9%85%d9%86%d8%b2%d9%84%d8%a7%d9%8b-%d9%81%d9%8a-%d8%af%d8%a8%d9%8a-%d9%8a%d8%ad%d8%aa" TargetMode="External"/><Relationship Id="rId246" Type="http://schemas.openxmlformats.org/officeDocument/2006/relationships/hyperlink" Target="https://www.arabianbusiness.com/industries/real-estate/dubai-real-estate-rak-casino-china-uae-property-market" TargetMode="External"/><Relationship Id="rId367" Type="http://schemas.openxmlformats.org/officeDocument/2006/relationships/hyperlink" Target="https://news.eseuro.com/trends/2839465.html" TargetMode="External"/><Relationship Id="rId124" Type="http://schemas.openxmlformats.org/officeDocument/2006/relationships/hyperlink" Target="https://panorama.ro/imobiliare-dubai-investitie-romani-piata-imobiliara/" TargetMode="External"/><Relationship Id="rId245" Type="http://schemas.openxmlformats.org/officeDocument/2006/relationships/hyperlink" Target="https://www.arabianbusiness.com/industries/real-estate/dubai-real-estate-rak-casino-china-uae-property-market" TargetMode="External"/><Relationship Id="rId366" Type="http://schemas.openxmlformats.org/officeDocument/2006/relationships/hyperlink" Target="http://news.es/" TargetMode="External"/><Relationship Id="rId123" Type="http://schemas.openxmlformats.org/officeDocument/2006/relationships/hyperlink" Target="https://www.thenationalnews.com/uae/2023/06/08/moving-to-abu-dhabi-best-residential-areas-for-middle-income-earners/" TargetMode="External"/><Relationship Id="rId244" Type="http://schemas.openxmlformats.org/officeDocument/2006/relationships/hyperlink" Target="https://www.khaleejtimes.com/business/how-much-do-i-have-to-pay-an-agent-to-buy-a-home-in-dubais-emirates-hills" TargetMode="External"/><Relationship Id="rId365" Type="http://schemas.openxmlformats.org/officeDocument/2006/relationships/hyperlink" Target="https://www.albayan.ae/economy/uae/2023-12-21-1.4787683" TargetMode="External"/><Relationship Id="rId122" Type="http://schemas.openxmlformats.org/officeDocument/2006/relationships/hyperlink" Target="https://www.digitaljournal.com/pr/news/binary-news-network/the-uphill-trajectory-of-property-technology-within-the-middle-east" TargetMode="External"/><Relationship Id="rId243" Type="http://schemas.openxmlformats.org/officeDocument/2006/relationships/hyperlink" Target="https://www.khaleejtimes.com/business/how-much-do-i-have-to-pay-an-agent-to-buy-a-home-in-dubais-emirates-hills" TargetMode="External"/><Relationship Id="rId364" Type="http://schemas.openxmlformats.org/officeDocument/2006/relationships/hyperlink" Target="http://albayan.ae/" TargetMode="External"/><Relationship Id="rId95" Type="http://schemas.openxmlformats.org/officeDocument/2006/relationships/hyperlink" Target="https://www.khaleejtimes.com/business/dubai-landlord-must-give-12-months-notice-if-property-is-to-be-vacated-for-renovation" TargetMode="External"/><Relationship Id="rId94" Type="http://schemas.openxmlformats.org/officeDocument/2006/relationships/hyperlink" Target="https://www.jordannews.jo/Section-120/All/Russia-outside-Russia-For-elite-Dubai-becomes-a-wartime-harbor-27896" TargetMode="External"/><Relationship Id="rId97" Type="http://schemas.openxmlformats.org/officeDocument/2006/relationships/hyperlink" Target="https://www.khaleejtimes.com/business/how-to-buy-property-in-dubai-if-you-are-not-a-resident" TargetMode="External"/><Relationship Id="rId96" Type="http://schemas.openxmlformats.org/officeDocument/2006/relationships/hyperlink" Target="https://www.zawya.com/en/business/real-estate/how-to-buy-property-in-dubai-if-you-are-not-a-resident-ly409tqq" TargetMode="External"/><Relationship Id="rId99" Type="http://schemas.openxmlformats.org/officeDocument/2006/relationships/hyperlink" Target="https://www.forbes.ru/brandvoice/488403-zit-gde-solnce-i-more-12-voprosov-o-nedvizimosti-v-turcii" TargetMode="External"/><Relationship Id="rId98" Type="http://schemas.openxmlformats.org/officeDocument/2006/relationships/hyperlink" Target="https://ziare.com/dubai/paradisul-rusilor-emiratele-arabe-lovitura-pentru-putin-cea-mai-mare-banca-dubai-enbd-blocheaza-conturile-investitii-rusi-1799578" TargetMode="External"/><Relationship Id="rId91" Type="http://schemas.openxmlformats.org/officeDocument/2006/relationships/hyperlink" Target="https://www.bloomberg.com/news/articles/2023-04-02/how-expensive-is-dubai-for-expats-rents-groceries-school-fees-surge" TargetMode="External"/><Relationship Id="rId90" Type="http://schemas.openxmlformats.org/officeDocument/2006/relationships/hyperlink" Target="https://www.arabianbusiness.com/industries/real-estate/revealed-50-best-homes-in-dubai" TargetMode="External"/><Relationship Id="rId93" Type="http://schemas.openxmlformats.org/officeDocument/2006/relationships/hyperlink" Target="https://www.bbc.com/hausa/articles/cqqzzd3r5nvo" TargetMode="External"/><Relationship Id="rId92" Type="http://schemas.openxmlformats.org/officeDocument/2006/relationships/hyperlink" Target="https://haberglobal.com.tr/ekonomi/dubaide-tanidik-sozler-biz-tasinacagiz-cikin-241925" TargetMode="External"/><Relationship Id="rId118" Type="http://schemas.openxmlformats.org/officeDocument/2006/relationships/hyperlink" Target="https://www.zawya.com/en/press-release/companies-news/property-finder-brings-together-uae-real-estate-industry-leaders-at-property-finder-connect-2023-event-x1vs7r8h" TargetMode="External"/><Relationship Id="rId239" Type="http://schemas.openxmlformats.org/officeDocument/2006/relationships/hyperlink" Target="https://www.constructionweekonline.com/projects-tenders/russian-investors-occupy-land-plots-to-build-little-moscow-in-dubai" TargetMode="External"/><Relationship Id="rId117" Type="http://schemas.openxmlformats.org/officeDocument/2006/relationships/hyperlink" Target="https://www.khaleejtimes.com/business/are-rent-to-own-units-a-good-option-for-property-buyers-in-dubai" TargetMode="External"/><Relationship Id="rId238" Type="http://schemas.openxmlformats.org/officeDocument/2006/relationships/hyperlink" Target="https://www.timeoutdubai.com/things-to-do/renting-in-dubai-2023-guide" TargetMode="External"/><Relationship Id="rId359" Type="http://schemas.openxmlformats.org/officeDocument/2006/relationships/hyperlink" Target="https://www.investor.bg/a/534-novini/386207-bogati-indiytsi-harchat-milioni-za-da-zhiveyat-v-bevarli-hils-na-dubay" TargetMode="External"/><Relationship Id="rId116" Type="http://schemas.openxmlformats.org/officeDocument/2006/relationships/hyperlink" Target="https://www.zawya.com/en/business/real-estate/are-rent-to-own-units-a-good-option-for-property-buyers-in-dubai-j01bp4vu" TargetMode="External"/><Relationship Id="rId237" Type="http://schemas.openxmlformats.org/officeDocument/2006/relationships/hyperlink" Target="https://www.timeoutdubai.com/things-to-do/renting-in-dubai-2023-guide" TargetMode="External"/><Relationship Id="rId358" Type="http://schemas.openxmlformats.org/officeDocument/2006/relationships/hyperlink" Target="http://investor.bg/" TargetMode="External"/><Relationship Id="rId115" Type="http://schemas.openxmlformats.org/officeDocument/2006/relationships/hyperlink" Target="https://thecradle.co/article-view/25252/uae-becomes-russian-gold-trade-hub-due-to-western-sanctions" TargetMode="External"/><Relationship Id="rId236" Type="http://schemas.openxmlformats.org/officeDocument/2006/relationships/hyperlink" Target="https://www.wam.ae/en/details/1395303200418" TargetMode="External"/><Relationship Id="rId357" Type="http://schemas.openxmlformats.org/officeDocument/2006/relationships/hyperlink" Target="https://www.bwhindi.com/real-estate-news/this-real-estate-developer-invested-300-crore-in-ayodhya-58205.html" TargetMode="External"/><Relationship Id="rId119" Type="http://schemas.openxmlformats.org/officeDocument/2006/relationships/hyperlink" Target="https://www.capital.fr/immobilier/pourquoi-la-guerre-en-ukraine-a-provoque-une-augmentation-de-36-des-loyers-a-dubai-1469893" TargetMode="External"/><Relationship Id="rId110" Type="http://schemas.openxmlformats.org/officeDocument/2006/relationships/hyperlink" Target="https://www.thenationalnews.com/uae/2023/05/07/dubais-world-islands-developer-aims-for-2026-finish-after-fresh-delays/" TargetMode="External"/><Relationship Id="rId231" Type="http://schemas.openxmlformats.org/officeDocument/2006/relationships/hyperlink" Target="https://www.euromoney.com/article/2c7hhpbvmjlgur7y0wcn4/wealth/how-banks-are-leveraging-dubais-wealth-influx" TargetMode="External"/><Relationship Id="rId352" Type="http://schemas.openxmlformats.org/officeDocument/2006/relationships/hyperlink" Target="https://www.arabianbusiness.com/industries/real-estate/short-vs-long-term-rentals-which-leasing-strategy-offers-better-roi-for-dubai-landlords" TargetMode="External"/><Relationship Id="rId230" Type="http://schemas.openxmlformats.org/officeDocument/2006/relationships/hyperlink" Target="https://wam.ae/tr/details/1395303201169" TargetMode="External"/><Relationship Id="rId351" Type="http://schemas.openxmlformats.org/officeDocument/2006/relationships/hyperlink" Target="https://theinscribermag.com/frontiers-of-excellence-fame-delivereds-top-10-global-real-estate-punters-2023-revealed/" TargetMode="External"/><Relationship Id="rId350" Type="http://schemas.openxmlformats.org/officeDocument/2006/relationships/hyperlink" Target="https://curlytales.com/market-trends-demands-dubai-to-witness-a-rental-price-surge-in-2024/" TargetMode="External"/><Relationship Id="rId114" Type="http://schemas.openxmlformats.org/officeDocument/2006/relationships/hyperlink" Target="https://www.lemonde.fr/international/article/2023/05/24/a-dubai-l-afflux-des-russes-provoque-une-crise-immobiliere_6174649_3210.html" TargetMode="External"/><Relationship Id="rId235" Type="http://schemas.openxmlformats.org/officeDocument/2006/relationships/hyperlink" Target="https://www.wam.ae/en/details/1395303200418" TargetMode="External"/><Relationship Id="rId356" Type="http://schemas.openxmlformats.org/officeDocument/2006/relationships/hyperlink" Target="https://www.bloomberg.com/news/features/2023-12-15/wealthy-indians-splurge-on-dubai-s-luxury-real-estate" TargetMode="External"/><Relationship Id="rId113" Type="http://schemas.openxmlformats.org/officeDocument/2006/relationships/hyperlink" Target="https://www.thenationalnews.com/uae/2023/05/17/tenants-served-notice-as-palm-jumeriahs-the-pointe-tipped-for-redevelopment/" TargetMode="External"/><Relationship Id="rId234" Type="http://schemas.openxmlformats.org/officeDocument/2006/relationships/hyperlink" Target="https://www.khaleejtimes.com/business/what-you-should-know-about-freehold-and-leasehold-properties" TargetMode="External"/><Relationship Id="rId355" Type="http://schemas.openxmlformats.org/officeDocument/2006/relationships/hyperlink" Target="https://www.digitaljournal.com/pr/news/globe-pr-wire/building-tomorrow-fame-delivered-releases-top-10-global-real-estate-punters-of-2023" TargetMode="External"/><Relationship Id="rId112" Type="http://schemas.openxmlformats.org/officeDocument/2006/relationships/hyperlink" Target="https://www.atalayar.com/articulo/economia-y-empresas/dubai-ciudad-que-atrae-cada-vez-mas-empresarios-extranjeros/20230509162107184378.html" TargetMode="External"/><Relationship Id="rId233" Type="http://schemas.openxmlformats.org/officeDocument/2006/relationships/hyperlink" Target="https://www.khaleejtimes.com/business/what-you-should-know-about-freehold-and-leasehold-properties" TargetMode="External"/><Relationship Id="rId354" Type="http://schemas.openxmlformats.org/officeDocument/2006/relationships/hyperlink" Target="https://www.timebulletin.com/beyond-borders-fame-delivered-presents-the-definitive-list-of-top-10-real-estate-punters-worldwide/" TargetMode="External"/><Relationship Id="rId111" Type="http://schemas.openxmlformats.org/officeDocument/2006/relationships/hyperlink" Target="https://www.khaleejtimes.com/business/your-guide-to-renting-in-dubai" TargetMode="External"/><Relationship Id="rId232" Type="http://schemas.openxmlformats.org/officeDocument/2006/relationships/hyperlink" Target="https://www.euromoney.com/article/2c7hhpbvmjlgur7y0wcn4/wealth/how-banks-are-leveraging-dubais-wealth-influx" TargetMode="External"/><Relationship Id="rId353" Type="http://schemas.openxmlformats.org/officeDocument/2006/relationships/hyperlink" Target="https://www.khaleejtimes.com/business/short-term-rentals-gain-popularity-in-dubai" TargetMode="External"/><Relationship Id="rId305" Type="http://schemas.openxmlformats.org/officeDocument/2006/relationships/hyperlink" Target="https://www.businesstoday.in/real-estate/story/indians-surpass-britons-to-become-largest-real-estate-investors-in-dubai-russians-down-at-no-3-report-405667-2023-11-14" TargetMode="External"/><Relationship Id="rId304" Type="http://schemas.openxmlformats.org/officeDocument/2006/relationships/hyperlink" Target="https://www.zawya.com/en/business/real-estate/rising-rents-spur-changes-in-dubai-realty-buyer-profiles-abtx6ehd" TargetMode="External"/><Relationship Id="rId303" Type="http://schemas.openxmlformats.org/officeDocument/2006/relationships/hyperlink" Target="https://www.zawya.com/en/business/real-estate/rising-rents-spur-changes-in-dubai-realty-buyer-profiles-abtx6ehd" TargetMode="External"/><Relationship Id="rId302" Type="http://schemas.openxmlformats.org/officeDocument/2006/relationships/hyperlink" Target="https://theprint.ae/rising-rents-spur-changes-in-dubai-realty-buyer-profiles/" TargetMode="External"/><Relationship Id="rId309" Type="http://schemas.openxmlformats.org/officeDocument/2006/relationships/hyperlink" Target="https://navbharattimes.indiatimes.com/business/property/property-news/indians-are-now-largest-real-estate-investors-in-dubai-surpass-briton/articleshow/105214830.cms" TargetMode="External"/><Relationship Id="rId308" Type="http://schemas.openxmlformats.org/officeDocument/2006/relationships/hyperlink" Target="https://www.msn.com/en-in/money/markets/indians-now-top-property-investors-in-dubai/ar-AA1jTUVf" TargetMode="External"/><Relationship Id="rId307" Type="http://schemas.openxmlformats.org/officeDocument/2006/relationships/hyperlink" Target="https://www.msn.com/en-in/money/markets/indians-now-top-property-investors-in-dubai/ar-AA1jTUVf" TargetMode="External"/><Relationship Id="rId306" Type="http://schemas.openxmlformats.org/officeDocument/2006/relationships/hyperlink" Target="https://www.businesstoday.in/real-estate/story/indians-surpass-britons-to-become-largest-real-estate-investors-in-dubai-russians-down-at-no-3-report-405667-2023-11-14" TargetMode="External"/><Relationship Id="rId301" Type="http://schemas.openxmlformats.org/officeDocument/2006/relationships/hyperlink" Target="https://theprint.ae/rising-rents-spur-changes-in-dubai-realty-buyer-profiles/" TargetMode="External"/><Relationship Id="rId300" Type="http://schemas.openxmlformats.org/officeDocument/2006/relationships/hyperlink" Target="https://www.khaleejtimes.com/business/rising-rents-spur-changes-in-dubai-realty-buyer-profiles" TargetMode="External"/><Relationship Id="rId206" Type="http://schemas.openxmlformats.org/officeDocument/2006/relationships/hyperlink" Target="https://gulfnews.com/business/tax-news/uae-free-zones-take-lead-in-drawing-new-businesses-as-corporate-tax-rules-become-clear-1.1692591947595" TargetMode="External"/><Relationship Id="rId327" Type="http://schemas.openxmlformats.org/officeDocument/2006/relationships/hyperlink" Target="https://www.arabianbusiness.com/industries/real-estate/dubai-real-estate-luxury-property-market-sees-high-demand-in-october" TargetMode="External"/><Relationship Id="rId205" Type="http://schemas.openxmlformats.org/officeDocument/2006/relationships/hyperlink" Target="https://gulfnews.com/business/tax-news/uae-free-zones-take-lead-in-drawing-new-businesses-as-corporate-tax-rules-become-clear-1.1692591947595" TargetMode="External"/><Relationship Id="rId326" Type="http://schemas.openxmlformats.org/officeDocument/2006/relationships/hyperlink" Target="https://msk1.ru/text/realty/2023/11/21/72921182/" TargetMode="External"/><Relationship Id="rId204" Type="http://schemas.openxmlformats.org/officeDocument/2006/relationships/hyperlink" Target="https://www.newarab.com/news/uae-denies-sanctions-violations-it-deepens-russia-ties" TargetMode="External"/><Relationship Id="rId325" Type="http://schemas.openxmlformats.org/officeDocument/2006/relationships/hyperlink" Target="https://msk1.ru/text/realty/2023/11/21/72921182/" TargetMode="External"/><Relationship Id="rId203" Type="http://schemas.openxmlformats.org/officeDocument/2006/relationships/hyperlink" Target="https://www.newarab.com/news/uae-denies-sanctions-violations-it-deepens-russia-ties" TargetMode="External"/><Relationship Id="rId324" Type="http://schemas.openxmlformats.org/officeDocument/2006/relationships/hyperlink" Target="https://dailyguardian.ae/business/rising-rents-spur-changes-in-dubai-realty-buyer-profiles/" TargetMode="External"/><Relationship Id="rId209" Type="http://schemas.openxmlformats.org/officeDocument/2006/relationships/hyperlink" Target="https://www.logicno.com/politika/ogromno-povlacenje-kapitala-iz-svicarske-na-bliski-istok.html" TargetMode="External"/><Relationship Id="rId208" Type="http://schemas.openxmlformats.org/officeDocument/2006/relationships/hyperlink" Target="https://tuoitre.vn/dan-nga-dem-tien-sang-dubai-dau-tu-bat-dong-san-20230823162821013.htm" TargetMode="External"/><Relationship Id="rId329" Type="http://schemas.openxmlformats.org/officeDocument/2006/relationships/hyperlink" Target="https://timesofindia.indiatimes.com/city/bhopal/realty-boom-in-poll-season-sales-up-with-448-new-projects/articleshow/105400439.cms" TargetMode="External"/><Relationship Id="rId207" Type="http://schemas.openxmlformats.org/officeDocument/2006/relationships/hyperlink" Target="https://tuoitre.vn/dan-nga-dem-tien-sang-dubai-dau-tu-bat-dong-san-20230823162821013.htm" TargetMode="External"/><Relationship Id="rId328" Type="http://schemas.openxmlformats.org/officeDocument/2006/relationships/hyperlink" Target="https://www.arabianbusiness.com/industries/real-estate/dubai-real-estate-luxury-property-market-sees-high-demand-in-october" TargetMode="External"/><Relationship Id="rId202" Type="http://schemas.openxmlformats.org/officeDocument/2006/relationships/hyperlink" Target="https://www.wsj.com/world/russia/u-a-e-cashes-in-on-russias-economic-woes-52700157" TargetMode="External"/><Relationship Id="rId323" Type="http://schemas.openxmlformats.org/officeDocument/2006/relationships/hyperlink" Target="https://dailyguardian.ae/business/rising-rents-spur-changes-in-dubai-realty-buyer-profiles/" TargetMode="External"/><Relationship Id="rId201" Type="http://schemas.openxmlformats.org/officeDocument/2006/relationships/hyperlink" Target="https://www.wsj.com/world/russia/u-a-e-cashes-in-on-russias-economic-woes-52700157" TargetMode="External"/><Relationship Id="rId322" Type="http://schemas.openxmlformats.org/officeDocument/2006/relationships/hyperlink" Target="https://www.forbesmiddleeast.com/innovation/under-30/amira-sajwani-1" TargetMode="External"/><Relationship Id="rId200" Type="http://schemas.openxmlformats.org/officeDocument/2006/relationships/hyperlink" Target="https://www.businessinsider.de/politik/international-politics/russlands-wirtschaftliche-probleme-haben-zu-flut-von-bargeld-gefuehrt-und-immobilienboom-in-den-vereinigten-arabischen-emiraten-ausgeloest/" TargetMode="External"/><Relationship Id="rId321" Type="http://schemas.openxmlformats.org/officeDocument/2006/relationships/hyperlink" Target="https://www.forbesmiddleeast.com/innovation/under-30/amira-sajwani-1" TargetMode="External"/><Relationship Id="rId320" Type="http://schemas.openxmlformats.org/officeDocument/2006/relationships/hyperlink" Target="https://gulfnews.com/business/property/dubai-rents-expo-village-jumeirah-village-circle-emerge-top-choices-for-new-residents-in-city-1.1700194022967" TargetMode="External"/><Relationship Id="rId316" Type="http://schemas.openxmlformats.org/officeDocument/2006/relationships/hyperlink" Target="https://www.dp.ru/a/2023/11/16/rossijane-postavili-rekord" TargetMode="External"/><Relationship Id="rId315" Type="http://schemas.openxmlformats.org/officeDocument/2006/relationships/hyperlink" Target="https://www.dp.ru/a/2023/11/16/rossijane-postavili-rekord" TargetMode="External"/><Relationship Id="rId314" Type="http://schemas.openxmlformats.org/officeDocument/2006/relationships/hyperlink" Target="https://fd.nl/economie/1495848/rus-is-niet-meer-zo-happig-op-een-stulpje-in-dubai" TargetMode="External"/><Relationship Id="rId313" Type="http://schemas.openxmlformats.org/officeDocument/2006/relationships/hyperlink" Target="https://fd.nl/economie/1495848/rus-is-niet-meer-zo-happig-op-een-stulpje-in-dubai" TargetMode="External"/><Relationship Id="rId319" Type="http://schemas.openxmlformats.org/officeDocument/2006/relationships/hyperlink" Target="https://gulfnews.com/business/property/dubai-rents-expo-village-jumeirah-village-circle-emerge-top-choices-for-new-residents-in-city-1.1700194022967" TargetMode="External"/><Relationship Id="rId318" Type="http://schemas.openxmlformats.org/officeDocument/2006/relationships/hyperlink" Target="https://www.lagacetadearucas.es/noticias/new-article-indians-top-homebuyers-in-dubai-as-real-estate-market-shifts/105493/" TargetMode="External"/><Relationship Id="rId317" Type="http://schemas.openxmlformats.org/officeDocument/2006/relationships/hyperlink" Target="https://www.lagacetadearucas.es/noticias/new-article-indians-top-homebuyers-in-dubai-as-real-estate-market-shifts/105493/" TargetMode="External"/><Relationship Id="rId312" Type="http://schemas.openxmlformats.org/officeDocument/2006/relationships/hyperlink" Target="https://timesofindia.indiatimes.com/business/india-business/lure-of-golden-visa-or-investment-returns-indians-become-largest-real-investors-in-dubai-dethrone-british/articleshow/105239896.cms?from=mdr" TargetMode="External"/><Relationship Id="rId311" Type="http://schemas.openxmlformats.org/officeDocument/2006/relationships/hyperlink" Target="https://timesofindia.indiatimes.com/business/india-business/lure-of-golden-visa-or-investment-returns-indians-become-largest-real-investors-in-dubai-dethrone-british/articleshow/105239896.cms?from=mdr" TargetMode="External"/><Relationship Id="rId310" Type="http://schemas.openxmlformats.org/officeDocument/2006/relationships/hyperlink" Target="https://navbharattimes.indiatimes.com/business/property/property-news/indians-are-now-largest-real-estate-investors-in-dubai-surpass-briton/articleshow/105214830.cms"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zawya.com/en/press-release/companies-news/untapped-areas-remain-ripe-for-luxury-development-amidst-market-boom-rk7x6fdr" TargetMode="External"/><Relationship Id="rId190" Type="http://schemas.openxmlformats.org/officeDocument/2006/relationships/hyperlink" Target="https://www.brecorder.com/news/40204281" TargetMode="External"/><Relationship Id="rId42" Type="http://schemas.openxmlformats.org/officeDocument/2006/relationships/hyperlink" Target="https://www.zawya.com/en/press-release/people-in-the-news/houzacom-the-dubai-based-property-portal-appoints-jean-pierre-mondalek-as-ceo-sj0mqcvm" TargetMode="External"/><Relationship Id="rId41" Type="http://schemas.openxmlformats.org/officeDocument/2006/relationships/hyperlink" Target="https://www.thenationalnews.com/podcasts/pocketful-of-dirhams/2022/06/28/is-now-the-time-to-invest-in-uae-property-pocketful-of-dirhams/" TargetMode="External"/><Relationship Id="rId44" Type="http://schemas.openxmlformats.org/officeDocument/2006/relationships/hyperlink" Target="https://www.thenationalnews.com/business/property/2022/07/08/are-top-dubai-property-prices-going-above-dh300m/" TargetMode="External"/><Relationship Id="rId194" Type="http://schemas.openxmlformats.org/officeDocument/2006/relationships/hyperlink" Target="https://gulfnews.com/business/property/dubai-landlords-serve-even-12-month-notices-for-tenants-to-vacate---and-then-get-higher-rents-1.1666669716827" TargetMode="External"/><Relationship Id="rId43" Type="http://schemas.openxmlformats.org/officeDocument/2006/relationships/hyperlink" Target="https://www.cnbc.com/2022/07/07/rich-russians-fleeing-sanctions-are-pumping-up-dubais-property-sector.html" TargetMode="External"/><Relationship Id="rId193" Type="http://schemas.openxmlformats.org/officeDocument/2006/relationships/hyperlink" Target="https://www.thenationalnews.com/business/property/2022/10/25/why-dubai-apartments-are-the-choice-ahead-of-villas-for-property-hunters-again/" TargetMode="External"/><Relationship Id="rId46" Type="http://schemas.openxmlformats.org/officeDocument/2006/relationships/hyperlink" Target="https://gulfnews.com/business/property/planning-to-rent-a-new-home-in-dubai---then-just-do-it-fast-1.1657682956150" TargetMode="External"/><Relationship Id="rId192" Type="http://schemas.openxmlformats.org/officeDocument/2006/relationships/hyperlink" Target="https://www.thenationalnews.com/business/property/2022/10/25/why-dubai-apartments-are-the-choice-ahead-of-villas-for-property-hunters-again/" TargetMode="External"/><Relationship Id="rId45" Type="http://schemas.openxmlformats.org/officeDocument/2006/relationships/hyperlink" Target="https://www.kalminer.com.au/business/cnbc/villas-by-the-sea-rich-russians-fleeing-sanctions-are-pumping-up-dubais-property-sector-c-7449496" TargetMode="External"/><Relationship Id="rId191" Type="http://schemas.openxmlformats.org/officeDocument/2006/relationships/hyperlink" Target="https://www.brecorder.com/news/40204281" TargetMode="External"/><Relationship Id="rId48" Type="http://schemas.openxmlformats.org/officeDocument/2006/relationships/hyperlink" Target="https://www.zawya.com/en/press-release/research-and-studies/the-commercial-real-estate-market-witnessed-89-growth-in-sales-for-h1-2022-yke1ratr" TargetMode="External"/><Relationship Id="rId187" Type="http://schemas.openxmlformats.org/officeDocument/2006/relationships/hyperlink" Target="https://www.gdnonline.com/Details/1145566/Deyaar%E2%80%99s-Q3-profit-soars-to-$988m" TargetMode="External"/><Relationship Id="rId47" Type="http://schemas.openxmlformats.org/officeDocument/2006/relationships/hyperlink" Target="https://www.arabianbusiness.com/money/wealth/money-wealth-real-estate/dubai-commercial-real-estate-sales-value-jumps-89-percent-in-first-half-of-2022-report" TargetMode="External"/><Relationship Id="rId186" Type="http://schemas.openxmlformats.org/officeDocument/2006/relationships/hyperlink" Target="https://www.gdnonline.com/Details/1145566/Deyaar%E2%80%99s-Q3-profit-soars-to-$988m" TargetMode="External"/><Relationship Id="rId185" Type="http://schemas.openxmlformats.org/officeDocument/2006/relationships/hyperlink" Target="https://www.al-monitor.com/originals/2022/10/russian-british-citizens-top-buyers-nonresidential-property-dubai" TargetMode="External"/><Relationship Id="rId49" Type="http://schemas.openxmlformats.org/officeDocument/2006/relationships/hyperlink" Target="https://www.linkedin.com/posts/crc-property_head-of-crc-andrew-elliott-live-on-the-business-activity-6957618158002139136-Osgl?utm_source=linkedin_share&amp;utm_medium=member_desktop_web" TargetMode="External"/><Relationship Id="rId184" Type="http://schemas.openxmlformats.org/officeDocument/2006/relationships/hyperlink" Target="https://www.al-monitor.com/originals/2022/10/russian-british-citizens-top-buyers-nonresidential-property-dubai" TargetMode="External"/><Relationship Id="rId189" Type="http://schemas.openxmlformats.org/officeDocument/2006/relationships/hyperlink" Target="https://www.thenationalnews.com/uae/2022/10/21/one-cheque-rents-on-the-rise-as-many-dubai-tenants-stay-put-to-avoid-rising-costs/" TargetMode="External"/><Relationship Id="rId188" Type="http://schemas.openxmlformats.org/officeDocument/2006/relationships/hyperlink" Target="https://www.thenationalnews.com/uae/2022/10/21/one-cheque-rents-on-the-rise-as-many-dubai-tenants-stay-put-to-avoid-rising-costs/" TargetMode="External"/><Relationship Id="rId31" Type="http://schemas.openxmlformats.org/officeDocument/2006/relationships/hyperlink" Target="https://whatson.ae/2022/06/dubai-bar-the-cheeky-camel-love-island-screening-party/" TargetMode="External"/><Relationship Id="rId30" Type="http://schemas.openxmlformats.org/officeDocument/2006/relationships/hyperlink" Target="https://www.albawaba.com/business/pr/bayut-dubizzle-wow-real-estate-fraternity-region%E2%80%99s-biggest-proptech-summit-b3dxb-2022" TargetMode="External"/><Relationship Id="rId33" Type="http://schemas.openxmlformats.org/officeDocument/2006/relationships/hyperlink" Target="https://meconstructionnews.com/52640/grade-a-commercial-real-estate-sees-surge-in-may-2022-says-crc" TargetMode="External"/><Relationship Id="rId183" Type="http://schemas.openxmlformats.org/officeDocument/2006/relationships/hyperlink" Target="https://menafn.com/1105055683/Deyaars-Q3-Profit-Up-On-Improving-Outlook" TargetMode="External"/><Relationship Id="rId32" Type="http://schemas.openxmlformats.org/officeDocument/2006/relationships/hyperlink" Target="https://www.zawya.com/en/press-release/companies-news/crc-witnessed-the-demand-for-quality-commercial-office-space-hit-its-highest-peak-since-2016-d8jtcq2t" TargetMode="External"/><Relationship Id="rId182" Type="http://schemas.openxmlformats.org/officeDocument/2006/relationships/hyperlink" Target="https://menafn.com/1105055683/Deyaars-Q3-Profit-Up-On-Improving-Outlook" TargetMode="External"/><Relationship Id="rId35" Type="http://schemas.openxmlformats.org/officeDocument/2006/relationships/hyperlink" Target="https://english.alaraby.co.uk/news/uae-haven-oligarchs-must-be-blacklistedcritics" TargetMode="External"/><Relationship Id="rId181" Type="http://schemas.openxmlformats.org/officeDocument/2006/relationships/hyperlink" Target="https://www.businesslive.co.za/bd/companies/property/2022-10-20-dubai-developer-deyaar-reports-leap-in-third-quarter-profit/" TargetMode="External"/><Relationship Id="rId34" Type="http://schemas.openxmlformats.org/officeDocument/2006/relationships/hyperlink" Target="https://www.theguardian.com/world/2022/jun/11/blacklist-dubai-uae-over-russian-oligarchs-say-ukraine-campaigners" TargetMode="External"/><Relationship Id="rId180" Type="http://schemas.openxmlformats.org/officeDocument/2006/relationships/hyperlink" Target="https://www.businesslive.co.za/bd/companies/property/2022-10-20-dubai-developer-deyaar-reports-leap-in-third-quarter-profit/" TargetMode="External"/><Relationship Id="rId37" Type="http://schemas.openxmlformats.org/officeDocument/2006/relationships/hyperlink" Target="https://www.zawya.com/en/business/real-estate/russian-investors-in-dubai-real-estate-have-doubled-in-2022-top-brokers-say-cdr6sqp0" TargetMode="External"/><Relationship Id="rId176" Type="http://schemas.openxmlformats.org/officeDocument/2006/relationships/hyperlink" Target="https://www.nasdaq.com/articles/dubai-property-firm-deyaars-q3-profit-up-on-improving-outlook" TargetMode="External"/><Relationship Id="rId36" Type="http://schemas.openxmlformats.org/officeDocument/2006/relationships/hyperlink" Target="https://www.eureporter.co/world/ukraine/2022/06/14/united-arab-emirates-has-emerged-as-a-haven-for-russians-fleeing-the-impact-of-western-sanctions-but-how-long-will-it-last/" TargetMode="External"/><Relationship Id="rId175" Type="http://schemas.openxmlformats.org/officeDocument/2006/relationships/hyperlink" Target="https://www.reuters.com/article/deyaar-results/dubai-property-firm-deyaars-q3-profit-up-on-improving-outlook-idUKL8N31L257" TargetMode="External"/><Relationship Id="rId39" Type="http://schemas.openxmlformats.org/officeDocument/2006/relationships/hyperlink" Target="https://www.thenationalnews.com/business/property/2022/06/21/has-dubais-city-centre-turned-towards-business-bay-amid-soaring-property-prices/" TargetMode="External"/><Relationship Id="rId174" Type="http://schemas.openxmlformats.org/officeDocument/2006/relationships/hyperlink" Target="https://www.reuters.com/article/deyaar-results/dubai-property-firm-deyaars-q3-profit-up-on-improving-outlook-idUKL8N31L257" TargetMode="External"/><Relationship Id="rId38" Type="http://schemas.openxmlformats.org/officeDocument/2006/relationships/hyperlink" Target="https://gulfnews.com/business/property/dubai-developers-need-to-bring-back-longer-post-handover-payment-plans-to-help-offplan-buyers-1.1655783971158" TargetMode="External"/><Relationship Id="rId173" Type="http://schemas.openxmlformats.org/officeDocument/2006/relationships/hyperlink" Target="https://www.thenationalnews.com/business/property/2022/10/20/dubai-property-deal-worth-163m-closed-as-palm-jumeirah-prices-continue-to-spiral-upwards/" TargetMode="External"/><Relationship Id="rId294" Type="http://schemas.openxmlformats.org/officeDocument/2006/relationships/drawing" Target="../drawings/drawing7.xml"/><Relationship Id="rId179" Type="http://schemas.openxmlformats.org/officeDocument/2006/relationships/hyperlink" Target="https://www.khaleejtimes.com/business/deyaars-q3-profit-up-on-improving-outlook" TargetMode="External"/><Relationship Id="rId178" Type="http://schemas.openxmlformats.org/officeDocument/2006/relationships/hyperlink" Target="https://www.khaleejtimes.com/business/deyaars-q3-profit-up-on-improving-outlook" TargetMode="External"/><Relationship Id="rId177" Type="http://schemas.openxmlformats.org/officeDocument/2006/relationships/hyperlink" Target="https://www.nasdaq.com/articles/dubai-property-firm-deyaars-q3-profit-up-on-improving-outlook" TargetMode="External"/><Relationship Id="rId20" Type="http://schemas.openxmlformats.org/officeDocument/2006/relationships/hyperlink" Target="https://www.zawya.com/en/press-release/companies-news/crc-pulls-off-a-three-floor-office-space-deal-in-one-by-omniyat-business-bay-xgtmuzna" TargetMode="External"/><Relationship Id="rId22" Type="http://schemas.openxmlformats.org/officeDocument/2006/relationships/hyperlink" Target="https://cronullanews.sydney/article/46343/to-avoid-sanctions-russians-flee-to-dubai/" TargetMode="External"/><Relationship Id="rId21" Type="http://schemas.openxmlformats.org/officeDocument/2006/relationships/hyperlink" Target="https://leadership.ng/ukraine-war-russians-flee-to-dubai-to-avoid-sanctions/" TargetMode="External"/><Relationship Id="rId24" Type="http://schemas.openxmlformats.org/officeDocument/2006/relationships/hyperlink" Target="https://www.thenationalnews.com/uae/2022/05/29/what-uae-families-can-do-to-keep-down-the-cost-of-living/" TargetMode="External"/><Relationship Id="rId23" Type="http://schemas.openxmlformats.org/officeDocument/2006/relationships/hyperlink" Target="https://www.thenationalnews.com/weekend/2022/05/27/nine-questions-to-ask-if-you-plan-to-rent-or-buy-a-property/" TargetMode="External"/><Relationship Id="rId26" Type="http://schemas.openxmlformats.org/officeDocument/2006/relationships/hyperlink" Target="https://www.arabianbusiness.com/opinion/the-increase-in-interest-rates-has-created-an-all-time-high-on-mortgage-applications" TargetMode="External"/><Relationship Id="rId25" Type="http://schemas.openxmlformats.org/officeDocument/2006/relationships/hyperlink" Target="https://www.khaleejtimes.com/property/dubai-rents-to-pick-up-further-in-2022" TargetMode="External"/><Relationship Id="rId28" Type="http://schemas.openxmlformats.org/officeDocument/2006/relationships/hyperlink" Target="https://www.realitytitbit.com/dating/love-island/andrew-le-page-estate-agent" TargetMode="External"/><Relationship Id="rId27" Type="http://schemas.openxmlformats.org/officeDocument/2006/relationships/hyperlink" Target="https://menafn.com/1104294803/Dubai-Rents-To-Pick-Up-Further-In-2022" TargetMode="External"/><Relationship Id="rId29" Type="http://schemas.openxmlformats.org/officeDocument/2006/relationships/hyperlink" Target="https://whatson.ae/2022/05/a-dubai-real-estate-agent-is-on-the-new-series-of-love-island/" TargetMode="External"/><Relationship Id="rId11" Type="http://schemas.openxmlformats.org/officeDocument/2006/relationships/hyperlink" Target="https://www.arabnews.com/node/2066971/business-economy" TargetMode="External"/><Relationship Id="rId10" Type="http://schemas.openxmlformats.org/officeDocument/2006/relationships/hyperlink" Target="https://www.thenationalnews.com/weekend/2022/04/22/five-renovations-that-could-actually-lower-the-value-of-your-home/" TargetMode="External"/><Relationship Id="rId13" Type="http://schemas.openxmlformats.org/officeDocument/2006/relationships/hyperlink" Target="https://www.bbc.com/news/business-61257448" TargetMode="External"/><Relationship Id="rId12" Type="http://schemas.openxmlformats.org/officeDocument/2006/relationships/hyperlink" Target="https://www.bloomberg.com/news/newsletters/2022-04-25/rising-oil-prices-a-boon-for-saudi-arabia-s-economy" TargetMode="External"/><Relationship Id="rId15" Type="http://schemas.openxmlformats.org/officeDocument/2006/relationships/hyperlink" Target="https://www.internationalinvestment.net/news/4049274/thirds-surge-dubai-property-sales-russians" TargetMode="External"/><Relationship Id="rId198" Type="http://schemas.openxmlformats.org/officeDocument/2006/relationships/hyperlink" Target="https://www.dcnews.ro/romanii-in-top-10-in-lista-marilor-investitori-in-dubai-rusia-marea-britanie-si-india-ocupa-primele-locuri_892563.html" TargetMode="External"/><Relationship Id="rId14" Type="http://schemas.openxmlformats.org/officeDocument/2006/relationships/hyperlink" Target="https://www.mirror.co.uk/news/world-news/russian-firms-billionaires-flee-dubai-26885574" TargetMode="External"/><Relationship Id="rId197" Type="http://schemas.openxmlformats.org/officeDocument/2006/relationships/hyperlink" Target="https://www.dcnews.ro/presa-la-bruxelles-ingrijorata-de-economia-din-romania-poporul-romaniei-ar-trebui-sa-fie-punctul-central-al-oricaror-initiative-de-dezvoltare_892574.html" TargetMode="External"/><Relationship Id="rId17" Type="http://schemas.openxmlformats.org/officeDocument/2006/relationships/hyperlink" Target="https://www.arabnews.com/node/2076071/business-economy" TargetMode="External"/><Relationship Id="rId196" Type="http://schemas.openxmlformats.org/officeDocument/2006/relationships/hyperlink" Target="https://www.dcnews.ro/presa-la-bruxelles-ingrijorata-de-economia-din-romania-poporul-romaniei-ar-trebui-sa-fie-punctul-central-al-oricaror-initiative-de-dezvoltare_892574.html" TargetMode="External"/><Relationship Id="rId16" Type="http://schemas.openxmlformats.org/officeDocument/2006/relationships/hyperlink" Target="https://www.arise.tv/wealthy-russians-flee-to-dubai-to-avoid-sanctions/" TargetMode="External"/><Relationship Id="rId195" Type="http://schemas.openxmlformats.org/officeDocument/2006/relationships/hyperlink" Target="https://gulfnews.com/business/property/dubai-landlords-serve-even-12-month-notices-for-tenants-to-vacate---and-then-get-higher-rents-1.1666669716827" TargetMode="External"/><Relationship Id="rId19" Type="http://schemas.openxmlformats.org/officeDocument/2006/relationships/hyperlink" Target="http://www.businessmole.com/ryan-mahoney-dubai-uae-crc-market-report-on-commercial-properties/" TargetMode="External"/><Relationship Id="rId18" Type="http://schemas.openxmlformats.org/officeDocument/2006/relationships/hyperlink" Target="https://www.universenewsnetwork.com/2022/05/12/ryan-mahoney-dubai-uae-crc-market-report-on-commercial-properties/" TargetMode="External"/><Relationship Id="rId199" Type="http://schemas.openxmlformats.org/officeDocument/2006/relationships/hyperlink" Target="https://www.dcnews.ro/romanii-in-top-10-in-lista-marilor-investitori-in-dubai-rusia-marea-britanie-si-india-ocupa-primele-locuri_892563.html" TargetMode="External"/><Relationship Id="rId84" Type="http://schemas.openxmlformats.org/officeDocument/2006/relationships/hyperlink" Target="https://sindobatam.com/bank-terbesar-di-dubai-memberi-karyawan-kenaikan-gaji-inflasi/" TargetMode="External"/><Relationship Id="rId83" Type="http://schemas.openxmlformats.org/officeDocument/2006/relationships/hyperlink" Target="https://noticiasdelmundo.news/emiratos-arabes-unidos-el-banco-mas-grande-de-dubai-aumenta-el-sueldo-del-personal-por-la-inflacion/" TargetMode="External"/><Relationship Id="rId86" Type="http://schemas.openxmlformats.org/officeDocument/2006/relationships/hyperlink" Target="https://www.gdnonline.com/Details/1139529" TargetMode="External"/><Relationship Id="rId85" Type="http://schemas.openxmlformats.org/officeDocument/2006/relationships/hyperlink" Target="https://buzznews.it/la-piu-grande-banca-di-dubai-offre-ai-dipendenti-un-aumento-degli-stipendi-dovuti-allinflazione/" TargetMode="External"/><Relationship Id="rId88" Type="http://schemas.openxmlformats.org/officeDocument/2006/relationships/hyperlink" Target="https://gulfnews.com/business/property/as-rents-rise-20-30-more-dubai-residents-see-better-value-in-renewing-contracts-than-chase-new-ones-1.1660102666420" TargetMode="External"/><Relationship Id="rId150" Type="http://schemas.openxmlformats.org/officeDocument/2006/relationships/hyperlink" Target="https://www.thenationalnews.com/weekend/2022/10/07/important-real-estate-terms-uae-property-investors-should-know-before-buying/" TargetMode="External"/><Relationship Id="rId271" Type="http://schemas.openxmlformats.org/officeDocument/2006/relationships/hyperlink" Target="https://gulfnews.com/business/property/dubai-home-rent-increases-could-cool-if-star-rating-for-buildings-determines-rental-index-1.1669176870570" TargetMode="External"/><Relationship Id="rId87" Type="http://schemas.openxmlformats.org/officeDocument/2006/relationships/hyperlink" Target="https://www.reuters.com/world/middle-east/major-gulf-bourses-trade-mixed-abu-dhabi-record-high-2022-08-10/" TargetMode="External"/><Relationship Id="rId270" Type="http://schemas.openxmlformats.org/officeDocument/2006/relationships/hyperlink" Target="https://gulfnews.com/business/property/dubai-home-rent-increases-could-cool-if-star-rating-for-buildings-determines-rental-index-1.1669176870570" TargetMode="External"/><Relationship Id="rId89" Type="http://schemas.openxmlformats.org/officeDocument/2006/relationships/hyperlink" Target="https://bdnews24.com/economy/pg5abbgrnq" TargetMode="External"/><Relationship Id="rId80" Type="http://schemas.openxmlformats.org/officeDocument/2006/relationships/hyperlink" Target="https://www.reuters.com/business/finance/dubais-biggest-bank-gives-staff-pay-rise-inflation-sources-2022-08-09/" TargetMode="External"/><Relationship Id="rId82" Type="http://schemas.openxmlformats.org/officeDocument/2006/relationships/hyperlink" Target="https://www.reuters.com/business/finance/dubais-biggest-bank-gives-staff-pay-rise-inflation-sources-2022-08-09/" TargetMode="External"/><Relationship Id="rId81" Type="http://schemas.openxmlformats.org/officeDocument/2006/relationships/hyperlink" Target="https://www.zawya.com/en/business/banking-and-insurance/dubais-biggest-bank-gives-staff-a-pay-rise-for-inflation-sources-axdjmqoe" TargetMode="External"/><Relationship Id="rId1" Type="http://schemas.openxmlformats.org/officeDocument/2006/relationships/hyperlink" Target="https://www.zawya.com/uae/en/story/amp/ZAWYA20220125075208/" TargetMode="External"/><Relationship Id="rId2" Type="http://schemas.openxmlformats.org/officeDocument/2006/relationships/hyperlink" Target="https://www.propertynews.ae/general/press-release/betterhomes-dubai-real-estate-at-all-time-high-after-banner-year-in-2021/" TargetMode="External"/><Relationship Id="rId3" Type="http://schemas.openxmlformats.org/officeDocument/2006/relationships/hyperlink" Target="https://www.khaleejtimes.com/property/dubai-real-estate-boom-to-continue-36000-residential-units-to-come-online-in-2022" TargetMode="External"/><Relationship Id="rId149" Type="http://schemas.openxmlformats.org/officeDocument/2006/relationships/hyperlink" Target="https://www.thenationalnews.com/business/property/2022/09/28/world-cup-to-provide-dubai-property-market-with-mini-expo-effect/" TargetMode="External"/><Relationship Id="rId4" Type="http://schemas.openxmlformats.org/officeDocument/2006/relationships/hyperlink" Target="https://www.arabianbusiness.com/industries/real-estate/2021-seen-as-major-turning-point-for-dubai-office-market-after-covid-shock" TargetMode="External"/><Relationship Id="rId148" Type="http://schemas.openxmlformats.org/officeDocument/2006/relationships/hyperlink" Target="https://www.thenationalnews.com/business/property/2022/09/28/world-cup-to-provide-dubai-property-market-with-mini-expo-effect/" TargetMode="External"/><Relationship Id="rId269" Type="http://schemas.openxmlformats.org/officeDocument/2006/relationships/hyperlink" Target="https://english.alarabiya.net/business/property/2022/11/23/Dubai-records-huge-short-term-rental-boom-in-months-leading-up-to-Qatar-World-Cup" TargetMode="External"/><Relationship Id="rId9" Type="http://schemas.openxmlformats.org/officeDocument/2006/relationships/hyperlink" Target="https://www.arabianbusiness.com/money/wealth/money-wealth-real-estate/dubais-commercial-property-market-soars-as-post-covid-confidence-leads-to-strongest-quarter-since-2016" TargetMode="External"/><Relationship Id="rId143" Type="http://schemas.openxmlformats.org/officeDocument/2006/relationships/hyperlink" Target="https://fr.euronews.com/next/2022/09/26/dubai-transforme-le-site-de-son-expo-2020-en-ville-du-futur" TargetMode="External"/><Relationship Id="rId264" Type="http://schemas.openxmlformats.org/officeDocument/2006/relationships/hyperlink" Target="https://www.zawya.com/en/business/real-estate/betterhomes-focuses-on-dubailand-al-qudra-sales-as-population-grows-wzu2tx7x" TargetMode="External"/><Relationship Id="rId142" Type="http://schemas.openxmlformats.org/officeDocument/2006/relationships/hyperlink" Target="https://fr.euronews.com/next/2022/09/26/dubai-transforme-le-site-de-son-expo-2020-en-ville-du-futur" TargetMode="External"/><Relationship Id="rId263" Type="http://schemas.openxmlformats.org/officeDocument/2006/relationships/hyperlink" Target="https://meconstructionnews.com/55507/betterhomes-purchases-full-floor-in-motor-city-office-tower" TargetMode="External"/><Relationship Id="rId141" Type="http://schemas.openxmlformats.org/officeDocument/2006/relationships/hyperlink" Target="https://it.euronews.com/next/2022/09/26/dubai-leredita-dellexpo-una-citta-intelligente-nellarea-dellesposizione" TargetMode="External"/><Relationship Id="rId262" Type="http://schemas.openxmlformats.org/officeDocument/2006/relationships/hyperlink" Target="https://meconstructionnews.com/55507/betterhomes-purchases-full-floor-in-motor-city-office-tower" TargetMode="External"/><Relationship Id="rId140" Type="http://schemas.openxmlformats.org/officeDocument/2006/relationships/hyperlink" Target="https://it.euronews.com/next/2022/09/26/dubai-leredita-dellexpo-una-citta-intelligente-nellarea-dellesposizione" TargetMode="External"/><Relationship Id="rId261" Type="http://schemas.openxmlformats.org/officeDocument/2006/relationships/hyperlink" Target="https://gulfnews.com/business/property/in-dubai-new-1-year-rental-listings-drop-as-landlords-chase-short-term-rentals-1.1669003557826" TargetMode="External"/><Relationship Id="rId5" Type="http://schemas.openxmlformats.org/officeDocument/2006/relationships/hyperlink" Target="https://www.thenationalnews.com/weekend/2022/03/18/top-7-mistakes-to-avoid-when-selling-your-home/" TargetMode="External"/><Relationship Id="rId147" Type="http://schemas.openxmlformats.org/officeDocument/2006/relationships/hyperlink" Target="https://es.euronews.com/next/2022/09/26/expo-city-dubai-o-la-ciudad-del-futuro-que-mantendra-vivo-el-legado-de-la-expo-2020" TargetMode="External"/><Relationship Id="rId268" Type="http://schemas.openxmlformats.org/officeDocument/2006/relationships/hyperlink" Target="https://english.alarabiya.net/business/property/2022/11/23/Dubai-records-huge-short-term-rental-boom-in-months-leading-up-to-Qatar-World-Cup" TargetMode="External"/><Relationship Id="rId6" Type="http://schemas.openxmlformats.org/officeDocument/2006/relationships/hyperlink" Target="https://www.zawya.com/en/press-release/companies-news/demand-and-prices-on-the-rise-for-townhouses-and-apartments-in-q1-2022-dp9dk0s7" TargetMode="External"/><Relationship Id="rId146" Type="http://schemas.openxmlformats.org/officeDocument/2006/relationships/hyperlink" Target="https://es.euronews.com/next/2022/09/26/expo-city-dubai-o-la-ciudad-del-futuro-que-mantendra-vivo-el-legado-de-la-expo-2020" TargetMode="External"/><Relationship Id="rId267" Type="http://schemas.openxmlformats.org/officeDocument/2006/relationships/hyperlink" Target="https://www.zawya.com/en/press-release/companies-news/betterhomes-acquires-full-floor-office-in-control-tower-motor-city-from-emirates-nbd-tyqxw12e" TargetMode="External"/><Relationship Id="rId7" Type="http://schemas.openxmlformats.org/officeDocument/2006/relationships/hyperlink" Target="https://gulfnews.com/business/property/in-dubai-villa-owners-find-no-takers-for-sudden-price-hikes-of-10-and-more-1.1650345406229" TargetMode="External"/><Relationship Id="rId145" Type="http://schemas.openxmlformats.org/officeDocument/2006/relationships/hyperlink" Target="https://de.euronews.com/next/2022/09/26/die-erste-15-minuten-stadt-der-vereinigten-arabischen-emirate" TargetMode="External"/><Relationship Id="rId266" Type="http://schemas.openxmlformats.org/officeDocument/2006/relationships/hyperlink" Target="https://www.zawya.com/en/press-release/companies-news/betterhomes-acquires-full-floor-office-in-control-tower-motor-city-from-emirates-nbd-tyqxw12e" TargetMode="External"/><Relationship Id="rId8" Type="http://schemas.openxmlformats.org/officeDocument/2006/relationships/hyperlink" Target="https://www.bloomberg.com/news/articles/2022-04-19/russians-climb-dubai-property-ladder-as-sanctions-imperil-wealth" TargetMode="External"/><Relationship Id="rId144" Type="http://schemas.openxmlformats.org/officeDocument/2006/relationships/hyperlink" Target="https://de.euronews.com/next/2022/09/26/die-erste-15-minuten-stadt-der-vereinigten-arabischen-emirate" TargetMode="External"/><Relationship Id="rId265" Type="http://schemas.openxmlformats.org/officeDocument/2006/relationships/hyperlink" Target="https://www.zawya.com/en/business/real-estate/betterhomes-focuses-on-dubailand-al-qudra-sales-as-population-grows-wzu2tx7x" TargetMode="External"/><Relationship Id="rId73" Type="http://schemas.openxmlformats.org/officeDocument/2006/relationships/hyperlink" Target="https://www.zawya.com/en/press-release/companies-news/designed-to-promote-a-family-oriented-lifestyle-california-village-is-the-new-and-secure-community-living-in-dubai-r1x26tyy" TargetMode="External"/><Relationship Id="rId72" Type="http://schemas.openxmlformats.org/officeDocument/2006/relationships/hyperlink" Target="https://gulfnews.com/business/property/dubai-developers-are-finally-ready-with-new-villa-projects-as-there-is-no-let-up-in-demand-1.1659586803930" TargetMode="External"/><Relationship Id="rId75" Type="http://schemas.openxmlformats.org/officeDocument/2006/relationships/hyperlink" Target="https://menafn.com/1104648693/What-Are-5-Questions-To-Ask-Before-I-Buy-A-Property-In-Dubai" TargetMode="External"/><Relationship Id="rId74" Type="http://schemas.openxmlformats.org/officeDocument/2006/relationships/hyperlink" Target="https://www.zawya.com/en/business/real-estate/what-are-five-questions-to-ask-before-i-buy-a-property-in-dubai-tey1miy5" TargetMode="External"/><Relationship Id="rId77" Type="http://schemas.openxmlformats.org/officeDocument/2006/relationships/hyperlink" Target="https://www.moneycontrol.com/news/trends/travel-trends/immigration-series-why-are-so-many-indians-buying-property-in-dubai-8964261.html" TargetMode="External"/><Relationship Id="rId260" Type="http://schemas.openxmlformats.org/officeDocument/2006/relationships/hyperlink" Target="https://gulfnews.com/business/property/in-dubai-new-1-year-rental-listings-drop-as-landlords-chase-short-term-rentals-1.1669003557826" TargetMode="External"/><Relationship Id="rId76" Type="http://schemas.openxmlformats.org/officeDocument/2006/relationships/hyperlink" Target="https://www.khaleejtimes.com/business/what-are-5-questions-to-ask-before-i-buy-a-property-in-dubai" TargetMode="External"/><Relationship Id="rId79" Type="http://schemas.openxmlformats.org/officeDocument/2006/relationships/hyperlink" Target="https://gulfnews.com/business/property/in-uae-offices-emerge-as-next-big-deal-with-aldar-making-dh43b-statement-1.1659761770792" TargetMode="External"/><Relationship Id="rId78" Type="http://schemas.openxmlformats.org/officeDocument/2006/relationships/hyperlink" Target="https://www.thenationalnews.com/business/money/2022/08/05/bank-of-englands-rate-increase-makes-uk-property-more-appealing-to-middle-east-investors/" TargetMode="External"/><Relationship Id="rId71" Type="http://schemas.openxmlformats.org/officeDocument/2006/relationships/hyperlink" Target="https://www.mirchi9.com/politics/desis-topping-the-real-estate-charts-in-dubai/" TargetMode="External"/><Relationship Id="rId70" Type="http://schemas.openxmlformats.org/officeDocument/2006/relationships/hyperlink" Target="https://menafn.com/1104628153/UAE-How-Much-Mortgage-Can-Dubai-Property-Buyers-Apply-For" TargetMode="External"/><Relationship Id="rId139" Type="http://schemas.openxmlformats.org/officeDocument/2006/relationships/hyperlink" Target="https://www.euronews.com/next/2022/09/26/expo-city-dubai-larger-than-hong-kong-the-uaes-first-15-minute-city" TargetMode="External"/><Relationship Id="rId138" Type="http://schemas.openxmlformats.org/officeDocument/2006/relationships/hyperlink" Target="https://www.euronews.com/next/2022/09/26/expo-city-dubai-larger-than-hong-kong-the-uaes-first-15-minute-city" TargetMode="External"/><Relationship Id="rId259" Type="http://schemas.openxmlformats.org/officeDocument/2006/relationships/hyperlink" Target="https://www.washingtonpost.com/world/2022/11/17/uae-dubai-russia-ukraine-war/" TargetMode="External"/><Relationship Id="rId137" Type="http://schemas.openxmlformats.org/officeDocument/2006/relationships/hyperlink" Target="https://www.elcorreo.ae/articulo/economia/economia-dubai-mantiene-estable-desaceleracion-mundial/20220921084624149342.html" TargetMode="External"/><Relationship Id="rId258" Type="http://schemas.openxmlformats.org/officeDocument/2006/relationships/hyperlink" Target="https://www.washingtonpost.com/world/2022/11/17/uae-dubai-russia-ukraine-war/" TargetMode="External"/><Relationship Id="rId132" Type="http://schemas.openxmlformats.org/officeDocument/2006/relationships/hyperlink" Target="https://www.agbi.com/articles/burj-khalifa-surging-sales/" TargetMode="External"/><Relationship Id="rId253" Type="http://schemas.openxmlformats.org/officeDocument/2006/relationships/hyperlink" Target="https://baoquocte.vn/khung-hoang-nang-luong-khong-phai-my-hay-na-uy-day-moi-la-nhung-nuoc-kiem-bon-tien-tu-xung-dot-nga-ukraine-205821.html" TargetMode="External"/><Relationship Id="rId131" Type="http://schemas.openxmlformats.org/officeDocument/2006/relationships/hyperlink" Target="https://www.agbi.com/articles/dubai-on-alert-as-distressed-assets-become-a-real-possibility/" TargetMode="External"/><Relationship Id="rId252" Type="http://schemas.openxmlformats.org/officeDocument/2006/relationships/hyperlink" Target="https://baoquocte.vn/khung-hoang-nang-luong-khong-phai-my-hay-na-uy-day-moi-la-nhung-nuoc-kiem-bon-tien-tu-xung-dot-nga-ukraine-205821.html" TargetMode="External"/><Relationship Id="rId130" Type="http://schemas.openxmlformats.org/officeDocument/2006/relationships/hyperlink" Target="https://www.agbi.com/articles/dubai-on-alert-as-distressed-assets-become-a-real-possibility/" TargetMode="External"/><Relationship Id="rId251" Type="http://schemas.openxmlformats.org/officeDocument/2006/relationships/hyperlink" Target="https://www.zawya.com/en/business/real-estate/real-estate-trends-uae-buyers-rush-to-fix-rates-cash-deals-are-surging-ousihn3d" TargetMode="External"/><Relationship Id="rId250" Type="http://schemas.openxmlformats.org/officeDocument/2006/relationships/hyperlink" Target="https://www.zawya.com/en/business/real-estate/real-estate-trends-uae-buyers-rush-to-fix-rates-cash-deals-are-surging-ousihn3d" TargetMode="External"/><Relationship Id="rId136" Type="http://schemas.openxmlformats.org/officeDocument/2006/relationships/hyperlink" Target="https://www.elcorreo.ae/articulo/economia/economia-dubai-mantiene-estable-desaceleracion-mundial/20220921084624149342.html" TargetMode="External"/><Relationship Id="rId257" Type="http://schemas.openxmlformats.org/officeDocument/2006/relationships/hyperlink" Target="https://www.ziarulevenimentul.ro/stiri/vanzarile-de-locuinte-au-scazut-dramatic-cu-40-fata-de-anul-trecut-de-ce-nu-scad-si-preturile/vanzarile-de-locuinte-au-scazut-dramatic-cu-40-fata-de-anul-trecut-de-ce-nu-scad-si-preturile--217534779.html" TargetMode="External"/><Relationship Id="rId135" Type="http://schemas.openxmlformats.org/officeDocument/2006/relationships/hyperlink" Target="https://www.thenationalnews.com/business/comment/2022/09/20/dubais-economy-holding-up-well-amid-the-global-slowdown/" TargetMode="External"/><Relationship Id="rId256" Type="http://schemas.openxmlformats.org/officeDocument/2006/relationships/hyperlink" Target="https://www.ziarulevenimentul.ro/stiri/vanzarile-de-locuinte-au-scazut-dramatic-cu-40-fata-de-anul-trecut-de-ce-nu-scad-si-preturile/vanzarile-de-locuinte-au-scazut-dramatic-cu-40-fata-de-anul-trecut-de-ce-nu-scad-si-preturile--217534779.html" TargetMode="External"/><Relationship Id="rId134" Type="http://schemas.openxmlformats.org/officeDocument/2006/relationships/hyperlink" Target="https://www.thenationalnews.com/business/comment/2022/09/20/dubais-economy-holding-up-well-amid-the-global-slowdown/" TargetMode="External"/><Relationship Id="rId255" Type="http://schemas.openxmlformats.org/officeDocument/2006/relationships/hyperlink" Target="https://www.hotnews.ro/stiri-esential-25901100-press-report-muncitori-din-bangladesh-acuza-felul-care-sunt-tratati-sibiu-romanii-top-zece-cumparatori-imobiliare-dubai-cele-mai-bogate-comune-din-romania-guvernul-orbilor-face-romania-daca-intra-rece.htm" TargetMode="External"/><Relationship Id="rId133" Type="http://schemas.openxmlformats.org/officeDocument/2006/relationships/hyperlink" Target="https://www.agbi.com/articles/burj-khalifa-surging-sales/" TargetMode="External"/><Relationship Id="rId254" Type="http://schemas.openxmlformats.org/officeDocument/2006/relationships/hyperlink" Target="https://www.hotnews.ro/stiri-esential-25901100-press-report-muncitori-din-bangladesh-acuza-felul-care-sunt-tratati-sibiu-romanii-top-zece-cumparatori-imobiliare-dubai-cele-mai-bogate-comune-din-romania-guvernul-orbilor-face-romania-daca-intra-rece.htm" TargetMode="External"/><Relationship Id="rId62" Type="http://schemas.openxmlformats.org/officeDocument/2006/relationships/hyperlink" Target="https://www.investor.bg/po-sveta/453/a/prodajbite-na-jilishta-v-dubai-sa-narasnali-s-60-prez-pyrvoto-polugodie-357226/" TargetMode="External"/><Relationship Id="rId61" Type="http://schemas.openxmlformats.org/officeDocument/2006/relationships/hyperlink" Target="https://www.elcorreo.ae/articulo/economia/ventas-propiedades-dubai-aumentan-60-rusos-inversores/20220730094403148127.html" TargetMode="External"/><Relationship Id="rId64" Type="http://schemas.openxmlformats.org/officeDocument/2006/relationships/hyperlink" Target="https://www.dawn.com/news/1702248" TargetMode="External"/><Relationship Id="rId63" Type="http://schemas.openxmlformats.org/officeDocument/2006/relationships/hyperlink" Target="https://www.moneyandbanking.co.th/article/news/estate-market-dubai-raise-290765" TargetMode="External"/><Relationship Id="rId66" Type="http://schemas.openxmlformats.org/officeDocument/2006/relationships/hyperlink" Target="https://www.brecorder.com/news/40188927/pakistanis-among-top-10-buyers-in-dubai-as-real-estate-sales-surge-in-h1-2022" TargetMode="External"/><Relationship Id="rId172" Type="http://schemas.openxmlformats.org/officeDocument/2006/relationships/hyperlink" Target="https://www.thenationalnews.com/business/property/2022/10/20/dubai-property-deal-worth-163m-closed-as-palm-jumeirah-prices-continue-to-spiral-upwards/" TargetMode="External"/><Relationship Id="rId293" Type="http://schemas.openxmlformats.org/officeDocument/2006/relationships/hyperlink" Target="https://gulfnews.com/business/analysis/uae-corporate-tax-businesses-have-some-early-preparations-to-do-1.92961154" TargetMode="External"/><Relationship Id="rId65" Type="http://schemas.openxmlformats.org/officeDocument/2006/relationships/hyperlink" Target="https://www.globalvillagespace.com/insights-of-the-news-pakistanis-among-top-10-buyers-of-dubai-property/" TargetMode="External"/><Relationship Id="rId171" Type="http://schemas.openxmlformats.org/officeDocument/2006/relationships/hyperlink" Target="https://www.zawya.com/en/business/real-estate/russians-are-dubais-top-non-resident-property-buyers-in-q3-report-vetsg12v" TargetMode="External"/><Relationship Id="rId292" Type="http://schemas.openxmlformats.org/officeDocument/2006/relationships/hyperlink" Target="https://gulfnews.com/business/analysis/uae-corporate-tax-businesses-have-some-early-preparations-to-do-1.92961154" TargetMode="External"/><Relationship Id="rId68" Type="http://schemas.openxmlformats.org/officeDocument/2006/relationships/hyperlink" Target="https://www.propertynews.ae/uae/aed1-8-billion-worth-of-real-estate-transactions-were-recorded-in-dubai-on-wednesday/" TargetMode="External"/><Relationship Id="rId170" Type="http://schemas.openxmlformats.org/officeDocument/2006/relationships/hyperlink" Target="https://www.zawya.com/en/business/real-estate/russians-are-dubais-top-non-resident-property-buyers-in-q3-report-vetsg12v" TargetMode="External"/><Relationship Id="rId291" Type="http://schemas.openxmlformats.org/officeDocument/2006/relationships/hyperlink" Target="https://www.thenationalnews.com/weekend/2022/12/30/can-the-dubai-real-estate-market-outrun-a-global-downturn-in-2023/" TargetMode="External"/><Relationship Id="rId67" Type="http://schemas.openxmlformats.org/officeDocument/2006/relationships/hyperlink" Target="https://www.khaleejtimes.com/uae/dubai-villa-rents-increase-as-demand-for-bigger-homes-soars-post-covid" TargetMode="External"/><Relationship Id="rId290" Type="http://schemas.openxmlformats.org/officeDocument/2006/relationships/hyperlink" Target="https://www.thenationalnews.com/weekend/2022/12/30/can-the-dubai-real-estate-market-outrun-a-global-downturn-in-2023/" TargetMode="External"/><Relationship Id="rId60" Type="http://schemas.openxmlformats.org/officeDocument/2006/relationships/hyperlink" Target="https://www.instagram.com/p/CgpIFINLnKe/?utm_source=ig_web_copy_link" TargetMode="External"/><Relationship Id="rId165" Type="http://schemas.openxmlformats.org/officeDocument/2006/relationships/hyperlink" Target="https://www.ndtv.com/india-news/mukesh-ambani-lakshmi-mittal-part-of-dubais-luxury-property-boom-3444535" TargetMode="External"/><Relationship Id="rId286" Type="http://schemas.openxmlformats.org/officeDocument/2006/relationships/hyperlink" Target="https://www.thenationalnews.com/business/money/2022/12/30/what-would-you-do-if-you-won-dh200m/" TargetMode="External"/><Relationship Id="rId69" Type="http://schemas.openxmlformats.org/officeDocument/2006/relationships/hyperlink" Target="https://www.khaleejtimes.com/property/uae-how-much-mortgage-can-dubai-property-buyers-apply-for" TargetMode="External"/><Relationship Id="rId164" Type="http://schemas.openxmlformats.org/officeDocument/2006/relationships/hyperlink" Target="https://www.ndtv.com/india-news/mukesh-ambani-lakshmi-mittal-part-of-dubais-luxury-property-boom-3444535" TargetMode="External"/><Relationship Id="rId285" Type="http://schemas.openxmlformats.org/officeDocument/2006/relationships/hyperlink" Target="https://www.zawya.com/en/business/real-estate/dubai-most-affordable-areas-as-rents-set-to-rise-further-in-2023-iki3ms8s" TargetMode="External"/><Relationship Id="rId163" Type="http://schemas.openxmlformats.org/officeDocument/2006/relationships/hyperlink" Target="https://gulfnews.com/business/property/dubai-rents-in-for-more-increases-as-occupancy-levels-hit-5-year-highs-1.1666153660083" TargetMode="External"/><Relationship Id="rId284" Type="http://schemas.openxmlformats.org/officeDocument/2006/relationships/hyperlink" Target="https://www.zawya.com/en/business/real-estate/dubai-most-affordable-areas-as-rents-set-to-rise-further-in-2023-iki3ms8s" TargetMode="External"/><Relationship Id="rId162" Type="http://schemas.openxmlformats.org/officeDocument/2006/relationships/hyperlink" Target="https://gulfnews.com/business/property/dubai-rents-in-for-more-increases-as-occupancy-levels-hit-5-year-highs-1.1666153660083" TargetMode="External"/><Relationship Id="rId283" Type="http://schemas.openxmlformats.org/officeDocument/2006/relationships/hyperlink" Target="https://www.khaleejtimes.com/business/property/dubai-most-affordable-areas-as-rents-set-to-rise-further-in-2023?_refresh=true" TargetMode="External"/><Relationship Id="rId169" Type="http://schemas.openxmlformats.org/officeDocument/2006/relationships/hyperlink" Target="https://www.biznews.com/premium-signup?mepr-unauth-page=989424&amp;redirect_to=%2Fpremium%2F2022%2F10%2F19%2Fgupta-hub-dubai-cashing-in-on-global-slowdown" TargetMode="External"/><Relationship Id="rId168" Type="http://schemas.openxmlformats.org/officeDocument/2006/relationships/hyperlink" Target="https://www.biznews.com/premium-signup?mepr-unauth-page=989424&amp;redirect_to=%2Fpremium%2F2022%2F10%2F19%2Fgupta-hub-dubai-cashing-in-on-global-slowdown" TargetMode="External"/><Relationship Id="rId289" Type="http://schemas.openxmlformats.org/officeDocument/2006/relationships/hyperlink" Target="https://www.thenationalnews.com/business/property/2022/12/28/how-will-dubai-and-abu-dhabi-property-markets-perform-in-2023/" TargetMode="External"/><Relationship Id="rId167" Type="http://schemas.openxmlformats.org/officeDocument/2006/relationships/hyperlink" Target="https://www.bloomberg.com/news/features/2022-10-19/how-dubai-luxury-property-market-went-from-crash-to-boom" TargetMode="External"/><Relationship Id="rId288" Type="http://schemas.openxmlformats.org/officeDocument/2006/relationships/hyperlink" Target="https://www.thenationalnews.com/business/property/2022/12/28/how-will-dubai-and-abu-dhabi-property-markets-perform-in-2023/" TargetMode="External"/><Relationship Id="rId166" Type="http://schemas.openxmlformats.org/officeDocument/2006/relationships/hyperlink" Target="https://www.bloomberg.com/news/features/2022-10-19/how-dubai-luxury-property-market-went-from-crash-to-boom" TargetMode="External"/><Relationship Id="rId287" Type="http://schemas.openxmlformats.org/officeDocument/2006/relationships/hyperlink" Target="https://www.thenationalnews.com/business/money/2022/12/30/what-would-you-do-if-you-won-dh200m/" TargetMode="External"/><Relationship Id="rId51" Type="http://schemas.openxmlformats.org/officeDocument/2006/relationships/hyperlink" Target="https://www.linkedin.com/posts/better-homes-llc_richard-waind-on-the-business-breakfast-activity-6958047289240117249-kP3m?utm_source=linkedin_share&amp;utm_medium=member_desktop_web" TargetMode="External"/><Relationship Id="rId50" Type="http://schemas.openxmlformats.org/officeDocument/2006/relationships/hyperlink" Target="https://gulfnews.com/business/property/in-dubai-residents-find-rent-renewals-offer-cheaper-option-in-h1-2022-1.89517839" TargetMode="External"/><Relationship Id="rId53" Type="http://schemas.openxmlformats.org/officeDocument/2006/relationships/hyperlink" Target="https://www.zawya.com/en/business/real-estate/dubai-remains-prime-target-of-property-investors-rx1gcgeg" TargetMode="External"/><Relationship Id="rId52" Type="http://schemas.openxmlformats.org/officeDocument/2006/relationships/hyperlink" Target="https://www.khaleejtimes.com/business/dubai-remains-prime-target-of-property-investors" TargetMode="External"/><Relationship Id="rId55" Type="http://schemas.openxmlformats.org/officeDocument/2006/relationships/hyperlink" Target="https://www.reuters.com/markets/europe/dubai-real-estate-sales-surge-60-investors-russians-snap-up-property-2022-07-28/" TargetMode="External"/><Relationship Id="rId161" Type="http://schemas.openxmlformats.org/officeDocument/2006/relationships/hyperlink" Target="https://www.khaleejtimes.com/uae/dubai-tenants-find-it-cheaper-to-stay-in-existing-apartments-as-rents-soar" TargetMode="External"/><Relationship Id="rId282" Type="http://schemas.openxmlformats.org/officeDocument/2006/relationships/hyperlink" Target="https://www.khaleejtimes.com/business/property/dubai-most-affordable-areas-as-rents-set-to-rise-further-in-2023?_refresh=true" TargetMode="External"/><Relationship Id="rId54" Type="http://schemas.openxmlformats.org/officeDocument/2006/relationships/hyperlink" Target="https://www.zawya.com/en/business/real-estate/russians-are-fourth-largest-homebuyers-in-dubai-this-year-llwluic0" TargetMode="External"/><Relationship Id="rId160" Type="http://schemas.openxmlformats.org/officeDocument/2006/relationships/hyperlink" Target="https://www.khaleejtimes.com/uae/dubai-tenants-find-it-cheaper-to-stay-in-existing-apartments-as-rents-soar" TargetMode="External"/><Relationship Id="rId281" Type="http://schemas.openxmlformats.org/officeDocument/2006/relationships/hyperlink" Target="https://english.alarabiya.net/features/2022/12/07/DNP-Dubai-residents-forced-to-move-as-soaring-rents-far-outstrip-salary-increases-" TargetMode="External"/><Relationship Id="rId57" Type="http://schemas.openxmlformats.org/officeDocument/2006/relationships/hyperlink" Target="https://economictimes.indiatimes.com/news/international/uae/dubai-real-estate-sales-surge-60-as-investors-russians-snap-up-property/articleshow/93194871.cms?from=mdr" TargetMode="External"/><Relationship Id="rId280" Type="http://schemas.openxmlformats.org/officeDocument/2006/relationships/hyperlink" Target="https://english.alarabiya.net/features/2022/12/07/DNP-Dubai-residents-forced-to-move-as-soaring-rents-far-outstrip-salary-increases-" TargetMode="External"/><Relationship Id="rId56" Type="http://schemas.openxmlformats.org/officeDocument/2006/relationships/hyperlink" Target="https://www.constructionweekonline.com/business/betterhomes-report-h1-2022" TargetMode="External"/><Relationship Id="rId159" Type="http://schemas.openxmlformats.org/officeDocument/2006/relationships/hyperlink" Target="https://menafn.com/1105043884/Dubai-Tenants-Find-It-Cheaper-To-Stay-In-Existing-Apartments-As-Rents-Soar" TargetMode="External"/><Relationship Id="rId59" Type="http://schemas.openxmlformats.org/officeDocument/2006/relationships/hyperlink" Target="https://www.thenews.com.pk/print/978208-pakistanis-among-top-10-buyers-of-dubai-property" TargetMode="External"/><Relationship Id="rId154" Type="http://schemas.openxmlformats.org/officeDocument/2006/relationships/hyperlink" Target="https://www.timeoutdubai.com/news/top-tips-for-renting-in-dubai" TargetMode="External"/><Relationship Id="rId275" Type="http://schemas.openxmlformats.org/officeDocument/2006/relationships/hyperlink" Target="https://www.youtube.com/watch?v=Na8U_eNGIJQ" TargetMode="External"/><Relationship Id="rId58" Type="http://schemas.openxmlformats.org/officeDocument/2006/relationships/hyperlink" Target="https://www.businesstimes.com.sg/real-estate/dubai-real-estate-sales-surge-60-as-investors-russians-snap-up-property" TargetMode="External"/><Relationship Id="rId153" Type="http://schemas.openxmlformats.org/officeDocument/2006/relationships/hyperlink" Target="https://www.timeoutdubai.com/moving-to-dubai/rent-hikes-in-dubai" TargetMode="External"/><Relationship Id="rId274" Type="http://schemas.openxmlformats.org/officeDocument/2006/relationships/hyperlink" Target="https://www.youtube.com/watch?v=Na8U_eNGIJQ" TargetMode="External"/><Relationship Id="rId152" Type="http://schemas.openxmlformats.org/officeDocument/2006/relationships/hyperlink" Target="https://www.timeoutdubai.com/moving-to-dubai/rent-hikes-in-dubai" TargetMode="External"/><Relationship Id="rId273" Type="http://schemas.openxmlformats.org/officeDocument/2006/relationships/hyperlink" Target="https://www.zawya.com/en/multimedia/videos/short-stay-rentals-heat-up-in-dubai-thanks-to-world-cup-hk0q0adz" TargetMode="External"/><Relationship Id="rId151" Type="http://schemas.openxmlformats.org/officeDocument/2006/relationships/hyperlink" Target="https://www.thenationalnews.com/weekend/2022/10/07/important-real-estate-terms-uae-property-investors-should-know-before-buying/" TargetMode="External"/><Relationship Id="rId272" Type="http://schemas.openxmlformats.org/officeDocument/2006/relationships/hyperlink" Target="https://www.zawya.com/en/multimedia/videos/short-stay-rentals-heat-up-in-dubai-thanks-to-world-cup-hk0q0adz" TargetMode="External"/><Relationship Id="rId158" Type="http://schemas.openxmlformats.org/officeDocument/2006/relationships/hyperlink" Target="https://menafn.com/1105043884/Dubai-Tenants-Find-It-Cheaper-To-Stay-In-Existing-Apartments-As-Rents-Soar" TargetMode="External"/><Relationship Id="rId279" Type="http://schemas.openxmlformats.org/officeDocument/2006/relationships/hyperlink" Target="https://ru.investing.com/analysis/article-200298866" TargetMode="External"/><Relationship Id="rId157" Type="http://schemas.openxmlformats.org/officeDocument/2006/relationships/hyperlink" Target="https://www.khaleejtimes.com/property/dubai-russians-are-top-property-buyers-in-dubai-indians-come-third" TargetMode="External"/><Relationship Id="rId278" Type="http://schemas.openxmlformats.org/officeDocument/2006/relationships/hyperlink" Target="https://ru.investing.com/analysis/article-200298866" TargetMode="External"/><Relationship Id="rId156" Type="http://schemas.openxmlformats.org/officeDocument/2006/relationships/hyperlink" Target="https://www.khaleejtimes.com/property/dubai-russians-are-top-property-buyers-in-dubai-indians-come-third" TargetMode="External"/><Relationship Id="rId277" Type="http://schemas.openxmlformats.org/officeDocument/2006/relationships/hyperlink" Target="https://www.dcnews.ro/programul-noua-casa-continua-si-in-2023-vesti-bune-pentru-romanii-care-vor-sa-isi-cumpere-o-locuinta-cate-garantii-s-au-dat-in-2022_897305.html" TargetMode="External"/><Relationship Id="rId155" Type="http://schemas.openxmlformats.org/officeDocument/2006/relationships/hyperlink" Target="https://www.timeoutdubai.com/news/top-tips-for-renting-in-dubai" TargetMode="External"/><Relationship Id="rId276" Type="http://schemas.openxmlformats.org/officeDocument/2006/relationships/hyperlink" Target="https://www.dcnews.ro/programul-noua-casa-continua-si-in-2023-vesti-bune-pentru-romanii-care-vor-sa-isi-cumpere-o-locuinta-cate-garantii-s-au-dat-in-2022_897305.html" TargetMode="External"/><Relationship Id="rId107" Type="http://schemas.openxmlformats.org/officeDocument/2006/relationships/hyperlink" Target="https://de.euronews.com/2022/08/26/grunder-in-dubai-erst-krankenschwester-dann-immobilienmaklerin" TargetMode="External"/><Relationship Id="rId228" Type="http://schemas.openxmlformats.org/officeDocument/2006/relationships/hyperlink" Target="https://www.zf.ro/business-international/unul-dintre-cele-mai-spectaculoase-proiecte-de-infrastructura-din-21305333" TargetMode="External"/><Relationship Id="rId106" Type="http://schemas.openxmlformats.org/officeDocument/2006/relationships/hyperlink" Target="https://tr.euronews.com/2022/08/26/betterhomes-kurucusu-linda-mahoney-dubai-dogru-zamanda-dogru-yerdi" TargetMode="External"/><Relationship Id="rId227" Type="http://schemas.openxmlformats.org/officeDocument/2006/relationships/hyperlink" Target="https://www.arabianbusiness.com/tags/angel-eye-media" TargetMode="External"/><Relationship Id="rId105" Type="http://schemas.openxmlformats.org/officeDocument/2006/relationships/hyperlink" Target="https://www.euronews.com/2022/08/26/meet-the-entrepreneurs" TargetMode="External"/><Relationship Id="rId226" Type="http://schemas.openxmlformats.org/officeDocument/2006/relationships/hyperlink" Target="https://www.arabianbusiness.com/tags/angel-eye-media" TargetMode="External"/><Relationship Id="rId104" Type="http://schemas.openxmlformats.org/officeDocument/2006/relationships/hyperlink" Target="https://www.euronews.com/2022/08/26/meet-the-entrepreneurs" TargetMode="External"/><Relationship Id="rId225" Type="http://schemas.openxmlformats.org/officeDocument/2006/relationships/hyperlink" Target="https://www.arabnews.com/node/2196036/media" TargetMode="External"/><Relationship Id="rId109" Type="http://schemas.openxmlformats.org/officeDocument/2006/relationships/hyperlink" Target="https://es.euronews.com/2022/08/26/linda-mahoney-o-una-mujer-pionera-que-cambio-el-panorama-del-sector-inmobiliario-en-dubai" TargetMode="External"/><Relationship Id="rId108" Type="http://schemas.openxmlformats.org/officeDocument/2006/relationships/hyperlink" Target="https://it.euronews.com/2022/08/26/la-seconda-vita-di-linda-a-dubai-da-infermiera-ad-agente-immobiliare" TargetMode="External"/><Relationship Id="rId229" Type="http://schemas.openxmlformats.org/officeDocument/2006/relationships/hyperlink" Target="https://www.zf.ro/business-international/unul-dintre-cele-mai-spectaculoase-proiecte-de-infrastructura-din-21305333" TargetMode="External"/><Relationship Id="rId220" Type="http://schemas.openxmlformats.org/officeDocument/2006/relationships/hyperlink" Target="https://whatson.ae/2022/11/made-in-dubai-new-real-estate-reality-show-on-uks-channel-4/" TargetMode="External"/><Relationship Id="rId103" Type="http://schemas.openxmlformats.org/officeDocument/2006/relationships/hyperlink" Target="https://gulfnews.com/business/property/in-dubai-property-buyers-find-ready-homes-costing-a-lot-less-than-new-launches-1.1661484948660" TargetMode="External"/><Relationship Id="rId224" Type="http://schemas.openxmlformats.org/officeDocument/2006/relationships/hyperlink" Target="https://www.arabnews.com/node/2196036/media" TargetMode="External"/><Relationship Id="rId102" Type="http://schemas.openxmlformats.org/officeDocument/2006/relationships/hyperlink" Target="https://gulfnews.com/business/property/in-dubai-property-buyers-find-ready-homes-costing-a-lot-less-than-new-launches-1.1661484948660" TargetMode="External"/><Relationship Id="rId223" Type="http://schemas.openxmlformats.org/officeDocument/2006/relationships/hyperlink" Target="https://www.thenationalnews.com/arts-culture/film-tv/2022/11/07/made-in-dubai-another-reality-tv-series-set-in-the-city-announced-by-uks-channel-4/" TargetMode="External"/><Relationship Id="rId101" Type="http://schemas.openxmlformats.org/officeDocument/2006/relationships/hyperlink" Target="https://www.mediafax.ro/economic/romanii-au-cumparat-de-la-un-dezvoltator-apartamente-de-75-milioane-euro-in-dubai-in-primele-sapte-luni-21105824" TargetMode="External"/><Relationship Id="rId222" Type="http://schemas.openxmlformats.org/officeDocument/2006/relationships/hyperlink" Target="https://www.thenationalnews.com/arts-culture/film-tv/2022/11/07/made-in-dubai-another-reality-tv-series-set-in-the-city-announced-by-uks-channel-4/" TargetMode="External"/><Relationship Id="rId100" Type="http://schemas.openxmlformats.org/officeDocument/2006/relationships/hyperlink" Target="https://ahvalnews.com/turkish-property/wealthy-russians-vying-purchase-homes-turkey" TargetMode="External"/><Relationship Id="rId221" Type="http://schemas.openxmlformats.org/officeDocument/2006/relationships/hyperlink" Target="https://whatson.ae/2022/11/made-in-dubai-new-real-estate-reality-show-on-uks-channel-4/" TargetMode="External"/><Relationship Id="rId217" Type="http://schemas.openxmlformats.org/officeDocument/2006/relationships/hyperlink" Target="https://www.zawya.com/en/press-release/companies-news/betterhomes-to-star-in-a-brand-new-tv-show-on-uks-channel-4-x3rnmte5" TargetMode="External"/><Relationship Id="rId216" Type="http://schemas.openxmlformats.org/officeDocument/2006/relationships/hyperlink" Target="https://www.zawya.com/en/press-release/companies-news/betterhomes-to-star-in-a-brand-new-tv-show-on-uks-channel-4-x3rnmte5" TargetMode="External"/><Relationship Id="rId215" Type="http://schemas.openxmlformats.org/officeDocument/2006/relationships/hyperlink" Target="https://www.issuewire.com/crc-commercial-real-estate-market-report-q3-2022-1748469199989609" TargetMode="External"/><Relationship Id="rId214" Type="http://schemas.openxmlformats.org/officeDocument/2006/relationships/hyperlink" Target="https://www.issuewire.com/crc-commercial-real-estate-market-report-q3-2022-1748469199989609" TargetMode="External"/><Relationship Id="rId219" Type="http://schemas.openxmlformats.org/officeDocument/2006/relationships/hyperlink" Target="https://www.timeoutdubai.com/news/dubai-channel-4-new-real-estate-programme" TargetMode="External"/><Relationship Id="rId218" Type="http://schemas.openxmlformats.org/officeDocument/2006/relationships/hyperlink" Target="https://www.timeoutdubai.com/news/dubai-channel-4-new-real-estate-programme" TargetMode="External"/><Relationship Id="rId213" Type="http://schemas.openxmlformats.org/officeDocument/2006/relationships/hyperlink" Target="https://meconstructionnews.com/55212/dubais-commercial-market-reached-an-all-time-high-in-q3-says-crc" TargetMode="External"/><Relationship Id="rId212" Type="http://schemas.openxmlformats.org/officeDocument/2006/relationships/hyperlink" Target="https://meconstructionnews.com/55212/dubais-commercial-market-reached-an-all-time-high-in-q3-says-crc" TargetMode="External"/><Relationship Id="rId211" Type="http://schemas.openxmlformats.org/officeDocument/2006/relationships/hyperlink" Target="https://www.thenationalnews.com/business/money/2022/11/03/dubai-tenants-downsize-and-move-to-cheaper-areas-as-rents-rise/" TargetMode="External"/><Relationship Id="rId210" Type="http://schemas.openxmlformats.org/officeDocument/2006/relationships/hyperlink" Target="https://www.thenationalnews.com/business/money/2022/11/03/dubai-tenants-downsize-and-move-to-cheaper-areas-as-rents-rise/" TargetMode="External"/><Relationship Id="rId129" Type="http://schemas.openxmlformats.org/officeDocument/2006/relationships/hyperlink" Target="https://www.arabianbusiness.com/opinion/real-estate-brokers-in-the-uae-do-we-need-them" TargetMode="External"/><Relationship Id="rId128" Type="http://schemas.openxmlformats.org/officeDocument/2006/relationships/hyperlink" Target="https://www.arabianbusiness.com/opinion/real-estate-brokers-in-the-uae-do-we-need-them" TargetMode="External"/><Relationship Id="rId249" Type="http://schemas.openxmlformats.org/officeDocument/2006/relationships/hyperlink" Target="https://www.reuters.com/world/middle-east/emaar-beats-forecasts-with-46-q3-profit-rise-dubai-rebounds-2022-11-14/" TargetMode="External"/><Relationship Id="rId127" Type="http://schemas.openxmlformats.org/officeDocument/2006/relationships/hyperlink" Target="https://www.zawya.com/en/business/real-estate/why-the-wealthy-are-attracted-to-dubais-luxury-homes-rg1maetg" TargetMode="External"/><Relationship Id="rId248" Type="http://schemas.openxmlformats.org/officeDocument/2006/relationships/hyperlink" Target="https://www.reuters.com/world/middle-east/emaar-beats-forecasts-with-46-q3-profit-rise-dubai-rebounds-2022-11-14/" TargetMode="External"/><Relationship Id="rId126" Type="http://schemas.openxmlformats.org/officeDocument/2006/relationships/hyperlink" Target="https://www.zawya.com/en/business/real-estate/why-the-wealthy-are-attracted-to-dubais-luxury-homes-rg1maetg" TargetMode="External"/><Relationship Id="rId247" Type="http://schemas.openxmlformats.org/officeDocument/2006/relationships/hyperlink" Target="https://www.cbc.ca/news/world/russia-ukraine-war-geopolitical-winners-1.6649370" TargetMode="External"/><Relationship Id="rId121" Type="http://schemas.openxmlformats.org/officeDocument/2006/relationships/hyperlink" Target="https://actmedia.eu/economic/real-estate-romanians-bought-apartments-of-75-million-euros-from-sobha-dubai-developer-in-first-7-months-of-2022/99363" TargetMode="External"/><Relationship Id="rId242" Type="http://schemas.openxmlformats.org/officeDocument/2006/relationships/hyperlink" Target="https://www.agbi.com/articles/dubais-brick-and-mortar-retailers-hold-their-own-against-online-competition/" TargetMode="External"/><Relationship Id="rId120" Type="http://schemas.openxmlformats.org/officeDocument/2006/relationships/hyperlink" Target="https://actmedia.eu/economic/real-estate-romanians-bought-apartments-of-75-million-euros-from-sobha-dubai-developer-in-first-7-months-of-2022/99363" TargetMode="External"/><Relationship Id="rId241" Type="http://schemas.openxmlformats.org/officeDocument/2006/relationships/hyperlink" Target="https://www.zawya.com/en/press-release/companies-news/dubais-leading-commercial-real-estate-crc-expands-with-a-new-office-in-dubai-marina-sx7jfvzz" TargetMode="External"/><Relationship Id="rId240" Type="http://schemas.openxmlformats.org/officeDocument/2006/relationships/hyperlink" Target="https://www.zawya.com/en/press-release/companies-news/dubais-leading-commercial-real-estate-crc-expands-with-a-new-office-in-dubai-marina-sx7jfvzz" TargetMode="External"/><Relationship Id="rId125" Type="http://schemas.openxmlformats.org/officeDocument/2006/relationships/hyperlink" Target="https://epaper.khaleejtimes.com/835/05-09-2022" TargetMode="External"/><Relationship Id="rId246" Type="http://schemas.openxmlformats.org/officeDocument/2006/relationships/hyperlink" Target="https://www.cbc.ca/news/world/russia-ukraine-war-geopolitical-winners-1.6649370" TargetMode="External"/><Relationship Id="rId124" Type="http://schemas.openxmlformats.org/officeDocument/2006/relationships/hyperlink" Target="https://epaper.khaleejtimes.com/835/05-09-2022" TargetMode="External"/><Relationship Id="rId245" Type="http://schemas.openxmlformats.org/officeDocument/2006/relationships/hyperlink" Target="https://adevarul.ro/economie/romanii-in-top-zece-cumparatori-de-imobiliare-in-2219651.html" TargetMode="External"/><Relationship Id="rId123" Type="http://schemas.openxmlformats.org/officeDocument/2006/relationships/hyperlink" Target="https://www.khaleejtimes.com/opinion/why-the-wealthy-are-attracted-to-dubais-luxury-homes" TargetMode="External"/><Relationship Id="rId244" Type="http://schemas.openxmlformats.org/officeDocument/2006/relationships/hyperlink" Target="https://adevarul.ro/economie/romanii-in-top-zece-cumparatori-de-imobiliare-in-2219651.html" TargetMode="External"/><Relationship Id="rId122" Type="http://schemas.openxmlformats.org/officeDocument/2006/relationships/hyperlink" Target="https://www.khaleejtimes.com/opinion/why-the-wealthy-are-attracted-to-dubais-luxury-homes" TargetMode="External"/><Relationship Id="rId243" Type="http://schemas.openxmlformats.org/officeDocument/2006/relationships/hyperlink" Target="https://www.agbi.com/articles/dubais-brick-and-mortar-retailers-hold-their-own-against-online-competition/" TargetMode="External"/><Relationship Id="rId95" Type="http://schemas.openxmlformats.org/officeDocument/2006/relationships/hyperlink" Target="https://www.zawya.com/en/business/real-estate/new-tenants-to-pay-higher-rents-in-dubai-tppmufae" TargetMode="External"/><Relationship Id="rId94" Type="http://schemas.openxmlformats.org/officeDocument/2006/relationships/hyperlink" Target="https://www.khaleejtimes.com/business/new-tenants-to-pay-higher-rents-in-dubai" TargetMode="External"/><Relationship Id="rId97" Type="http://schemas.openxmlformats.org/officeDocument/2006/relationships/hyperlink" Target="https://www.newsweek.com/wealthy-russians-racing-buy-homes-turkey-why-explained-1734028" TargetMode="External"/><Relationship Id="rId96" Type="http://schemas.openxmlformats.org/officeDocument/2006/relationships/hyperlink" Target="https://gulfnews.com/living-in-uae/housing/travelling-for-a-month-or-two---can-i-put-up-my-dubai-home-for-rent-1.1660661106061" TargetMode="External"/><Relationship Id="rId99" Type="http://schemas.openxmlformats.org/officeDocument/2006/relationships/hyperlink" Target="https://www.zawya.com/en/business/real-estate/dubai-real-estate-firms-name-escrow-account-other-details-must-on-ads-axl3oipj" TargetMode="External"/><Relationship Id="rId98" Type="http://schemas.openxmlformats.org/officeDocument/2006/relationships/hyperlink" Target="https://www.theaktuellenews.com/nachrichten/wohlhabende-russen-rennen-um-den-kauf-von-haeusern-in-der-tuerkei-hier-ist-der-grund/" TargetMode="External"/><Relationship Id="rId91" Type="http://schemas.openxmlformats.org/officeDocument/2006/relationships/hyperlink" Target="https://www.financialinvestor24.com/property/1903/ryan-mahoney-dubai-uae-the-crc-commercial-property-market-report-fy-2021/" TargetMode="External"/><Relationship Id="rId90" Type="http://schemas.openxmlformats.org/officeDocument/2006/relationships/hyperlink" Target="https://www.arabnews.com/node/2139816/business-economy" TargetMode="External"/><Relationship Id="rId93" Type="http://schemas.openxmlformats.org/officeDocument/2006/relationships/hyperlink" Target="https://www.elcorreo.ae/articulo/economia/banco-mas-grande-dubai-sube-sueldo-empleados/20220812090626148406.html" TargetMode="External"/><Relationship Id="rId92" Type="http://schemas.openxmlformats.org/officeDocument/2006/relationships/hyperlink" Target="https://www.thenationalnews.com/weekend/2022/08/12/fomo-drives-uae-residents-to-take-out-mortgages-amid-rate-rises/" TargetMode="External"/><Relationship Id="rId118" Type="http://schemas.openxmlformats.org/officeDocument/2006/relationships/hyperlink" Target="https://gulfnews.com/living-in-uae/housing/moving-out-who-cancels-ejari---the-landlord-or-tenant-1.1662382091757" TargetMode="External"/><Relationship Id="rId239" Type="http://schemas.openxmlformats.org/officeDocument/2006/relationships/hyperlink" Target="https://www.arabnews.com/node/2196421/6-middle-eastern-reality-tv-shows-watch" TargetMode="External"/><Relationship Id="rId117" Type="http://schemas.openxmlformats.org/officeDocument/2006/relationships/hyperlink" Target="https://www.haberler.com/guncel/betterhomes-kurucusu-linda-mahoney-dubai-dogru-15226716-haberi/" TargetMode="External"/><Relationship Id="rId238" Type="http://schemas.openxmlformats.org/officeDocument/2006/relationships/hyperlink" Target="https://www.arabnews.com/node/2196421/6-middle-eastern-reality-tv-shows-watch" TargetMode="External"/><Relationship Id="rId116" Type="http://schemas.openxmlformats.org/officeDocument/2006/relationships/hyperlink" Target="https://www.haberler.com/guncel/betterhomes-kurucusu-linda-mahoney-dubai-dogru-15226716-haberi/" TargetMode="External"/><Relationship Id="rId237" Type="http://schemas.openxmlformats.org/officeDocument/2006/relationships/hyperlink" Target="https://www.thenationalnews.com/business/money/2022/11/09/the-debt-panel-i-lost-my-5445-short-term-rental-deposit/" TargetMode="External"/><Relationship Id="rId115" Type="http://schemas.openxmlformats.org/officeDocument/2006/relationships/hyperlink" Target="https://www.brecorder.com/news/40194446" TargetMode="External"/><Relationship Id="rId236" Type="http://schemas.openxmlformats.org/officeDocument/2006/relationships/hyperlink" Target="https://www.thenationalnews.com/business/money/2022/11/09/the-debt-panel-i-lost-my-5445-short-term-rental-deposit/" TargetMode="External"/><Relationship Id="rId119" Type="http://schemas.openxmlformats.org/officeDocument/2006/relationships/hyperlink" Target="https://gulfnews.com/living-in-uae/housing/moving-out-who-cancels-ejari---the-landlord-or-tenant-1.1662382091757" TargetMode="External"/><Relationship Id="rId110" Type="http://schemas.openxmlformats.org/officeDocument/2006/relationships/hyperlink" Target="https://pt.euronews.com/2022/08/26/uma-historia-de-sucesso-que-comecou-com-um-casamento-falhado" TargetMode="External"/><Relationship Id="rId231" Type="http://schemas.openxmlformats.org/officeDocument/2006/relationships/hyperlink" Target="https://www.elcorreo.ae/articulo/economia/desarrollador-palmera-dubai-obtiene-4600-millones-dolares-proyectos/20221109100432150812.html" TargetMode="External"/><Relationship Id="rId230" Type="http://schemas.openxmlformats.org/officeDocument/2006/relationships/hyperlink" Target="https://www.elcorreo.ae/articulo/economia/desarrollador-palmera-dubai-obtiene-4600-millones-dolares-proyectos/20221109100432150812.html" TargetMode="External"/><Relationship Id="rId114" Type="http://schemas.openxmlformats.org/officeDocument/2006/relationships/hyperlink" Target="https://www.brecorder.com/news/40194446" TargetMode="External"/><Relationship Id="rId235" Type="http://schemas.openxmlformats.org/officeDocument/2006/relationships/hyperlink" Target="https://www.zawya.com/en/press-release/companies-news/new-and-progressive-property-management-software-aims-to-bridge-the-communication-gap-between-tenants-and-landlords-mztvbkhd" TargetMode="External"/><Relationship Id="rId113" Type="http://schemas.openxmlformats.org/officeDocument/2006/relationships/hyperlink" Target="https://infos-israel.news/crise-de-2009-oubliee-a-dubai-limmobilier-de-luxe-bondit-de-87/" TargetMode="External"/><Relationship Id="rId234" Type="http://schemas.openxmlformats.org/officeDocument/2006/relationships/hyperlink" Target="https://www.zawya.com/en/press-release/companies-news/new-and-progressive-property-management-software-aims-to-bridge-the-communication-gap-between-tenants-and-landlords-mztvbkhd" TargetMode="External"/><Relationship Id="rId112" Type="http://schemas.openxmlformats.org/officeDocument/2006/relationships/hyperlink" Target="https://playtech.ro/2022/bula-imobiliara-din-romania-a-explodat-iar-romanii-bogati-se-muta-la-dubai-cati-bani-au-bagat-in-apartamente/" TargetMode="External"/><Relationship Id="rId233" Type="http://schemas.openxmlformats.org/officeDocument/2006/relationships/hyperlink" Target="https://www.reuters.com/business/dubai-developer-nakheel-secures-17-billion-dirhams-financing-2022-11-08/" TargetMode="External"/><Relationship Id="rId111" Type="http://schemas.openxmlformats.org/officeDocument/2006/relationships/hyperlink" Target="https://www.shortlistdubai.com/article/best-property-management-companies-dubai/" TargetMode="External"/><Relationship Id="rId232" Type="http://schemas.openxmlformats.org/officeDocument/2006/relationships/hyperlink" Target="https://www.reuters.com/business/dubai-developer-nakheel-secures-17-billion-dirhams-financing-2022-11-08/" TargetMode="External"/><Relationship Id="rId206" Type="http://schemas.openxmlformats.org/officeDocument/2006/relationships/hyperlink" Target="https://www.constructionweekonline.com/business/prime-by-betterhomes-to-rank-top-50-homes-in-dubai" TargetMode="External"/><Relationship Id="rId205" Type="http://schemas.openxmlformats.org/officeDocument/2006/relationships/hyperlink" Target="https://www.digitaljournal.com/pr/business-in-dubai-is-expected-to-grow-at-a-fast-pace-in-2022-and-2023" TargetMode="External"/><Relationship Id="rId204" Type="http://schemas.openxmlformats.org/officeDocument/2006/relationships/hyperlink" Target="https://www.digitaljournal.com/pr/business-in-dubai-is-expected-to-grow-at-a-fast-pace-in-2022-and-2023" TargetMode="External"/><Relationship Id="rId203" Type="http://schemas.openxmlformats.org/officeDocument/2006/relationships/hyperlink" Target="https://russianemirates.com/news/uae-news/oteli-po-vsemu-dubayu-nabirayut-russkoyazychnyy-personal/" TargetMode="External"/><Relationship Id="rId209" Type="http://schemas.openxmlformats.org/officeDocument/2006/relationships/hyperlink" Target="https://www.thenationalnews.com/business/property/2022/11/01/dubai-property-rents-where-they-rose-and-fell-in-q3-2022/" TargetMode="External"/><Relationship Id="rId208" Type="http://schemas.openxmlformats.org/officeDocument/2006/relationships/hyperlink" Target="https://www.thenationalnews.com/business/property/2022/11/01/dubai-property-rents-where-they-rose-and-fell-in-q3-2022/" TargetMode="External"/><Relationship Id="rId207" Type="http://schemas.openxmlformats.org/officeDocument/2006/relationships/hyperlink" Target="https://www.constructionweekonline.com/business/prime-by-betterhomes-to-rank-top-50-homes-in-dubai" TargetMode="External"/><Relationship Id="rId202" Type="http://schemas.openxmlformats.org/officeDocument/2006/relationships/hyperlink" Target="https://russianemirates.com/news/uae-news/oteli-po-vsemu-dubayu-nabirayut-russkoyazychnyy-personal/" TargetMode="External"/><Relationship Id="rId201" Type="http://schemas.openxmlformats.org/officeDocument/2006/relationships/hyperlink" Target="https://fd.nl/economie/1455831/vastgoedfeest-in-dubai-is-nog-in-volle-gang" TargetMode="External"/><Relationship Id="rId200" Type="http://schemas.openxmlformats.org/officeDocument/2006/relationships/hyperlink" Target="https://fd.nl/economie/1455831/vastgoedfeest-in-dubai-is-nog-in-volle-gang" TargetMode="External"/></Relationships>
</file>

<file path=xl/worksheets/_rels/sheet8.xml.rels><?xml version="1.0" encoding="UTF-8" standalone="yes"?><Relationships xmlns="http://schemas.openxmlformats.org/package/2006/relationships"><Relationship Id="rId31" Type="http://schemas.openxmlformats.org/officeDocument/2006/relationships/hyperlink" Target="https://medium.com/@valustrat/dh7-5m-emirates-hills-villa-becomes-dubais-most-expensive-rental-fdd55e5c53bd" TargetMode="External"/><Relationship Id="rId30" Type="http://schemas.openxmlformats.org/officeDocument/2006/relationships/hyperlink" Target="https://intlbm.com/dubai-real-estate-market-clocks-its-highest-leasing-deal-worth-aed7-5-million/" TargetMode="External"/><Relationship Id="rId32" Type="http://schemas.openxmlformats.org/officeDocument/2006/relationships/drawing" Target="../drawings/drawing8.xml"/><Relationship Id="rId20" Type="http://schemas.openxmlformats.org/officeDocument/2006/relationships/hyperlink" Target="https://www.khaleejtimes.com/business/dubai-low-interest-rates-boost-mortgage-transactions-in-2021" TargetMode="External"/><Relationship Id="rId22" Type="http://schemas.openxmlformats.org/officeDocument/2006/relationships/hyperlink" Target="https://www.constructionweekonline.com/business/betterhomes-logs-leasing-deal-at-1-76-million-in-emirates-hills" TargetMode="External"/><Relationship Id="rId21" Type="http://schemas.openxmlformats.org/officeDocument/2006/relationships/hyperlink" Target="https://www.arabianbusiness.com/real-estate/470612-dubai-property-broker-seals-record-2m-leasing-deal-for-luxury-villa" TargetMode="External"/><Relationship Id="rId24" Type="http://schemas.openxmlformats.org/officeDocument/2006/relationships/hyperlink" Target="https://www.lianapress.ae/releases/construction/dubai-property-market-logs-highest-leasing-deal-at-aed7.5myear.html" TargetMode="External"/><Relationship Id="rId23" Type="http://schemas.openxmlformats.org/officeDocument/2006/relationships/hyperlink" Target="https://uaebusiness.com/tag/better-homes-llc/" TargetMode="External"/><Relationship Id="rId26" Type="http://schemas.openxmlformats.org/officeDocument/2006/relationships/hyperlink" Target="https://www.propertyfinder.ae/hub/agent-guides/latest-prestige-november-2021-issue-in-gulf-business/" TargetMode="External"/><Relationship Id="rId25" Type="http://schemas.openxmlformats.org/officeDocument/2006/relationships/hyperlink" Target="https://www.zawya.com/mena/en/press-releases/story/Dubai_property_market_logs_highest_leasing_deal_at_AED75mlnyear-ZAWYA20211103104849/" TargetMode="External"/><Relationship Id="rId28" Type="http://schemas.openxmlformats.org/officeDocument/2006/relationships/hyperlink" Target="https://www.constructionweekonline.com/business/betterhomes-logs-leasing-deal-at-1-76-million-in-emirates-hills" TargetMode="External"/><Relationship Id="rId27" Type="http://schemas.openxmlformats.org/officeDocument/2006/relationships/hyperlink" Target="https://www.thenationalnews.com/lifestyle/luxury/2021/11/06/dh75m-emirates-hills-villa-becomes-dubais-most-expensive-rental/" TargetMode="External"/><Relationship Id="rId29" Type="http://schemas.openxmlformats.org/officeDocument/2006/relationships/hyperlink" Target="https://thewall.fyi/dubai-property-broker-seals-record-2m-leasing-deal-for-luxury-villa/" TargetMode="External"/><Relationship Id="rId11" Type="http://schemas.openxmlformats.org/officeDocument/2006/relationships/hyperlink" Target="https://uaebusiness.com/2021/10/19/property-market-sets-new-records-as-prices-continue-to-climb-in-q3/" TargetMode="External"/><Relationship Id="rId10" Type="http://schemas.openxmlformats.org/officeDocument/2006/relationships/hyperlink" Target="https://www.lianapress.ae/releases/construction/property-market-sets-new-records-as-prices-continue-to-climb-in-q3.html" TargetMode="External"/><Relationship Id="rId13" Type="http://schemas.openxmlformats.org/officeDocument/2006/relationships/hyperlink" Target="https://www.zawya.com/mena/en/story/amp/ZAWYA20211018115321/" TargetMode="External"/><Relationship Id="rId12" Type="http://schemas.openxmlformats.org/officeDocument/2006/relationships/hyperlink" Target="https://www.propertynews.ae/reports-updates/trends/property-market-sets-new-records-as-prices-continue-to-climb-in-q3/" TargetMode="External"/><Relationship Id="rId15" Type="http://schemas.openxmlformats.org/officeDocument/2006/relationships/hyperlink" Target="https://www.zawya.com/mena/en/press-releases/story/CRC_released_Dubai_Commercial_Real_Estate_Market_Report_Q3_2021-ZAWYA20211020084549/" TargetMode="External"/><Relationship Id="rId14" Type="http://schemas.openxmlformats.org/officeDocument/2006/relationships/hyperlink" Target="https://www.constructionweekonline.com/news/crc-released-dubai-commercial-real-estate-market-report-q3-2021" TargetMode="External"/><Relationship Id="rId17" Type="http://schemas.openxmlformats.org/officeDocument/2006/relationships/hyperlink" Target="https://www.fm-middleeast.com/business/crc-released-dubai-commercial-real-estate-market-report-q3-2021" TargetMode="External"/><Relationship Id="rId16" Type="http://schemas.openxmlformats.org/officeDocument/2006/relationships/hyperlink" Target="https://industrialrealestatenews.top/crc-released-dubai-commercial-real-estate-market-report-q3-2021/" TargetMode="External"/><Relationship Id="rId19" Type="http://schemas.openxmlformats.org/officeDocument/2006/relationships/hyperlink" Target="https://gulfnews.com/business/property/better-homes-plans-global-presence-with-more-offices-1.253412" TargetMode="External"/><Relationship Id="rId18" Type="http://schemas.openxmlformats.org/officeDocument/2006/relationships/hyperlink" Target="https://www.arabianbusiness.com/industries-real-estate/469867-is-the-pace-of-dubais-recent-property-price-hikes-starting-to-slow" TargetMode="External"/><Relationship Id="rId1" Type="http://schemas.openxmlformats.org/officeDocument/2006/relationships/hyperlink" Target="http://pr.com/" TargetMode="External"/><Relationship Id="rId2" Type="http://schemas.openxmlformats.org/officeDocument/2006/relationships/hyperlink" Target="https://www.pr.com/press-release/835148" TargetMode="External"/><Relationship Id="rId3" Type="http://schemas.openxmlformats.org/officeDocument/2006/relationships/hyperlink" Target="https://www.khaleejtimes.com/news/dubai-records-27-surge-in-q1-property-deals" TargetMode="External"/><Relationship Id="rId4" Type="http://schemas.openxmlformats.org/officeDocument/2006/relationships/hyperlink" Target="https://www.springfield-re.com/dubai-records-27-surge-in-q1-property-deals" TargetMode="External"/><Relationship Id="rId9" Type="http://schemas.openxmlformats.org/officeDocument/2006/relationships/hyperlink" Target="https://www.zawya.com/mena/en/press-releases/story/Property_market_sets_new_records_as_prices_continue_to_climb_in_Q3-ZAWYA20211018115321/" TargetMode="External"/><Relationship Id="rId5" Type="http://schemas.openxmlformats.org/officeDocument/2006/relationships/hyperlink" Target="https://www.creativezone.ae/events/dubai-real-estate-a-2021-promising-outlook/" TargetMode="External"/><Relationship Id="rId6" Type="http://schemas.openxmlformats.org/officeDocument/2006/relationships/hyperlink" Target="https://www.zawya.com/uae/en/press-releases/story/Positive_economic__employment_sentiment_in_Dubai_boosts_property_sales_in_H1_2021-ZAWYA20210803062005/" TargetMode="External"/><Relationship Id="rId7" Type="http://schemas.openxmlformats.org/officeDocument/2006/relationships/hyperlink" Target="https://www.arabianbusiness.com/real-estate/466741-dubai-broker-sees-surge-in-british-property-buyers-amid-uaes-latest-expat-incentives" TargetMode="External"/><Relationship Id="rId8" Type="http://schemas.openxmlformats.org/officeDocument/2006/relationships/hyperlink" Target="https://www.khaleejtimes.com/property/dubai-realty-back-in-spotlight-with-deals-hitting-10-year-high"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english.akhbrna.co/uae-news/dubai-announces-up-to-a-200" TargetMode="External"/><Relationship Id="rId190" Type="http://schemas.openxmlformats.org/officeDocument/2006/relationships/hyperlink" Target="https://www.constructionweekonline.com/news/pantheon-development-launches-272m-mixed-use-project-in-booming-rak" TargetMode="External"/><Relationship Id="rId42" Type="http://schemas.openxmlformats.org/officeDocument/2006/relationships/hyperlink" Target="https://www.arabianbusiness.com/industries/real-estate/dubai-real-estate-as-off-plan-property-sales-are-booming-which-are-the-best-areas-to-invest-in" TargetMode="External"/><Relationship Id="rId41" Type="http://schemas.openxmlformats.org/officeDocument/2006/relationships/hyperlink" Target="https://www.pressreader.com/uae/khaleej-times/20240223/281500756184105" TargetMode="External"/><Relationship Id="rId44" Type="http://schemas.openxmlformats.org/officeDocument/2006/relationships/hyperlink" Target="https://www.khaleejtimes.com/business/realty/dubai-rera-calculator-updated-will-rents-rise" TargetMode="External"/><Relationship Id="rId194" Type="http://schemas.openxmlformats.org/officeDocument/2006/relationships/hyperlink" Target="https://www.agbi.com/analysis/tax/2024/11/property-market-dubai-government-fees/" TargetMode="External"/><Relationship Id="rId43" Type="http://schemas.openxmlformats.org/officeDocument/2006/relationships/hyperlink" Target="https://www.financemiddleeast.com/__trashed/" TargetMode="External"/><Relationship Id="rId193" Type="http://schemas.openxmlformats.org/officeDocument/2006/relationships/hyperlink" Target="https://tradearabia.com/touch/article/CONS/428135" TargetMode="External"/><Relationship Id="rId46" Type="http://schemas.openxmlformats.org/officeDocument/2006/relationships/hyperlink" Target="https://www.businessoutreach.in/how-dubais-updated-rental-calculator" TargetMode="External"/><Relationship Id="rId192" Type="http://schemas.openxmlformats.org/officeDocument/2006/relationships/hyperlink" Target="https://www.arabianbusiness.com/industries/real-estate/dubais-pantheon-development-set-to-unveil-aed-1bn-project-in-rak" TargetMode="External"/><Relationship Id="rId45" Type="http://schemas.openxmlformats.org/officeDocument/2006/relationships/hyperlink" Target="https://www.zawya.com/en/business/real-estate/dubai-rera-calculator-updated-will-rents-rise-woe9duj0" TargetMode="External"/><Relationship Id="rId191" Type="http://schemas.openxmlformats.org/officeDocument/2006/relationships/hyperlink" Target="https://www.zawya.com/en/projects/construction/dubais-pantheon-development-unveils-one-central-project-in-ras-al-khaimah-yf8x8dcp" TargetMode="External"/><Relationship Id="rId48" Type="http://schemas.openxmlformats.org/officeDocument/2006/relationships/hyperlink" Target="https://www.msn.com/en-ae/news/featured/dubai-rera-calculator-updated-will-rents-rise/ar-BB1jpCXp" TargetMode="External"/><Relationship Id="rId187" Type="http://schemas.openxmlformats.org/officeDocument/2006/relationships/hyperlink" Target="https://www.arabianbusiness.com/industries/real-estate/dubai-waterfront-vs-city-view-properties-which-is-a-better-investment-experts-weigh-in" TargetMode="External"/><Relationship Id="rId47" Type="http://schemas.openxmlformats.org/officeDocument/2006/relationships/hyperlink" Target="https://bnnbreaking.com/bnn-newsroom/dubais-rera-index-update-signals-rent-increases-for-long-term-tenants-insights-from-industry-expert" TargetMode="External"/><Relationship Id="rId186" Type="http://schemas.openxmlformats.org/officeDocument/2006/relationships/hyperlink" Target="https://www.constructionweekonline.com/business/insights/dubais-real-estate-debate-waterfront-vs-city-view-properties" TargetMode="External"/><Relationship Id="rId185" Type="http://schemas.openxmlformats.org/officeDocument/2006/relationships/hyperlink" Target="https://www.agbi.com/analysis/construction/2024/10/uae-warehousing-attracts-new-institutional-investors/" TargetMode="External"/><Relationship Id="rId49" Type="http://schemas.openxmlformats.org/officeDocument/2006/relationships/hyperlink" Target="http://samaa.tv/" TargetMode="External"/><Relationship Id="rId184" Type="http://schemas.openxmlformats.org/officeDocument/2006/relationships/hyperlink" Target="https://www.rprealtyplus.com/international/dubais-new-homes-are-shrinking-117232.html" TargetMode="External"/><Relationship Id="rId189" Type="http://schemas.openxmlformats.org/officeDocument/2006/relationships/hyperlink" Target="https://www.propnewstime.com/getdetailsStories/MTE1Nzg=/dubai-homes-shrink-to-decade-low-sizes-as-developers-focus-on-affordability-and-sustainability" TargetMode="External"/><Relationship Id="rId188" Type="http://schemas.openxmlformats.org/officeDocument/2006/relationships/hyperlink" Target="https://www.financialexpress.com/business/industry-dubai-dreams-why-indian-buyers-are-turning-to-dubais-real-estate-market-this-festive-season-3651183/" TargetMode="External"/><Relationship Id="rId31" Type="http://schemas.openxmlformats.org/officeDocument/2006/relationships/hyperlink" Target="https://www.thenationalnews.com/uae/2024/02/02/moving-to-a-new-home-heres-what-you-need-to-know-about-rent-and-utility-bills/" TargetMode="External"/><Relationship Id="rId30" Type="http://schemas.openxmlformats.org/officeDocument/2006/relationships/hyperlink" Target="https://www.zawya.com/en/press-release/research-and-studies/top-property-management-companies-for-renting-homes-in-dubai-who-are-they-and-why-are-they-needed-j3lw28q2" TargetMode="External"/><Relationship Id="rId33" Type="http://schemas.openxmlformats.org/officeDocument/2006/relationships/hyperlink" Target="https://www.timesnownews.com/india/is-dubais-property-market-surge-fuelled-by-indian-investors-article-107430142" TargetMode="External"/><Relationship Id="rId183" Type="http://schemas.openxmlformats.org/officeDocument/2006/relationships/hyperlink" Target="https://www.thenationalnews.com/business/property/2024/10/20/dubais-new-homes-are-getting-smaller-thats-both-bad-and-good/" TargetMode="External"/><Relationship Id="rId32" Type="http://schemas.openxmlformats.org/officeDocument/2006/relationships/hyperlink" Target="https://www.khaleejtimes.com/business/realty/uae-despite-traffic-tenants-move-to-bigger-units-in-same-emirate-to-enhance-lifestyle" TargetMode="External"/><Relationship Id="rId182" Type="http://schemas.openxmlformats.org/officeDocument/2006/relationships/hyperlink" Target="https://www.khaleejtimes.com/business/realty/uae-interest-rates-drop-more-dubai-property-buyers-opt-for-mortgage-over-cash?_refresh=true" TargetMode="External"/><Relationship Id="rId35" Type="http://schemas.openxmlformats.org/officeDocument/2006/relationships/hyperlink" Target="https://www.khaleejtimes.com/business/realty/uae-golden-visa-demand-growing-among-european-property-investors" TargetMode="External"/><Relationship Id="rId181" Type="http://schemas.openxmlformats.org/officeDocument/2006/relationships/hyperlink" Target="https://www.khaleejtimes.com/business/realty/uae-interest-rates-drop-more-dubai-property-buyers-opt-for-mortgage-over-cash" TargetMode="External"/><Relationship Id="rId34" Type="http://schemas.openxmlformats.org/officeDocument/2006/relationships/hyperlink" Target="https://cbs4indy.com/business/press-releases/ein-presswire/689099087/leading-real-estate-experts-to-headline-ips-2024/" TargetMode="External"/><Relationship Id="rId180" Type="http://schemas.openxmlformats.org/officeDocument/2006/relationships/hyperlink" Target="https://www.msn.com/en-ae/news/featured/dubai-villa-rented-out-for-dh155-million-a-year-in-emirates-largest-leasing-deal/ar-AA1smMdm" TargetMode="External"/><Relationship Id="rId37" Type="http://schemas.openxmlformats.org/officeDocument/2006/relationships/hyperlink" Target="https://www.khaleejtimes.com/business/realty/up-to-200-return-dubai-property-turning-sellers-market-as-investors-take-advantage-of-3-year-pric" TargetMode="External"/><Relationship Id="rId176" Type="http://schemas.openxmlformats.org/officeDocument/2006/relationships/hyperlink" Target="https://property.constructionweekonline.com/dubais-jumeirah-bay-island-sets-new-real-estate-record-mansion-leased-for-4-2m/" TargetMode="External"/><Relationship Id="rId36" Type="http://schemas.openxmlformats.org/officeDocument/2006/relationships/hyperlink" Target="https://menafn.com/1107865247/Leading-Real-Estate-Experts-to-Headline-IPS-2024" TargetMode="External"/><Relationship Id="rId175" Type="http://schemas.openxmlformats.org/officeDocument/2006/relationships/hyperlink" Target="https://www.arabianbusiness.com/industries/real-estate/dubai-villa-sets-record-with-4-2m-a-year-rent" TargetMode="External"/><Relationship Id="rId39" Type="http://schemas.openxmlformats.org/officeDocument/2006/relationships/hyperlink" Target="https://circuit.news/2024/02/22/the-daily-circuit-dubai-property-a-sellers-market-qatar-fishes-for-startups/" TargetMode="External"/><Relationship Id="rId174" Type="http://schemas.openxmlformats.org/officeDocument/2006/relationships/hyperlink" Target="https://www.bizpreneurme.com/prime-by-betterhomes-closes-dubais-biggest-leasing-deal-on-jumeirah-bay-island/" TargetMode="External"/><Relationship Id="rId38" Type="http://schemas.openxmlformats.org/officeDocument/2006/relationships/hyperlink" Target="https://circuit.news/2024/02/22/dubai-now-a-sellers-market-after-surge-in-property-transactions/" TargetMode="External"/><Relationship Id="rId173" Type="http://schemas.openxmlformats.org/officeDocument/2006/relationships/hyperlink" Target="https://www.zawya.com/en/press-release/companies-news/prime-by-betterhomes-closes-dubais-biggest-leasing-deal-on-jumeirah-bay-island-my5jhraj" TargetMode="External"/><Relationship Id="rId179" Type="http://schemas.openxmlformats.org/officeDocument/2006/relationships/hyperlink" Target="https://www.google.com/url?rct=j&amp;sa=t&amp;url=https://www.msn.com/en-ae/news/featured/dubai-villa-rented-out-for-dh155-million-a-year-in-emirates-largest-leasing-deal/ar-AA1smMdm&amp;ct=ga&amp;cd=CAAYATIaZjEwY2EzOWY3Y2Y0YjM2Yzpjb206ZW46VVM&amp;usg=AOvVaw1lcDVOR0VKJ83nhE332Vov" TargetMode="External"/><Relationship Id="rId178" Type="http://schemas.openxmlformats.org/officeDocument/2006/relationships/hyperlink" Target="https://bazaartimes.com/dubais-jumeira-bay-homes-set-new-record-with-annual-rental-of-4-2-million-and-high-value-sales/" TargetMode="External"/><Relationship Id="rId177" Type="http://schemas.openxmlformats.org/officeDocument/2006/relationships/hyperlink" Target="https://gulfnews.com/business/property/dubais-jumeira-bay-homes-set-new-record-including-one-for-dh155m-annual-rent-1.1729063442852" TargetMode="External"/><Relationship Id="rId20" Type="http://schemas.openxmlformats.org/officeDocument/2006/relationships/hyperlink" Target="https://www.thenationalnews.com/business/property/2024/01/24/dubai-developers-entice-new-buyers-with-favourable-payment-terms/" TargetMode="External"/><Relationship Id="rId22" Type="http://schemas.openxmlformats.org/officeDocument/2006/relationships/hyperlink" Target="https://whatson.ae/2024/01/uae-golden-visa-minimum-down-payment-no-longer-required-for-property-investors/" TargetMode="External"/><Relationship Id="rId21" Type="http://schemas.openxmlformats.org/officeDocument/2006/relationships/hyperlink" Target="https://www.thenationalnews.com/business/money/2024/01/24/golden-visa-dubai-property/" TargetMode="External"/><Relationship Id="rId24" Type="http://schemas.openxmlformats.org/officeDocument/2006/relationships/hyperlink" Target="https://www.investing.com/news/stock-market-news/analysisdubais-property-boom-shows-signs-of-fizzling-out-3283664" TargetMode="External"/><Relationship Id="rId23" Type="http://schemas.openxmlformats.org/officeDocument/2006/relationships/hyperlink" Target="http://investing.com/" TargetMode="External"/><Relationship Id="rId26" Type="http://schemas.openxmlformats.org/officeDocument/2006/relationships/hyperlink" Target="https://www.investing.com/news/stock-market-news/analysisdubais-property-boom-shows-signs-of-fizzling-out-3283664" TargetMode="External"/><Relationship Id="rId25" Type="http://schemas.openxmlformats.org/officeDocument/2006/relationships/hyperlink" Target="https://www.reuters.com/world/middle-east/dubais-property-boom-shows-signs-fizzling-out-2024-01-26/" TargetMode="External"/><Relationship Id="rId28" Type="http://schemas.openxmlformats.org/officeDocument/2006/relationships/hyperlink" Target="https://proiqra.com/dubais-real-estate-boom-shows-signs-of-faltering-business-finance-pi-news/" TargetMode="External"/><Relationship Id="rId27" Type="http://schemas.openxmlformats.org/officeDocument/2006/relationships/hyperlink" Target="https://irshadgul.com/dubai-property-boom-shows-signs-of-abating-business-finance-ig-news/" TargetMode="External"/><Relationship Id="rId29" Type="http://schemas.openxmlformats.org/officeDocument/2006/relationships/hyperlink" Target="https://www.gulf-times.com/article/676262/opinion/dubais-property-boom-shows-signs-of-fizzling-out" TargetMode="External"/><Relationship Id="rId11" Type="http://schemas.openxmlformats.org/officeDocument/2006/relationships/hyperlink" Target="https://www.khaleejtimes.com/hi/business/dubai-property-end-users-continue-to-rise" TargetMode="External"/><Relationship Id="rId10" Type="http://schemas.openxmlformats.org/officeDocument/2006/relationships/hyperlink" Target="https://www.veronicasuperguide.nl/nieuws/veronica-superguide-s-kijktips-voor-je-tv-avond-steenrijk-straatarm-dubai-buying-the-dream-en-dna-onbekend" TargetMode="External"/><Relationship Id="rId13" Type="http://schemas.openxmlformats.org/officeDocument/2006/relationships/hyperlink" Target="https://www.arabianbusiness.com/industries/real-estate/dubai-real-estate-property-sales-shatter-records-in-2023-with-over-120000-transactions-says-new-report" TargetMode="External"/><Relationship Id="rId12" Type="http://schemas.openxmlformats.org/officeDocument/2006/relationships/hyperlink" Target="https://www.zawya.com/en/business/real-estate/dubai-property-end-users-continue-to-rise-rhis0tpn" TargetMode="External"/><Relationship Id="rId15" Type="http://schemas.openxmlformats.org/officeDocument/2006/relationships/hyperlink" Target="https://www.thenationalnews.com/business/property/2024/01/20/one-cheque-payments-increasingly-common-in-dubai-rental-market/" TargetMode="External"/><Relationship Id="rId198" Type="http://schemas.openxmlformats.org/officeDocument/2006/relationships/hyperlink" Target="https://www.khaleejtimes.com/business/dubai-rentals-data-shows-demand-continuing-to-stay-strong" TargetMode="External"/><Relationship Id="rId14" Type="http://schemas.openxmlformats.org/officeDocument/2006/relationships/hyperlink" Target="https://lepetitjournal.com/dubai/logement/immobilier-dubai-ventes-immobilieres-records-2023-377186" TargetMode="External"/><Relationship Id="rId197" Type="http://schemas.openxmlformats.org/officeDocument/2006/relationships/hyperlink" Target="https://www.openpr.com/news/3731886/dubai-real-estate-market-roundup-october-2024" TargetMode="External"/><Relationship Id="rId17" Type="http://schemas.openxmlformats.org/officeDocument/2006/relationships/hyperlink" Target="https://www.bolnews.com/latest/2024/01/indians-top-dubai-real-estate-market-surpass-russians-for-first-time/" TargetMode="External"/><Relationship Id="rId196" Type="http://schemas.openxmlformats.org/officeDocument/2006/relationships/hyperlink" Target="https://www.khaleejtimes.com/business/realty/dubai-new-property-project-launches-continue-as-more-residents-look-to-own-homes" TargetMode="External"/><Relationship Id="rId16" Type="http://schemas.openxmlformats.org/officeDocument/2006/relationships/hyperlink" Target="https://www.zawya.com/en/business/real-estate/indians-russians-and-british-buyers-are-dubais-top-property-investors-in-2023-lq6layv5" TargetMode="External"/><Relationship Id="rId195" Type="http://schemas.openxmlformats.org/officeDocument/2006/relationships/hyperlink" Target="https://blog.jobxdubai.com/2024/11/09/dubai-property-owners-vs-tenants-income-gap-hits-dh13000-in-2024/" TargetMode="External"/><Relationship Id="rId19" Type="http://schemas.openxmlformats.org/officeDocument/2006/relationships/hyperlink" Target="https://www.thenationalnews.com/business/markets/2024/01/22/dubai-developer-deyaars-2023-profit-jumps-over-threefold-on-higher-revenue/" TargetMode="External"/><Relationship Id="rId18" Type="http://schemas.openxmlformats.org/officeDocument/2006/relationships/hyperlink" Target="https://www.brecorder.com/news/40285061" TargetMode="External"/><Relationship Id="rId199" Type="http://schemas.openxmlformats.org/officeDocument/2006/relationships/hyperlink" Target="https://www.msn.com/en-ae/money/news/dubai-rentals-data-shows-demand-continuing-to-stay-strong/ar-AA1ueoYF?ocid=finance-verthp-feeds" TargetMode="External"/><Relationship Id="rId84" Type="http://schemas.openxmlformats.org/officeDocument/2006/relationships/hyperlink" Target="https://www.khaleejtimes.com/uae/dubai-why-property-prices-rentals-will-continue-to-rise-next-year-also" TargetMode="External"/><Relationship Id="rId83" Type="http://schemas.openxmlformats.org/officeDocument/2006/relationships/hyperlink" Target="https://www.zawya.com/en/business/real-estate/dubai-why-property-prices-rentals-will-continue-to-rise-next-year-also-s7t8me42" TargetMode="External"/><Relationship Id="rId86" Type="http://schemas.openxmlformats.org/officeDocument/2006/relationships/hyperlink" Target="https://www.khaleejtimes.com/business/dubai-tenants-prefer-online-bank-payments-over-cheques-as-rents-rise" TargetMode="External"/><Relationship Id="rId85" Type="http://schemas.openxmlformats.org/officeDocument/2006/relationships/hyperlink" Target="https://menafn.com/1108149482/Dubai-Tenants-Prefer-Online-Bank-Payments-Over-Cheques-As-Rents-Rise" TargetMode="External"/><Relationship Id="rId88" Type="http://schemas.openxmlformats.org/officeDocument/2006/relationships/hyperlink" Target="https://www.zawya.com/en/business/real-estate/dubai-some-landlords-seek-minimum-lease-duration-as-rentals-continue-upward-trend-kuh2n3l1" TargetMode="External"/><Relationship Id="rId150" Type="http://schemas.openxmlformats.org/officeDocument/2006/relationships/hyperlink" Target="https://www.khaleejtimes.com/business/realty/dubai-why-more-landlords-asking-tenants-to-vacate-properties" TargetMode="External"/><Relationship Id="rId87" Type="http://schemas.openxmlformats.org/officeDocument/2006/relationships/hyperlink" Target="https://www.khaleejtimes.com/business/realty/dubai-some-landlords-seek-minimum-lease-duration-as-rentals-continue-upward-trend" TargetMode="External"/><Relationship Id="rId89" Type="http://schemas.openxmlformats.org/officeDocument/2006/relationships/hyperlink" Target="https://www.zawya.com/en/business/real-estate/dubai-tenants-prefer-online-bank-payments-over-cheques-as-rents-rise-nhzntvtp" TargetMode="External"/><Relationship Id="rId80" Type="http://schemas.openxmlformats.org/officeDocument/2006/relationships/hyperlink" Target="https://www.bloomberg.com/news/articles/2024-04-22/russians-transform-dubai-as-they-flee-putin-s-war-photo-essay" TargetMode="External"/><Relationship Id="rId82" Type="http://schemas.openxmlformats.org/officeDocument/2006/relationships/hyperlink" Target="https://www.arabianbusiness.com/industries/real-estate/dubai-real-estate-property-market-shatters-records-with-over-30000-transactions-in-q1-2024" TargetMode="External"/><Relationship Id="rId81" Type="http://schemas.openxmlformats.org/officeDocument/2006/relationships/hyperlink" Target="https://www.khaleejtimes.com/uae/uae-landlords-developers-to-bear-primary-cost-for-property-damages-after-extreme-weather" TargetMode="External"/><Relationship Id="rId1" Type="http://schemas.openxmlformats.org/officeDocument/2006/relationships/hyperlink" Target="https://www.constructionweekonline.com/analysis/the-next-wave-top-dubai-real-estate-trends-forecasted-in-2024" TargetMode="External"/><Relationship Id="rId2" Type="http://schemas.openxmlformats.org/officeDocument/2006/relationships/hyperlink" Target="https://www.arabianbusiness.com/industries/real-estate/dubai-real-estate-should-you-buy-a-timeshare-experts-weigh-in?utm_source=onesignal&amp;utm_medium=push-notification&amp;utm_campaign=pushnotification-traffic" TargetMode="External"/><Relationship Id="rId3" Type="http://schemas.openxmlformats.org/officeDocument/2006/relationships/hyperlink" Target="https://www.veronicasuperguide.nl/tv-tips/dubai-buying-the-dream?referrer=https%3A%2F%2Fwww.google.com%2F" TargetMode="External"/><Relationship Id="rId149" Type="http://schemas.openxmlformats.org/officeDocument/2006/relationships/hyperlink" Target="https://www.khaleejtimes.com/business/realty/revealed-dubai-areas-where-tenants-still-pay-less-than-rera-rental-index-rates" TargetMode="External"/><Relationship Id="rId4" Type="http://schemas.openxmlformats.org/officeDocument/2006/relationships/hyperlink" Target="https://www.businessinsider.in/personal-finance/news/the-indian-rich-is-buying-property-in-dubai-tax-benefits-to-rental-yields-the-driving-forces-at-play/articleshow/106767921.cms" TargetMode="External"/><Relationship Id="rId148" Type="http://schemas.openxmlformats.org/officeDocument/2006/relationships/hyperlink" Target="https://menafn.com/1108492296/Dubai-Tenants-In-Some-Areas-Still-Pay-Less-Than-Rera-Rental-Index" TargetMode="External"/><Relationship Id="rId9" Type="http://schemas.openxmlformats.org/officeDocument/2006/relationships/hyperlink" Target="https://minfin.com.ua/ua/2024/01/16/119753042/" TargetMode="External"/><Relationship Id="rId143" Type="http://schemas.openxmlformats.org/officeDocument/2006/relationships/hyperlink" Target="https://www.arabianbusiness.com/industries/real-estate/dubai-real-estate-office-market-shows-resilience-as-demand-outpaces-supply" TargetMode="External"/><Relationship Id="rId142" Type="http://schemas.openxmlformats.org/officeDocument/2006/relationships/hyperlink" Target="https://property.constructionweekonline.com/dubai-want-to-invest-in-an-off-plan-property-here-are-the-top-areas-to-consider/" TargetMode="External"/><Relationship Id="rId141" Type="http://schemas.openxmlformats.org/officeDocument/2006/relationships/hyperlink" Target="https://www.arabianbusiness.com/industries/real-estate/dubai-real-estate-off-plan-property-market-hits-14-1bn-in-q2-2024" TargetMode="External"/><Relationship Id="rId140" Type="http://schemas.openxmlformats.org/officeDocument/2006/relationships/hyperlink" Target="https://menafn.com/1108464789/UAE-More-Landlords-Ask-Tenants-To-Pay-For-Repairs-Maintenance-Cost" TargetMode="External"/><Relationship Id="rId5" Type="http://schemas.openxmlformats.org/officeDocument/2006/relationships/hyperlink" Target="https://www.mansionglobal.com/articles/mansion-global-daily-tinder-co-founder-selling-modern-los-angeles-mansion-e5ce92bb" TargetMode="External"/><Relationship Id="rId147" Type="http://schemas.openxmlformats.org/officeDocument/2006/relationships/hyperlink" Target="https://www.thenationalnews.com/business/property/2024/07/27/dubai-set-to-record-handover-of-38174-new-homes-this-year/" TargetMode="External"/><Relationship Id="rId6" Type="http://schemas.openxmlformats.org/officeDocument/2006/relationships/hyperlink" Target="https://www.zawya.com/en/press-release/people-in-the-news/chestertons-mena-appoints-rachel-soriano-as-director-of-training-and-development-o6fpwo0i" TargetMode="External"/><Relationship Id="rId146" Type="http://schemas.openxmlformats.org/officeDocument/2006/relationships/hyperlink" Target="https://menafn.com/1108472948/Dubais-Office-Sector-Sees-20000-Sqm-Added-In-The-Second-Quarter" TargetMode="External"/><Relationship Id="rId7" Type="http://schemas.openxmlformats.org/officeDocument/2006/relationships/hyperlink" Target="https://www.gdnonline.com/Details/1300467" TargetMode="External"/><Relationship Id="rId145" Type="http://schemas.openxmlformats.org/officeDocument/2006/relationships/hyperlink" Target="https://www.khaleejtimes.com/business/realty/dubais-office-sector-sees-20000-sqm-added-in-the-second-quarter" TargetMode="External"/><Relationship Id="rId8" Type="http://schemas.openxmlformats.org/officeDocument/2006/relationships/hyperlink" Target="http://minfin.com.ua/" TargetMode="External"/><Relationship Id="rId144" Type="http://schemas.openxmlformats.org/officeDocument/2006/relationships/hyperlink" Target="https://www.constructionweekonline.com/business/top-5-locations-for-offices-dubai" TargetMode="External"/><Relationship Id="rId73" Type="http://schemas.openxmlformats.org/officeDocument/2006/relationships/hyperlink" Target="https://arabianbusiness.com/industries/real-estate/dubai-real-estate-best-property-type-to-sell-in-2024-experts-reveal" TargetMode="External"/><Relationship Id="rId72" Type="http://schemas.openxmlformats.org/officeDocument/2006/relationships/hyperlink" Target="https://www.msn.com/en-in/money/topstories/why-are-indians-keen-to-acquire-expensive-properties-in-dubai-and-london/ar-BB1lcYQF" TargetMode="External"/><Relationship Id="rId75" Type="http://schemas.openxmlformats.org/officeDocument/2006/relationships/hyperlink" Target="https://curlytales.com/this-april-dubais-burj-khalifa-will-host-its-first-boxing-event-at-the-armani-pavilion/" TargetMode="External"/><Relationship Id="rId74" Type="http://schemas.openxmlformats.org/officeDocument/2006/relationships/hyperlink" Target="https://whatson.ae/2024/04/the-first-boxing-event-is-taking-place-at-burj-khalifa-this-april/" TargetMode="External"/><Relationship Id="rId77" Type="http://schemas.openxmlformats.org/officeDocument/2006/relationships/hyperlink" Target="https://www.arabianbusiness.com/industries/real-estate/dubai-real-estate-indian-investors-spark-new-round-of-growth-in-property-market-driven-by-5-year-visit-visa" TargetMode="External"/><Relationship Id="rId76" Type="http://schemas.openxmlformats.org/officeDocument/2006/relationships/hyperlink" Target="https://www.siasat.com/dubais-burj-khalifa-set-to-host-1st-ever-boxing-event-on-april-21-3006904/" TargetMode="External"/><Relationship Id="rId79" Type="http://schemas.openxmlformats.org/officeDocument/2006/relationships/hyperlink" Target="https://ca.movies.yahoo.com/movies/dubai-boom-sees-russian-cash-071659155.html?guccounter=1&amp;guce_referrer=aHR0cHM6Ly93d3cuZ29vZ2xlLmNvbS8&amp;guce_referrer_sig=AQAAAAksfQY9lqCVuzDxRNuQ6bntXNfTntSlpG9B9Pc8Qyseiy1edDZ2i3eKN9M05DcF9V6jpIerCaDu00Y2AIXEeXb_YoeS4hWDrH3agmrBNQDKoNy-I8Rgtt8Sg8dcRChIsfFRvd0mzNZrbuSBVXH3L6v-AvC53XrDOpVoKsHlD6kl" TargetMode="External"/><Relationship Id="rId78" Type="http://schemas.openxmlformats.org/officeDocument/2006/relationships/hyperlink" Target="https://www.agbi.com/analysis/real-estate/2024/04/dubai-rising-prices-risk-making-homes-unattainable-many/" TargetMode="External"/><Relationship Id="rId71" Type="http://schemas.openxmlformats.org/officeDocument/2006/relationships/hyperlink" Target="http://msn.com/" TargetMode="External"/><Relationship Id="rId70" Type="http://schemas.openxmlformats.org/officeDocument/2006/relationships/hyperlink" Target="https://www.agbi.com/analysis/real-estate/2024/04/dubai-developers-tempt-off-plan-buyers-with-1-percent-payment/" TargetMode="External"/><Relationship Id="rId139" Type="http://schemas.openxmlformats.org/officeDocument/2006/relationships/hyperlink" Target="https://www.khaleejtimes.com/business/uae-landlords-increasingly-ask-tenants-to-pay-for-repairs-maintenance-cost" TargetMode="External"/><Relationship Id="rId138" Type="http://schemas.openxmlformats.org/officeDocument/2006/relationships/hyperlink" Target="https://www.arabianbusiness.com/industries/real-estate/dubai-real-estate-property-market-records-48-increase-in-q2-2024-transactions" TargetMode="External"/><Relationship Id="rId137" Type="http://schemas.openxmlformats.org/officeDocument/2006/relationships/hyperlink" Target="https://www.arabianbusiness.com/industries/real-estate/dubai-real-estate-how-new-bank-mortgage-options-make-buying-property-easier-than-ever-with-reduced-lump-sum-burden" TargetMode="External"/><Relationship Id="rId132" Type="http://schemas.openxmlformats.org/officeDocument/2006/relationships/hyperlink" Target="https://www.arabianbusiness.com/industries/real-estate/dubai-real-estate-off-plan-villa-sales-skyrocket-209-mom-in-may-apartments-up-38-55" TargetMode="External"/><Relationship Id="rId131" Type="http://schemas.openxmlformats.org/officeDocument/2006/relationships/hyperlink" Target="https://menafn.com/1108369619/Dubai-Now-Own-A-Home-On-The-Palm-Downtown-For-Just-Dh200000-Heres-How" TargetMode="External"/><Relationship Id="rId130" Type="http://schemas.openxmlformats.org/officeDocument/2006/relationships/hyperlink" Target="https://www.khaleejtimes.com/uae/dubai-rents-set-to-jump-10-in-remainder-of-2024" TargetMode="External"/><Relationship Id="rId136" Type="http://schemas.openxmlformats.org/officeDocument/2006/relationships/hyperlink" Target="https://property.constructionweekonline.com/dubai-want-to-buy-an-off-plan-property-banks-have-made-it-easier/" TargetMode="External"/><Relationship Id="rId135" Type="http://schemas.openxmlformats.org/officeDocument/2006/relationships/hyperlink" Target="https://menafn.com/1108395395/Dubai-Residents-Investors-Opt-For-Off-Plan-Units-Due-To-Lack-Of-Affordable-Listing" TargetMode="External"/><Relationship Id="rId134" Type="http://schemas.openxmlformats.org/officeDocument/2006/relationships/hyperlink" Target="https://www.khaleejtimes.com/business/dubai-residents-investors-opt-for-off-plan-units-due-to-lack-of-affordable-listing" TargetMode="External"/><Relationship Id="rId133" Type="http://schemas.openxmlformats.org/officeDocument/2006/relationships/hyperlink" Target="https://www.zawya.com/en/press-release/research-and-studies/villa-transactions-boost-off-plan-market-in-may-2024-gsudzv1l" TargetMode="External"/><Relationship Id="rId62" Type="http://schemas.openxmlformats.org/officeDocument/2006/relationships/hyperlink" Target="https://www.agbi.com/real-estate/2024/03/dubai-mortgage-holders-squeezed-by-end-of-low-fixed-rates/" TargetMode="External"/><Relationship Id="rId61" Type="http://schemas.openxmlformats.org/officeDocument/2006/relationships/hyperlink" Target="https://gulfnews.com/business/property/sharjahs-new-draft-property-law-will-a-rental-index-replace-current-leasing-terms-1.1710821855670" TargetMode="External"/><Relationship Id="rId64" Type="http://schemas.openxmlformats.org/officeDocument/2006/relationships/hyperlink" Target="https://www.linkedin.com/feed/update/urn:li:activity:7176805898206470145/" TargetMode="External"/><Relationship Id="rId63" Type="http://schemas.openxmlformats.org/officeDocument/2006/relationships/hyperlink" Target="https://www.financemiddleeast.com/dubais-top-11-high-yield-investment-hotspots-unveiled/" TargetMode="External"/><Relationship Id="rId66" Type="http://schemas.openxmlformats.org/officeDocument/2006/relationships/hyperlink" Target="https://www.agbi.com/analysis/real-estate/2024/03/what-dubais-united-nations-of-property-buyers-want/" TargetMode="External"/><Relationship Id="rId172" Type="http://schemas.openxmlformats.org/officeDocument/2006/relationships/hyperlink" Target="https://www.khaleejtimes.com/business/realty/largest-ever-leasing-deal-in-dubai-property-successfully-closed" TargetMode="External"/><Relationship Id="rId65" Type="http://schemas.openxmlformats.org/officeDocument/2006/relationships/hyperlink" Target="https://www.khaleejtimes.com/uae/dubai-rent-free-months-other-incentives-dwindle-for-tenants-amid-high-occupancy" TargetMode="External"/><Relationship Id="rId171" Type="http://schemas.openxmlformats.org/officeDocument/2006/relationships/hyperlink" Target="https://www.mansionglobal.com/articles/jumeirah-bay-island-mansion-sets-rental-record-in-dubai-fc725df3" TargetMode="External"/><Relationship Id="rId68" Type="http://schemas.openxmlformats.org/officeDocument/2006/relationships/hyperlink" Target="https://www.bloomberg.com/news/articles/2024-03-28/dubai-s-glitz-dims-for-russians-on-costs-us-sanction-pressures" TargetMode="External"/><Relationship Id="rId170" Type="http://schemas.openxmlformats.org/officeDocument/2006/relationships/hyperlink" Target="https://in.tradingview.com/news/reuters.com,2024-10-15:newsml_Zaw8MtRMC:0-pressr-prime-by-betterhomes-closes-dubai-s-biggest-leasing-deal-on-jumeirah-bay-island/" TargetMode="External"/><Relationship Id="rId67" Type="http://schemas.openxmlformats.org/officeDocument/2006/relationships/hyperlink" Target="https://property.constructionweekonline.com/cw-property-presents-cityscape-conversation-betterhomes-louis-harding-confirmed-as-a-speaker/" TargetMode="External"/><Relationship Id="rId60" Type="http://schemas.openxmlformats.org/officeDocument/2006/relationships/hyperlink" Target="https://www.khaleejtimes.com/business/realty/dubai-5-most-attractive-off-plan-investment-opportunities-in-2024-revealed" TargetMode="External"/><Relationship Id="rId165" Type="http://schemas.openxmlformats.org/officeDocument/2006/relationships/hyperlink" Target="https://economymiddleeast.com/news/dubai-real-estate-market-why-wealthy-indians-choose-to-invest/" TargetMode="External"/><Relationship Id="rId69" Type="http://schemas.openxmlformats.org/officeDocument/2006/relationships/hyperlink" Target="https://www.osoulmisrmagazine.com/376544" TargetMode="External"/><Relationship Id="rId164" Type="http://schemas.openxmlformats.org/officeDocument/2006/relationships/hyperlink" Target="https://economymiddleeast.com/news/dubai-real-estate-market-why-wealthy-indians-choose-to-invest/" TargetMode="External"/><Relationship Id="rId163" Type="http://schemas.openxmlformats.org/officeDocument/2006/relationships/hyperlink" Target="https://www.arabianbusiness.com/industries/real-estate/dubailand-vs-dubai-creek-harbour-how-much-real-estate-can-you-buy-for-1mn" TargetMode="External"/><Relationship Id="rId162" Type="http://schemas.openxmlformats.org/officeDocument/2006/relationships/hyperlink" Target="https://www.bnnbloomberg.ca/business/company-news/2024/09/29/a-7000-year-old-city-emerges-as-a-haven-from-dubais-sky-high-rents/" TargetMode="External"/><Relationship Id="rId169" Type="http://schemas.openxmlformats.org/officeDocument/2006/relationships/hyperlink" Target="https://www.khaleejtimes.com/business/realty/largest-ever-leasing-deal-in-dubai-property-successfully-closed" TargetMode="External"/><Relationship Id="rId168" Type="http://schemas.openxmlformats.org/officeDocument/2006/relationships/hyperlink" Target="https://www.arabianbusiness.com/industries/real-estate/dubai-real-estate-demand-expected-to-spike-as-renters-look-to-buy-report" TargetMode="External"/><Relationship Id="rId167" Type="http://schemas.openxmlformats.org/officeDocument/2006/relationships/hyperlink" Target="https://thefinanceworld.com/betterhomes-partners-with-propertybox-to-enhance-real-estate-marketing/" TargetMode="External"/><Relationship Id="rId166" Type="http://schemas.openxmlformats.org/officeDocument/2006/relationships/hyperlink" Target="https://www.arabianbusiness.com/industries/real-estate/betterhomes-partners-with-propertybox-to-elevate-real-estate-marketing-in-uae" TargetMode="External"/><Relationship Id="rId51" Type="http://schemas.openxmlformats.org/officeDocument/2006/relationships/hyperlink" Target="https://www.thenationalnews.com/business/property/2024/03/09/dubai-tenants-face-higher-rents-after-rera-calculator-reset/" TargetMode="External"/><Relationship Id="rId50" Type="http://schemas.openxmlformats.org/officeDocument/2006/relationships/hyperlink" Target="https://www.samaa.tv/2087310962-dubai-revised-rents-leave-landlords-happy-tenants-sad" TargetMode="External"/><Relationship Id="rId53" Type="http://schemas.openxmlformats.org/officeDocument/2006/relationships/hyperlink" Target="https://www.zawya.com/en/press-release/events-and-conferences/bayut-recognises-the-real-heroes-of-real-estate-at-the-bayut-awards-2023-o8x8amf8" TargetMode="External"/><Relationship Id="rId52" Type="http://schemas.openxmlformats.org/officeDocument/2006/relationships/hyperlink" Target="https://www.agbi.com/analysis/food-drink/2024/03/uae-businesses-dispute-predicted-ramadan-downturn/" TargetMode="External"/><Relationship Id="rId55" Type="http://schemas.openxmlformats.org/officeDocument/2006/relationships/hyperlink" Target="https://easternherald.com/2024/03/12/indians-largest-real-estate-investors-dubai/" TargetMode="External"/><Relationship Id="rId161" Type="http://schemas.openxmlformats.org/officeDocument/2006/relationships/hyperlink" Target="https://www.arabianbusiness.com/industries/real-estate/dubai-real-estate-property-prices-set-to-rise-in-2024-survey-reveals" TargetMode="External"/><Relationship Id="rId54" Type="http://schemas.openxmlformats.org/officeDocument/2006/relationships/hyperlink" Target="https://www.dubaichronicle.com/2024/03/12/sterling-capital-real-estate-announces-its-premier-launch-in-dubai/" TargetMode="External"/><Relationship Id="rId160" Type="http://schemas.openxmlformats.org/officeDocument/2006/relationships/hyperlink" Target="https://www.khaleejtimes.com/business/realty/dubai-property-owners-earn-dh13000-more-than-tenants-reveals-report" TargetMode="External"/><Relationship Id="rId57" Type="http://schemas.openxmlformats.org/officeDocument/2006/relationships/hyperlink" Target="https://www.arabianbusiness.com/industries/real-estate/dubai-real-estate-should-you-invest-in-a-villa-townhouse-or-apartment-in-2024-experts-weigh-in" TargetMode="External"/><Relationship Id="rId56" Type="http://schemas.openxmlformats.org/officeDocument/2006/relationships/hyperlink" Target="https://www.khaleejtimes.com/business/realty/dubai-golden-visa-demand-prompts-investors-to-raise-budget-developers-to-increase-unit-sizes" TargetMode="External"/><Relationship Id="rId159" Type="http://schemas.openxmlformats.org/officeDocument/2006/relationships/hyperlink" Target="https://www.khaleejtimes.com/business/realty/dubai-slight-drop-in-off-plan-property-prices-as-investors-move-to-ready-properties" TargetMode="External"/><Relationship Id="rId59" Type="http://schemas.openxmlformats.org/officeDocument/2006/relationships/hyperlink" Target="https://menafn.com/1107986712/Dubai-5-Most-Attractive-Off-Plan-Investment-Opportunities-In-2024-Revealed" TargetMode="External"/><Relationship Id="rId154" Type="http://schemas.openxmlformats.org/officeDocument/2006/relationships/hyperlink" Target="https://www.zawya.com/en/press-release/companies-news/dubai-real-estate-market-hits-new-heights-in-august-2024-psymw6xh" TargetMode="External"/><Relationship Id="rId58" Type="http://schemas.openxmlformats.org/officeDocument/2006/relationships/hyperlink" Target="https://www.zawya.com/en/business/real-estate/dubai-5-most-attractive-off-plan-investment-opportunities-in-2024-revealed-e8lr69xq" TargetMode="External"/><Relationship Id="rId153" Type="http://schemas.openxmlformats.org/officeDocument/2006/relationships/hyperlink" Target="https://www.thenationalnews.com/business/property/2024/09/04/dubais-burj-azizi-tower-set-to-be-worlds-second-tallest/" TargetMode="External"/><Relationship Id="rId152" Type="http://schemas.openxmlformats.org/officeDocument/2006/relationships/hyperlink" Target="https://www.arabianbusiness.com/industries/real-estate/dubai-real-estate-how-much-should-you-earn-to-buy-property-worth-1-million" TargetMode="External"/><Relationship Id="rId151" Type="http://schemas.openxmlformats.org/officeDocument/2006/relationships/hyperlink" Target="https://www.arabianbusiness.com/industries/real-estate/dubai-real-estate-off-plan-property-market-surges-to-60-of-total-transactions-in-july-2024" TargetMode="External"/><Relationship Id="rId158" Type="http://schemas.openxmlformats.org/officeDocument/2006/relationships/hyperlink" Target="https://www.arabianbusiness.com/industries/real-estate/dubai-real-estate-off-plan-property-prices-stabilise-after-2023-boom-says-new-report?utm_medium=email&amp;utm_medium=email&amp;utm_campaign=Is%20TikTok%20the%20new%20LinkedIn%20Dubai%20off-plan%20property%20prices%20stabilise%20Saudi%20to%20create%2011000%20new%20jobs%20083002%20AM&amp;utm_content=Is%20TikTok%20the%20new%20LinkedIn%20Dubai%20off-plan%20property%20prices%20stabilise%20Saudi%20to%20create%2011000%20new%20jobs%20083002%20AM+CID_125c3ce734e03d1252d65fb1f313b0b5&amp;utm_source=Newsletters&amp;utm_term=Dubai%20real%20estate%20Off-Plan%20property%20prices%20stabilise%20after%202023%20boom%20says%20new%20report" TargetMode="External"/><Relationship Id="rId157" Type="http://schemas.openxmlformats.org/officeDocument/2006/relationships/hyperlink" Target="https://www.agbi.com/real-estate/2024/09/prices-stabilise-dubai-off-plan-market-supply-grows/" TargetMode="External"/><Relationship Id="rId156" Type="http://schemas.openxmlformats.org/officeDocument/2006/relationships/hyperlink" Target="https://www.khaleejtimes.com/business/realty/dubai-most-villa-community-prices-more-than-double-in-four-years" TargetMode="External"/><Relationship Id="rId155" Type="http://schemas.openxmlformats.org/officeDocument/2006/relationships/hyperlink" Target="https://www.arabianbusiness.com/industries/real-estate/dubai-real-estate-property-sales-hit-10-4bn-in-august-says-new-report" TargetMode="External"/><Relationship Id="rId107" Type="http://schemas.openxmlformats.org/officeDocument/2006/relationships/hyperlink" Target="https://menafn.com/1108237578/Dubai-Gap-Between-Asking-And-Bid-Rates-Widens-As-Landlords-Raise-Rents" TargetMode="External"/><Relationship Id="rId106" Type="http://schemas.openxmlformats.org/officeDocument/2006/relationships/hyperlink" Target="https://menafn.com/1108232128/Dubai-Tenants-Opt-For-Smaller-Flats-Within-City-Amid-Record-High-Rents-Growing-Demand" TargetMode="External"/><Relationship Id="rId105" Type="http://schemas.openxmlformats.org/officeDocument/2006/relationships/hyperlink" Target="https://www.zawya.com/en/business/real-estate/dubai-tenants-opt-for-smaller-flats-within-city-amid-record-high-rents-growing-demand-om76s46k" TargetMode="External"/><Relationship Id="rId104" Type="http://schemas.openxmlformats.org/officeDocument/2006/relationships/hyperlink" Target="https://www.khaleejtimes.com/uae/dubai-tenants-opt-for-smaller-flats-within-city-amid-record-high-rents-growing-demand" TargetMode="External"/><Relationship Id="rId109" Type="http://schemas.openxmlformats.org/officeDocument/2006/relationships/hyperlink" Target="https://en-news.akhbrna.co/uae-news/tenants-in-dubai-are-resorting-to" TargetMode="External"/><Relationship Id="rId108" Type="http://schemas.openxmlformats.org/officeDocument/2006/relationships/hyperlink" Target="http://akhbrna.co" TargetMode="External"/><Relationship Id="rId103" Type="http://schemas.openxmlformats.org/officeDocument/2006/relationships/hyperlink" Target="https://property.constructionweekonline.com/indian-investors-drive-dubai-real-estate-boom/" TargetMode="External"/><Relationship Id="rId102" Type="http://schemas.openxmlformats.org/officeDocument/2006/relationships/hyperlink" Target="https://www.brecorder.com/news/40303406" TargetMode="External"/><Relationship Id="rId101" Type="http://schemas.openxmlformats.org/officeDocument/2006/relationships/hyperlink" Target="https://menafn.com/1108203482/Dubai-New-Office-Spaces-Being-Pre-Leased-As-Demand-Outstrips-Supply" TargetMode="External"/><Relationship Id="rId100" Type="http://schemas.openxmlformats.org/officeDocument/2006/relationships/hyperlink" Target="https://www.arabianbusiness.com/industries/real-estate/dubai-real-estate-commercial-property-market-sees-growth-in-q1-2024" TargetMode="External"/><Relationship Id="rId217" Type="http://schemas.openxmlformats.org/officeDocument/2006/relationships/hyperlink" Target="https://economymiddleeast.com/news/dubai-real-estate-market-5-trends-investors-need-to-know-in-2025/" TargetMode="External"/><Relationship Id="rId216" Type="http://schemas.openxmlformats.org/officeDocument/2006/relationships/hyperlink" Target="https://www.msn.com/en-ae/news/featured/dubai-high-demand-for-12-bedroom-apartments-amid-rising-rents/ar-AA1wj4Cf" TargetMode="External"/><Relationship Id="rId215" Type="http://schemas.openxmlformats.org/officeDocument/2006/relationships/hyperlink" Target="https://www.khaleejtimes.com/business/realty/dubai-high-demand-for-12-bedroom-apartments-amid-rising-rents" TargetMode="External"/><Relationship Id="rId214" Type="http://schemas.openxmlformats.org/officeDocument/2006/relationships/hyperlink" Target="https://www.khaleejtimes.com/business/realty/rents-in-dubai-tenants-in-older-buildings-may-be-able-to-negotiate-rentals-with-landlords" TargetMode="External"/><Relationship Id="rId219" Type="http://schemas.openxmlformats.org/officeDocument/2006/relationships/drawing" Target="../drawings/drawing9.xml"/><Relationship Id="rId218" Type="http://schemas.openxmlformats.org/officeDocument/2006/relationships/hyperlink" Target="https://www.khaleejtimes.com/business/realty/dubai-what-key-trends-will-drive-the-property-market-in-2025" TargetMode="External"/><Relationship Id="rId213" Type="http://schemas.openxmlformats.org/officeDocument/2006/relationships/hyperlink" Target="https://www.arabianbusiness.com/industries/real-estate/dubai-reits-take-off-as-investors-seek-lower-cost-entry-to-emirates-booming-property-market-experts?utm_medium=email&amp;utm_medium=email&amp;utm_campaign=Dubai%20REITs%20take%20off%20Major%20UAE%20VAT%20rule%20changes%20NEOM%20invests%20in%20construction%20robots%20091803%20AM&amp;utm_content=Dubai%20REITs%20take%20off%20Major%20UAE%20VAT%20rule%20changes%20NEOM%20invests%20in%20construction%20robots%20091803%20AM+CID_97a2c878e27541f582c03fa94aae1823&amp;utm_source=Newsletters&amp;utm_term=Dubai%20REITs%20take%20off%20as%20investors%20seek%20lower%20cost%20entry%20to%20emirates%20booming%20property%20market%20Experts" TargetMode="External"/><Relationship Id="rId212" Type="http://schemas.openxmlformats.org/officeDocument/2006/relationships/hyperlink" Target="https://www.khaleejtimes.com/business/realty/dubai-rents-to-increase-in-2025-which-areas-will-see-a-hike-in-rentals" TargetMode="External"/><Relationship Id="rId211" Type="http://schemas.openxmlformats.org/officeDocument/2006/relationships/hyperlink" Target="https://www.khaleejtimes.com/business/dubai-emerges-as-the-global-real-estate-standout-against-london-and-new-york" TargetMode="External"/><Relationship Id="rId210" Type="http://schemas.openxmlformats.org/officeDocument/2006/relationships/hyperlink" Target="https://www.pressreader.com/uae/khaleej-times/20241209/281689735393222" TargetMode="External"/><Relationship Id="rId129" Type="http://schemas.openxmlformats.org/officeDocument/2006/relationships/hyperlink" Target="https://menafn.com/1108361510/Revealed-Who-Will-Invest-In-Dubais-Property-Market-In-Future-And-Why" TargetMode="External"/><Relationship Id="rId128" Type="http://schemas.openxmlformats.org/officeDocument/2006/relationships/hyperlink" Target="https://www.thenationalnews.com/business/property/2024/06/22/ultra-wealthy-snap-up-dubais-luxury-properties-seeking-better-value-for-money/" TargetMode="External"/><Relationship Id="rId127" Type="http://schemas.openxmlformats.org/officeDocument/2006/relationships/hyperlink" Target="https://enews.alwast.net/business/dubai-rent-crosses-dh1-million-per" TargetMode="External"/><Relationship Id="rId126" Type="http://schemas.openxmlformats.org/officeDocument/2006/relationships/hyperlink" Target="https://www.thenationalnews.com/business/property/2024/06/22/ultra-wealthy-snap-up-dubais-luxury-properties-seeking-better-value-for-money/" TargetMode="External"/><Relationship Id="rId121" Type="http://schemas.openxmlformats.org/officeDocument/2006/relationships/hyperlink" Target="https://www.arabianbusiness.com/industries/real-estate/dubai-real-estate-the-best-areas-to-buy-to-rent-property-according-to-experts" TargetMode="External"/><Relationship Id="rId120" Type="http://schemas.openxmlformats.org/officeDocument/2006/relationships/hyperlink" Target="https://www.thenationalnews.com/business/money/2024/06/07/money-me-my-first-commission-in-dubai-was-more-than-a-nurses-annual-salary-in-the-uk/" TargetMode="External"/><Relationship Id="rId125" Type="http://schemas.openxmlformats.org/officeDocument/2006/relationships/hyperlink" Target="https://gulfnews.com/business/property/sharjahs-existing-3-year-rent-freeze-rule-proves-big-hit-with-tenants-seeking-relocations-1.1718945276737" TargetMode="External"/><Relationship Id="rId124" Type="http://schemas.openxmlformats.org/officeDocument/2006/relationships/hyperlink" Target="https://menafn.com/1108355063/Dubai-Sees-270-Properties-Rented-For-More-Than-Dh1-Million-In-2024" TargetMode="External"/><Relationship Id="rId123" Type="http://schemas.openxmlformats.org/officeDocument/2006/relationships/hyperlink" Target="https://menafn.com/1108339294/Dubai-Remains-Top-Draw-For-Super-Rich" TargetMode="External"/><Relationship Id="rId122" Type="http://schemas.openxmlformats.org/officeDocument/2006/relationships/hyperlink" Target="https://www.khaleejtimes.com/business/realty/dubai-remains-top-draw-for-super-rich" TargetMode="External"/><Relationship Id="rId95" Type="http://schemas.openxmlformats.org/officeDocument/2006/relationships/hyperlink" Target="https://www.arabianbusiness.com/industries/real-estate/dubai-real-estate-jvc-dubai-marina-popularity-booms-as-british-buyers-hunt-for-affordable-apartments" TargetMode="External"/><Relationship Id="rId94" Type="http://schemas.openxmlformats.org/officeDocument/2006/relationships/hyperlink" Target="https://property.constructionweekonline.com/why-are-dubai-buyers-snapping-up-homes-worth-millions-in-record-time/" TargetMode="External"/><Relationship Id="rId97" Type="http://schemas.openxmlformats.org/officeDocument/2006/relationships/hyperlink" Target="https://www.zawya.com/en/press-release/research-and-studies/crc-reveals-top-office-areas-in-q1-2024-jls7jcgj" TargetMode="External"/><Relationship Id="rId96" Type="http://schemas.openxmlformats.org/officeDocument/2006/relationships/hyperlink" Target="https://ca.movies.yahoo.com/finance/news/russias-mts-bank-uae-licence-093910337.html" TargetMode="External"/><Relationship Id="rId99" Type="http://schemas.openxmlformats.org/officeDocument/2006/relationships/hyperlink" Target="https://property.constructionweekonline.com/revealed-top-4-locations-driving-office-demand-in-dubai/" TargetMode="External"/><Relationship Id="rId98" Type="http://schemas.openxmlformats.org/officeDocument/2006/relationships/hyperlink" Target="https://www.arabianbusiness.com/industries/real-estate/dubai-residents-stop-renting-start-buying-as-mortgage-payments-start-to-match-rental-costs-experts" TargetMode="External"/><Relationship Id="rId91" Type="http://schemas.openxmlformats.org/officeDocument/2006/relationships/hyperlink" Target="https://menafn.com/1108168001/UAE-New-Airport-Plan-To-Drive-Property-Demand-Prices-In-Dubai-South" TargetMode="External"/><Relationship Id="rId90" Type="http://schemas.openxmlformats.org/officeDocument/2006/relationships/hyperlink" Target="https://www.arabianbusiness.com/industries/real-estate/dubai-real-estate-british-investors-overtake-indians-russians-in-record-numbers-as-they-flock-to-uae-for-golden-visas-tax-free-luxury-living" TargetMode="External"/><Relationship Id="rId93" Type="http://schemas.openxmlformats.org/officeDocument/2006/relationships/hyperlink" Target="https://www.zawya.com/en/business/real-estate/uae-new-airport-plan-to-drive-property-demand-prices-in-dubai-south-adz9afik" TargetMode="External"/><Relationship Id="rId92" Type="http://schemas.openxmlformats.org/officeDocument/2006/relationships/hyperlink" Target="https://www.khaleejtimes.com/uae/uae-new-airport-plan-to-to-drive-property-demand-prices-in-dubai-south" TargetMode="External"/><Relationship Id="rId118" Type="http://schemas.openxmlformats.org/officeDocument/2006/relationships/hyperlink" Target="https://gulfnews.com/living-in-uae/housing/renting-a-home-in-dubai-how-much-is-the-security-deposit-1.1716906865349" TargetMode="External"/><Relationship Id="rId117" Type="http://schemas.openxmlformats.org/officeDocument/2006/relationships/hyperlink" Target="https://www.agbi.com/analysis/real-estate/2024/05/flexibility-and-amenities-key-to-uae-office-sectors-future/" TargetMode="External"/><Relationship Id="rId116" Type="http://schemas.openxmlformats.org/officeDocument/2006/relationships/hyperlink" Target="https://www.agbi.com/analysis/real-estate/2024/05/uae-offices-in-demand-in-contrast-to-the-west/" TargetMode="External"/><Relationship Id="rId115" Type="http://schemas.openxmlformats.org/officeDocument/2006/relationships/hyperlink" Target="https://menafn.com/1108259245/Dubai-Why-More-Tenants-Will-Move-Out-From-Rented-Properties-In-The-Coming-Months" TargetMode="External"/><Relationship Id="rId119" Type="http://schemas.openxmlformats.org/officeDocument/2006/relationships/hyperlink" Target="https://www.arabianbusiness.com/industries/real-estate/dubai-real-estate-home-loan-vs-mortgage-which-is-a-better-financing-option-experts-weigh-in" TargetMode="External"/><Relationship Id="rId110" Type="http://schemas.openxmlformats.org/officeDocument/2006/relationships/hyperlink" Target="https://www.agbi.com/analysis/real-estate/2024/05/from-buyers-to-sellers-russians-cool-on-dubai-real-estate/" TargetMode="External"/><Relationship Id="rId114" Type="http://schemas.openxmlformats.org/officeDocument/2006/relationships/hyperlink" Target="https://mea-biz.com/meet-betterhomes-freshly-appointed-director-of-leasing/" TargetMode="External"/><Relationship Id="rId113" Type="http://schemas.openxmlformats.org/officeDocument/2006/relationships/hyperlink" Target="https://gulfnews.com/business/property/many-dubai-tenants-must-decide-fast-to-renew-leases-or-not-as-reras-market-rates-come-into-play-1.1716524142232" TargetMode="External"/><Relationship Id="rId112" Type="http://schemas.openxmlformats.org/officeDocument/2006/relationships/hyperlink" Target="https://www-thenationalnews-com.cdn.ampproject.org/c/s/www.thenationalnews.com/business/money/2024/05/23/how-much-should-you-earn-to-buy-a-dubai-property-worth-1-million/?outputType=amp" TargetMode="External"/><Relationship Id="rId111" Type="http://schemas.openxmlformats.org/officeDocument/2006/relationships/hyperlink" Target="https://www.zawya.com/en/press-release/people-in-the-news/betterhomes-appoints-new-director-of-leasing-wnk9aotc" TargetMode="External"/><Relationship Id="rId206" Type="http://schemas.openxmlformats.org/officeDocument/2006/relationships/hyperlink" Target="http://dxboffplan.com/" TargetMode="External"/><Relationship Id="rId205" Type="http://schemas.openxmlformats.org/officeDocument/2006/relationships/hyperlink" Target="https://www.agbi.com/real-estate/2024/12/aldar-dubai-unfinished-commercial-tower-difc-626m/" TargetMode="External"/><Relationship Id="rId204" Type="http://schemas.openxmlformats.org/officeDocument/2006/relationships/hyperlink" Target="https://www.khaleejtimes.com/business/realty/dubais-ultra-luxury-real-estate-market-to-continue-its-record-pace-of-growth" TargetMode="External"/><Relationship Id="rId203" Type="http://schemas.openxmlformats.org/officeDocument/2006/relationships/hyperlink" Target="https://www.pressreader.com/uae/khaleej-times/20241202/281509346752171" TargetMode="External"/><Relationship Id="rId209" Type="http://schemas.openxmlformats.org/officeDocument/2006/relationships/hyperlink" Target="https://www.propertynews.ae/uae/the-real-estate-market-in-dubai-outperforms-that-of-london-and-new-york-with-superior-investment-yields-of-7-and-double-digit-price-increases/" TargetMode="External"/><Relationship Id="rId208" Type="http://schemas.openxmlformats.org/officeDocument/2006/relationships/hyperlink" Target="http://propertynews.ae/" TargetMode="External"/><Relationship Id="rId207" Type="http://schemas.openxmlformats.org/officeDocument/2006/relationships/hyperlink" Target="https://dxboffplan.com/the-real-estate-market-in-dubai-outperforms-that-of-london-and-new-york-with-superior-investment-yields-of-7-and-double-digit-price-increases/" TargetMode="External"/><Relationship Id="rId202" Type="http://schemas.openxmlformats.org/officeDocument/2006/relationships/hyperlink" Target="https://www.arabianbusiness.com/industries/real-estate/dubai-real-estate-outperforms-london-and-new-york-with-superior-7-investment-yields-and-double-digit-price-increases?utm_medium=email&amp;utm_medium=email&amp;utm_campaign=RTA%20announces%20new%20Salik%20and%20parking%20fees%20Dubai%20real%20estate%20investment%20success%20UAE%20scam%20report%20Free%20du%20data%20051004%20AM&amp;utm_content=RTA%20announces%20new%20Salik%20and%20parking%20fees%20Dubai%20real%20estate%20investment%20success%20UAE%20scam%20report%20Free%20du%20data%20051004%20AM+CID_d723c948698359f5a01bb9f0d3042dcc&amp;utm_source=Newsletters&amp;utm_term=Dubai%20real%20estate%20outperforms%20London%20and%20New%20York%20with%20superior%207%20investment%20yields%20and%20double-digit%20price%20increases" TargetMode="External"/><Relationship Id="rId201" Type="http://schemas.openxmlformats.org/officeDocument/2006/relationships/hyperlink" Target="https://www.arabianbusiness.com/industries/real-estate/dubai-real-estate-al-jaddaf-emerges-as-property-investment-hotspot-should-you-invest-now-experts-weigh-in" TargetMode="External"/><Relationship Id="rId200" Type="http://schemas.openxmlformats.org/officeDocument/2006/relationships/hyperlink" Target="https://world-arabia.com/articles/dubai-s-rental-and-sales-market-dynamics-in-october/"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propertyfinder.ae/blog/renting-and-moving-during-crisis/" TargetMode="External"/><Relationship Id="rId10" Type="http://schemas.openxmlformats.org/officeDocument/2006/relationships/hyperlink" Target="https://gulfnews.com/business/property/dubai-homeowner-increased-value-of-property-with-effective-landscaping-1.1604301168796" TargetMode="External"/><Relationship Id="rId13" Type="http://schemas.openxmlformats.org/officeDocument/2006/relationships/hyperlink" Target="https://www.propertyfinder.ae/blog/some-more-time-before-the-market-bottoms-out/" TargetMode="External"/><Relationship Id="rId12" Type="http://schemas.openxmlformats.org/officeDocument/2006/relationships/hyperlink" Target="https://www.europeanlifemagazine.com/real-estate/the-post-crisis-outlook-on-the-uae-real-estate-market/" TargetMode="External"/><Relationship Id="rId15" Type="http://schemas.openxmlformats.org/officeDocument/2006/relationships/drawing" Target="../drawings/drawing10.xml"/><Relationship Id="rId14" Type="http://schemas.openxmlformats.org/officeDocument/2006/relationships/hyperlink" Target="https://www.sme10x.com/10x-industry/betterhomes-launches-new-real-estate-brokerage-for-working-parents" TargetMode="External"/><Relationship Id="rId1" Type="http://schemas.openxmlformats.org/officeDocument/2006/relationships/hyperlink" Target="http://tradearabia.com/news/CONS_366645.html" TargetMode="External"/><Relationship Id="rId2" Type="http://schemas.openxmlformats.org/officeDocument/2006/relationships/hyperlink" Target="https://www.khaleejtimes.com/business/real-estate/residential-rents-in-dubai-see-a-sharp-drop-especially-in-these-areas--" TargetMode="External"/><Relationship Id="rId3" Type="http://schemas.openxmlformats.org/officeDocument/2006/relationships/hyperlink" Target="https://www.zawya.com/mena/en/business/story/How_Dubais_new_Route_2020_will_drive_demand_for_residential_commercial_properties-ZAWYA20200730052256/" TargetMode="External"/><Relationship Id="rId4" Type="http://schemas.openxmlformats.org/officeDocument/2006/relationships/hyperlink" Target="https://gulfnews.com/business/property/living-in-jumeirah-meant-compounds-with-common-pools-says-dubais-villa-lady-1.1601554872716" TargetMode="External"/><Relationship Id="rId9" Type="http://schemas.openxmlformats.org/officeDocument/2006/relationships/hyperlink" Target="https://www.euronews.com/2020/09/16/gauging-the-impact-of-the-global-pandemic-on-the-real-estate-market-in-dubai" TargetMode="External"/><Relationship Id="rId5" Type="http://schemas.openxmlformats.org/officeDocument/2006/relationships/hyperlink" Target="https://www.constructionweekonline.com/business/267754-podcast-dubais-new-brokerage-for-working-mothers" TargetMode="External"/><Relationship Id="rId6" Type="http://schemas.openxmlformats.org/officeDocument/2006/relationships/hyperlink" Target="https://www.arabianbusiness.com/events/436138-the-best-of-the-best-all-the-major-award-winners-from-2019" TargetMode="External"/><Relationship Id="rId7" Type="http://schemas.openxmlformats.org/officeDocument/2006/relationships/hyperlink" Target="https://www.arabianbusiness.com/property/443757-coronavirus-what-impact-will-covid-19-have-on-dubais-property-market" TargetMode="External"/><Relationship Id="rId8" Type="http://schemas.openxmlformats.org/officeDocument/2006/relationships/hyperlink" Target="https://www.globalbusinessoutlook.com/dubai-real-estate-market-will-tremendously-improve-after-covid-19/"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www.thenationalnews.com/uae/2022/10/21/one-cheque-rents-on-the-rise-as-many-dubai-tenants-stay-put-to-avoid-rising-costs/" TargetMode="External"/><Relationship Id="rId194" Type="http://schemas.openxmlformats.org/officeDocument/2006/relationships/hyperlink" Target="https://www.dcnews.ro/presa-la-bruxelles-ingrijorata-de-economia-din-romania-poporul-romaniei-ar-trebui-sa-fie-punctul-central-al-oricaror-initiative-de-dezvoltare_892574.html" TargetMode="External"/><Relationship Id="rId193" Type="http://schemas.openxmlformats.org/officeDocument/2006/relationships/hyperlink" Target="https://gulfnews.com/business/property/dubai-landlords-serve-even-12-month-notices-for-tenants-to-vacate---and-then-get-higher-rents-1.1666669716827" TargetMode="External"/><Relationship Id="rId192" Type="http://schemas.openxmlformats.org/officeDocument/2006/relationships/hyperlink" Target="https://www.thenationalnews.com/business/property/2022/10/25/why-dubai-apartments-are-the-choice-ahead-of-villas-for-property-hunters-again/" TargetMode="External"/><Relationship Id="rId191" Type="http://schemas.openxmlformats.org/officeDocument/2006/relationships/hyperlink" Target="https://www.brecorder.com/news/40204281" TargetMode="External"/><Relationship Id="rId187" Type="http://schemas.openxmlformats.org/officeDocument/2006/relationships/hyperlink" Target="https://menafn.com/1105055683/Deyaars-Q3-Profit-Up-On-Improving-Outlook" TargetMode="External"/><Relationship Id="rId186" Type="http://schemas.openxmlformats.org/officeDocument/2006/relationships/hyperlink" Target="https://www.businesslive.co.za/bd/companies/property/2022-10-20-dubai-developer-deyaar-reports-leap-in-third-quarter-profit/" TargetMode="External"/><Relationship Id="rId185" Type="http://schemas.openxmlformats.org/officeDocument/2006/relationships/hyperlink" Target="https://www.khaleejtimes.com/business/deyaars-q3-profit-up-on-improving-outlook" TargetMode="External"/><Relationship Id="rId184" Type="http://schemas.openxmlformats.org/officeDocument/2006/relationships/hyperlink" Target="https://www.nasdaq.com/articles/dubai-property-firm-deyaars-q3-profit-up-on-improving-outlook" TargetMode="External"/><Relationship Id="rId189" Type="http://schemas.openxmlformats.org/officeDocument/2006/relationships/hyperlink" Target="https://www.gdnonline.com/Details/1145566/Deyaar%E2%80%99s-Q3-profit-soars-to-$988m" TargetMode="External"/><Relationship Id="rId188" Type="http://schemas.openxmlformats.org/officeDocument/2006/relationships/hyperlink" Target="https://www.al-monitor.com/originals/2022/10/russian-british-citizens-top-buyers-nonresidential-property-dubai" TargetMode="External"/><Relationship Id="rId183" Type="http://schemas.openxmlformats.org/officeDocument/2006/relationships/hyperlink" Target="https://www.reuters.com/article/deyaar-results/dubai-property-firm-deyaars-q3-profit-up-on-improving-outlook-idUKL8N31L257" TargetMode="External"/><Relationship Id="rId182" Type="http://schemas.openxmlformats.org/officeDocument/2006/relationships/hyperlink" Target="https://www.thenationalnews.com/business/property/2022/10/20/dubai-property-deal-worth-163m-closed-as-palm-jumeirah-prices-continue-to-spiral-upwards/" TargetMode="External"/><Relationship Id="rId181" Type="http://schemas.openxmlformats.org/officeDocument/2006/relationships/hyperlink" Target="https://www.zawya.com/en/business/real-estate/russians-are-dubais-top-non-resident-property-buyers-in-q3-report-vetsg12v" TargetMode="External"/><Relationship Id="rId180" Type="http://schemas.openxmlformats.org/officeDocument/2006/relationships/hyperlink" Target="https://www.biznews.com/premium-signup?mepr-unauth-page=989424&amp;redirect_to=%2Fpremium%2F2022%2F10%2F19%2Fgupta-hub-dubai-cashing-in-on-global-slowdown" TargetMode="External"/><Relationship Id="rId176" Type="http://schemas.openxmlformats.org/officeDocument/2006/relationships/hyperlink" Target="https://www.khaleejtimes.com/uae/dubai-tenants-find-it-cheaper-to-stay-in-existing-apartments-as-rents-soar" TargetMode="External"/><Relationship Id="rId297" Type="http://schemas.openxmlformats.org/officeDocument/2006/relationships/hyperlink" Target="https://economictimes.indiatimes.com/nri/invest/dubai-housing-boom-buoys-buyers-burdens-tenants/articleshow/98170301.cms" TargetMode="External"/><Relationship Id="rId175" Type="http://schemas.openxmlformats.org/officeDocument/2006/relationships/hyperlink" Target="https://menafn.com/1105043884/Dubai-Tenants-Find-It-Cheaper-To-Stay-In-Existing-Apartments-As-Rents-Soar" TargetMode="External"/><Relationship Id="rId296" Type="http://schemas.openxmlformats.org/officeDocument/2006/relationships/hyperlink" Target="https://www.businesstimes.com.sg/international/dubai-airport-sees-surge-arrivals-bolstered-russian-influx" TargetMode="External"/><Relationship Id="rId174" Type="http://schemas.openxmlformats.org/officeDocument/2006/relationships/hyperlink" Target="https://www.khaleejtimes.com/property/dubai-russians-are-top-property-buyers-in-dubai-indians-come-third" TargetMode="External"/><Relationship Id="rId295" Type="http://schemas.openxmlformats.org/officeDocument/2006/relationships/hyperlink" Target="https://www.npr.org/2023/02/26/1152488159/ukrainian-food-dubai-yoy-restaurant" TargetMode="External"/><Relationship Id="rId173" Type="http://schemas.openxmlformats.org/officeDocument/2006/relationships/hyperlink" Target="https://www.timeoutdubai.com/news/top-tips-for-renting-in-dubai" TargetMode="External"/><Relationship Id="rId294" Type="http://schemas.openxmlformats.org/officeDocument/2006/relationships/hyperlink" Target="https://www.khaleejtimes.com/business/property/dubai-should-i-hire-a-property-company-to-lease-my-villa-as-i-relocate-to-my-country" TargetMode="External"/><Relationship Id="rId179" Type="http://schemas.openxmlformats.org/officeDocument/2006/relationships/hyperlink" Target="https://www.bloomberg.com/news/features/2022-10-19/how-dubai-luxury-property-market-went-from-crash-to-boom" TargetMode="External"/><Relationship Id="rId178" Type="http://schemas.openxmlformats.org/officeDocument/2006/relationships/hyperlink" Target="https://www.ndtv.com/india-news/mukesh-ambani-lakshmi-mittal-part-of-dubais-luxury-property-boom-3444535" TargetMode="External"/><Relationship Id="rId299" Type="http://schemas.openxmlformats.org/officeDocument/2006/relationships/hyperlink" Target="https://zamanbelcika.be/ekonomi/dubai-konut-patlamasi-alicilari-samandiralar-kiracilari-zorlar/93593/" TargetMode="External"/><Relationship Id="rId177" Type="http://schemas.openxmlformats.org/officeDocument/2006/relationships/hyperlink" Target="https://gulfnews.com/business/property/dubai-rents-in-for-more-increases-as-occupancy-levels-hit-5-year-highs-1.1666153660083" TargetMode="External"/><Relationship Id="rId298" Type="http://schemas.openxmlformats.org/officeDocument/2006/relationships/hyperlink" Target="https://vietnambiz.vn/dubai-chung-kien-luong-giao-dich-bat-dong-san-ky-luc-trong-nam-2022-2023223222756601.htm" TargetMode="External"/><Relationship Id="rId198" Type="http://schemas.openxmlformats.org/officeDocument/2006/relationships/hyperlink" Target="https://www.digitaljournal.com/pr/business-in-dubai-is-expected-to-grow-at-a-fast-pace-in-2022-and-2023" TargetMode="External"/><Relationship Id="rId197" Type="http://schemas.openxmlformats.org/officeDocument/2006/relationships/hyperlink" Target="https://russianemirates.com/news/uae-news/oteli-po-vsemu-dubayu-nabirayut-russkoyazychnyy-personal/" TargetMode="External"/><Relationship Id="rId196" Type="http://schemas.openxmlformats.org/officeDocument/2006/relationships/hyperlink" Target="https://fd.nl/economie/1455831/vastgoedfeest-in-dubai-is-nog-in-volle-gang" TargetMode="External"/><Relationship Id="rId195" Type="http://schemas.openxmlformats.org/officeDocument/2006/relationships/hyperlink" Target="https://www.dcnews.ro/romanii-in-top-10-in-lista-marilor-investitori-in-dubai-rusia-marea-britanie-si-india-ocupa-primele-locuri_892563.html" TargetMode="External"/><Relationship Id="rId199" Type="http://schemas.openxmlformats.org/officeDocument/2006/relationships/hyperlink" Target="https://www.constructionweekonline.com/business/prime-by-betterhomes-to-rank-top-50-homes-in-dubai" TargetMode="External"/><Relationship Id="rId150" Type="http://schemas.openxmlformats.org/officeDocument/2006/relationships/hyperlink" Target="https://www.shortlistdubai.com/article/best-property-management-companies-dubai/" TargetMode="External"/><Relationship Id="rId271" Type="http://schemas.openxmlformats.org/officeDocument/2006/relationships/hyperlink" Target="https://www.openpr.com/news/2893895/uae-real-estate-companies-list-engineering-firms-in-dubai-list" TargetMode="External"/><Relationship Id="rId392" Type="http://schemas.openxmlformats.org/officeDocument/2006/relationships/hyperlink" Target="https://rossaprimavera.ru/article/50ce93fa" TargetMode="External"/><Relationship Id="rId270" Type="http://schemas.openxmlformats.org/officeDocument/2006/relationships/hyperlink" Target="https://www.gazeteduvar.com.tr/rusya-basininda-gecen-hafta-rusya-vatandaslari-2022de-turkiyede-16312-gayrimenkul-aldilar-haber-1599565" TargetMode="External"/><Relationship Id="rId391" Type="http://schemas.openxmlformats.org/officeDocument/2006/relationships/hyperlink" Target="https://www.forbes.ro/proprietatile-din-dubai-tranzactii-si-preturi-in-crestere-riscuri-338894" TargetMode="External"/><Relationship Id="rId390" Type="http://schemas.openxmlformats.org/officeDocument/2006/relationships/hyperlink" Target="https://www.thenationalnews.com/business/money/2023/07/05/uae-cost-of-living-school-fees-rent-visa-expat/" TargetMode="External"/><Relationship Id="rId1" Type="http://schemas.openxmlformats.org/officeDocument/2006/relationships/hyperlink" Target="http://tradearabia.com/news/CONS_366645.html" TargetMode="External"/><Relationship Id="rId2" Type="http://schemas.openxmlformats.org/officeDocument/2006/relationships/hyperlink" Target="https://www.khaleejtimes.com/business/real-estate/residential-rents-in-dubai-see-a-sharp-drop-especially-in-these-areas--" TargetMode="External"/><Relationship Id="rId3" Type="http://schemas.openxmlformats.org/officeDocument/2006/relationships/hyperlink" Target="https://www.zawya.com/mena/en/business/story/How_Dubais_new_Route_2020_will_drive_demand_for_residential_commercial_properties-ZAWYA20200730052256/" TargetMode="External"/><Relationship Id="rId149" Type="http://schemas.openxmlformats.org/officeDocument/2006/relationships/hyperlink" Target="https://pt.euronews.com/2022/08/26/uma-historia-de-sucesso-que-comecou-com-um-casamento-falhado" TargetMode="External"/><Relationship Id="rId4" Type="http://schemas.openxmlformats.org/officeDocument/2006/relationships/hyperlink" Target="https://gulfnews.com/business/property/living-in-jumeirah-meant-compounds-with-common-pools-says-dubais-villa-lady-1.1601554872716" TargetMode="External"/><Relationship Id="rId148" Type="http://schemas.openxmlformats.org/officeDocument/2006/relationships/hyperlink" Target="https://es.euronews.com/2022/08/26/linda-mahoney-o-una-mujer-pionera-que-cambio-el-panorama-del-sector-inmobiliario-en-dubai" TargetMode="External"/><Relationship Id="rId269" Type="http://schemas.openxmlformats.org/officeDocument/2006/relationships/hyperlink" Target="https://wydarzenia.interia.pl/raport-media-zagraniczne/news-mala-rosja-w-dubaju-ucieczka-przed-sankcjami-zachodu-napedza,nId,6544444" TargetMode="External"/><Relationship Id="rId9" Type="http://schemas.openxmlformats.org/officeDocument/2006/relationships/hyperlink" Target="https://www.euronews.com/2020/09/16/gauging-the-impact-of-the-global-pandemic-on-the-real-estate-market-in-dubai" TargetMode="External"/><Relationship Id="rId143" Type="http://schemas.openxmlformats.org/officeDocument/2006/relationships/hyperlink" Target="https://gulfnews.com/business/property/in-dubai-property-buyers-find-ready-homes-costing-a-lot-less-than-new-launches-1.1661484948660" TargetMode="External"/><Relationship Id="rId264" Type="http://schemas.openxmlformats.org/officeDocument/2006/relationships/hyperlink" Target="https://www.russiamatters.org/news/russia-review/russia-review-jan-13-20-2023" TargetMode="External"/><Relationship Id="rId385" Type="http://schemas.openxmlformats.org/officeDocument/2006/relationships/hyperlink" Target="https://europost.gr/neos-kataskeyastikos-pyretos-ntoympai-o-rolos-tis-rosias/" TargetMode="External"/><Relationship Id="rId142" Type="http://schemas.openxmlformats.org/officeDocument/2006/relationships/hyperlink" Target="https://www.mediafax.ro/economic/romanii-au-cumparat-de-la-un-dezvoltator-apartamente-de-75-milioane-euro-in-dubai-in-primele-sapte-luni-21105824" TargetMode="External"/><Relationship Id="rId263" Type="http://schemas.openxmlformats.org/officeDocument/2006/relationships/hyperlink" Target="https://www.inform.kz/ru/rynok-nedvizhimosti-dubaya-b-et-rekordy-pochemu-eto-sluchilos-i-chego-zhdat-v-2023-godu_a4025063" TargetMode="External"/><Relationship Id="rId384" Type="http://schemas.openxmlformats.org/officeDocument/2006/relationships/hyperlink" Target="https://beritautama.net/orang-kaya-rusia-memindahkan-uang-mereka-ke-negara-teluk/" TargetMode="External"/><Relationship Id="rId141" Type="http://schemas.openxmlformats.org/officeDocument/2006/relationships/hyperlink" Target="https://ahvalnews.com/turkish-property/wealthy-russians-vying-purchase-homes-turkey" TargetMode="External"/><Relationship Id="rId262" Type="http://schemas.openxmlformats.org/officeDocument/2006/relationships/hyperlink" Target="https://www.bankingnews.gr/diethni/articles/661165/ti-anazitoyn-oi-rosoi-sto-doumpai-o-rolos-tou-seixi-stis-sxeseis-mosxas-kievou" TargetMode="External"/><Relationship Id="rId383" Type="http://schemas.openxmlformats.org/officeDocument/2006/relationships/hyperlink" Target="https://www.gazetatema.net/ekonomia/praktika-e-durresit-ne-ethet-e-reja-te-ndertimit-ne-dubai-i395865" TargetMode="External"/><Relationship Id="rId140" Type="http://schemas.openxmlformats.org/officeDocument/2006/relationships/hyperlink" Target="https://www.zawya.com/en/business/real-estate/dubai-real-estate-firms-name-escrow-account-other-details-must-on-ads-axl3oipj" TargetMode="External"/><Relationship Id="rId261" Type="http://schemas.openxmlformats.org/officeDocument/2006/relationships/hyperlink" Target="https://gulfnews.com/business/property/more-dubai-landlords-now-want-one-cheque-payments-with-their-rental-deals-1.1673930156220" TargetMode="External"/><Relationship Id="rId382" Type="http://schemas.openxmlformats.org/officeDocument/2006/relationships/hyperlink" Target="https://www.news24.com/fin24/international/dubai-chases-long-term-growth-as-property-booms-seeks-to-blunt-debt-risk-20230619" TargetMode="External"/><Relationship Id="rId5" Type="http://schemas.openxmlformats.org/officeDocument/2006/relationships/hyperlink" Target="https://www.constructionweekonline.com/business/267754-podcast-dubais-new-brokerage-for-working-mothers" TargetMode="External"/><Relationship Id="rId147" Type="http://schemas.openxmlformats.org/officeDocument/2006/relationships/hyperlink" Target="https://it.euronews.com/2022/08/26/la-seconda-vita-di-linda-a-dubai-da-infermiera-ad-agente-immobiliare" TargetMode="External"/><Relationship Id="rId268" Type="http://schemas.openxmlformats.org/officeDocument/2006/relationships/hyperlink" Target="https://www.national.ro/afaceri/lux-cu-bani-gheata-dubai-ramane-marele-refugiu-imobiliar-si-in-acest-an-784646.html" TargetMode="External"/><Relationship Id="rId389" Type="http://schemas.openxmlformats.org/officeDocument/2006/relationships/hyperlink" Target="https://www.khaleejtimes.com/business/property-in-dubai-how-are-branded-residences-different-from-luxury-real-estate" TargetMode="External"/><Relationship Id="rId6" Type="http://schemas.openxmlformats.org/officeDocument/2006/relationships/hyperlink" Target="https://www.arabianbusiness.com/events/436138-the-best-of-the-best-all-the-major-award-winners-from-2019" TargetMode="External"/><Relationship Id="rId146" Type="http://schemas.openxmlformats.org/officeDocument/2006/relationships/hyperlink" Target="https://de.euronews.com/2022/08/26/grunder-in-dubai-erst-krankenschwester-dann-immobilienmaklerin" TargetMode="External"/><Relationship Id="rId267" Type="http://schemas.openxmlformats.org/officeDocument/2006/relationships/hyperlink" Target="https://www.ukrhaber.com/blog/ruslar-kuresel-emlak-piyasasini-nasil-etkiliyor/" TargetMode="External"/><Relationship Id="rId388" Type="http://schemas.openxmlformats.org/officeDocument/2006/relationships/hyperlink" Target="https://www.tagblatt.ch/wirtschaft/oligarchen-vom-paradeplatz-nach-dubai-reiche-russen-verschieben-ihr-geld-in-den-golfstaat-ld.2480762?reduced=true" TargetMode="External"/><Relationship Id="rId7" Type="http://schemas.openxmlformats.org/officeDocument/2006/relationships/hyperlink" Target="https://www.arabianbusiness.com/property/443757-coronavirus-what-impact-will-covid-19-have-on-dubais-property-market" TargetMode="External"/><Relationship Id="rId145" Type="http://schemas.openxmlformats.org/officeDocument/2006/relationships/hyperlink" Target="https://tr.euronews.com/2022/08/26/betterhomes-kurucusu-linda-mahoney-dubai-dogru-zamanda-dogru-yerdi" TargetMode="External"/><Relationship Id="rId266" Type="http://schemas.openxmlformats.org/officeDocument/2006/relationships/hyperlink" Target="https://english.alarabiya.net/business/technology/2023/01/18/Dubai-based-Tabby-raises-58-million-in-funding-round-valued-at-660-million-" TargetMode="External"/><Relationship Id="rId387" Type="http://schemas.openxmlformats.org/officeDocument/2006/relationships/hyperlink" Target="https://www.luzernerzeitung.ch/wirtschaft/oligarchen-vom-paradeplatz-nach-dubai-reiche-russen-verschieben-ihr-geld-in-den-golfstaat-ld.2480762?reduced=true" TargetMode="External"/><Relationship Id="rId8" Type="http://schemas.openxmlformats.org/officeDocument/2006/relationships/hyperlink" Target="https://www.globalbusinessoutlook.com/dubai-real-estate-market-will-tremendously-improve-after-covid-19/" TargetMode="External"/><Relationship Id="rId144" Type="http://schemas.openxmlformats.org/officeDocument/2006/relationships/hyperlink" Target="https://www.euronews.com/2022/08/26/meet-the-entrepreneurs" TargetMode="External"/><Relationship Id="rId265" Type="http://schemas.openxmlformats.org/officeDocument/2006/relationships/hyperlink" Target="https://tuoitre.vn/nguoi-nga-thuc-day-doanh-so-ban-bat-dong-san-dubai-dat-ky-luc-20230117142503266.htm" TargetMode="External"/><Relationship Id="rId386" Type="http://schemas.openxmlformats.org/officeDocument/2006/relationships/hyperlink" Target="https://www.agbi.com/analysis/affordable-homes-warning-for-dubai-private-developers/" TargetMode="External"/><Relationship Id="rId260" Type="http://schemas.openxmlformats.org/officeDocument/2006/relationships/hyperlink" Target="https://www.arabianbusiness.com/industries/travel-hospitality/russia-chases-saudi-arabia-bahrain-oman-visa-free-entry-diplomat" TargetMode="External"/><Relationship Id="rId381" Type="http://schemas.openxmlformats.org/officeDocument/2006/relationships/hyperlink" Target="https://www.forbes.ro/cea-mai-recenta-frenezie-imobiliara-din-dubai-ii-determina-pe-cumparatorii-bogati-sa-isi-asume-riscuri-mai-mari-336737" TargetMode="External"/><Relationship Id="rId380" Type="http://schemas.openxmlformats.org/officeDocument/2006/relationships/hyperlink" Target="https://www.ot.gr/2023/06/22/diethni/ntoumpai-ksefreni-anodos-gia-ta-akinita/" TargetMode="External"/><Relationship Id="rId139" Type="http://schemas.openxmlformats.org/officeDocument/2006/relationships/hyperlink" Target="https://www.theaktuellenews.com/nachrichten/wohlhabende-russen-rennen-um-den-kauf-von-haeusern-in-der-tuerkei-hier-ist-der-grund/" TargetMode="External"/><Relationship Id="rId138" Type="http://schemas.openxmlformats.org/officeDocument/2006/relationships/hyperlink" Target="https://www.newsweek.com/wealthy-russians-racing-buy-homes-turkey-why-explained-1734028" TargetMode="External"/><Relationship Id="rId259" Type="http://schemas.openxmlformats.org/officeDocument/2006/relationships/hyperlink" Target="https://www.zawya.com/en/business/real-estate/dubai-property-price-rises-seen-slowing-further-in-2023-betterhomes-o3nd1qy9" TargetMode="External"/><Relationship Id="rId137" Type="http://schemas.openxmlformats.org/officeDocument/2006/relationships/hyperlink" Target="https://gulfnews.com/living-in-uae/housing/travelling-for-a-month-or-two---can-i-put-up-my-dubai-home-for-rent-1.1660661106061" TargetMode="External"/><Relationship Id="rId258" Type="http://schemas.openxmlformats.org/officeDocument/2006/relationships/hyperlink" Target="https://www.bloomberg.com/news/articles/2023-01-16/russian-buyers-help-to-propel-dubai-s-property-sales-to-record" TargetMode="External"/><Relationship Id="rId379" Type="http://schemas.openxmlformats.org/officeDocument/2006/relationships/hyperlink" Target="https://www.khaleejtimes.com/business/floating-villas-another-game-changer-in-dubai-real-estate" TargetMode="External"/><Relationship Id="rId132" Type="http://schemas.openxmlformats.org/officeDocument/2006/relationships/hyperlink" Target="https://www.financialinvestor24.com/property/1903/ryan-mahoney-dubai-uae-the-crc-commercial-property-market-report-fy-2021/" TargetMode="External"/><Relationship Id="rId253" Type="http://schemas.openxmlformats.org/officeDocument/2006/relationships/hyperlink" Target="https://www.profit.ro/povesti-cu-profit/real-estate-constructii/cresterea-preturilor-proprietatilor-imobiliare-din-dubai-ar-putea-incetini-20983668" TargetMode="External"/><Relationship Id="rId374" Type="http://schemas.openxmlformats.org/officeDocument/2006/relationships/hyperlink" Target="https://www.gulftoday.ae/news/2023/06/21/dubai-is-looking-forward-to-long-term-growth-with-real-estate-booming-after-rapid-recovery" TargetMode="External"/><Relationship Id="rId131" Type="http://schemas.openxmlformats.org/officeDocument/2006/relationships/hyperlink" Target="https://www.arabnews.com/node/2139816/business-economy" TargetMode="External"/><Relationship Id="rId252" Type="http://schemas.openxmlformats.org/officeDocument/2006/relationships/hyperlink" Target="https://forbes.ua/ru/news/prodazh-nerukhomosti-v-dubai-zris-do-rekordnogo-rivnya-cherez-zbilshennya-kilkosti-pokuptsiv-z-rosii-16012023-11091" TargetMode="External"/><Relationship Id="rId373" Type="http://schemas.openxmlformats.org/officeDocument/2006/relationships/hyperlink" Target="https://www.thedailystar.net/business/global-economy/news/chinas-youth-confront-bleak-job-market-3351496" TargetMode="External"/><Relationship Id="rId130" Type="http://schemas.openxmlformats.org/officeDocument/2006/relationships/hyperlink" Target="https://bdnews24.com/economy/pg5abbgrnq" TargetMode="External"/><Relationship Id="rId251" Type="http://schemas.openxmlformats.org/officeDocument/2006/relationships/hyperlink" Target="https://kumparan.com/kabar-bisnis/harga-properti-di-dubai-diperkirakan-melambat-di-2023-1zeDE6UsPlZ?ref=register" TargetMode="External"/><Relationship Id="rId372" Type="http://schemas.openxmlformats.org/officeDocument/2006/relationships/hyperlink" Target="https://www.reuters.com/world/middle-east/dubai-chases-long-term-growth-property-booms-seeks-blunt-debt-risk-2023-06-19/" TargetMode="External"/><Relationship Id="rId250" Type="http://schemas.openxmlformats.org/officeDocument/2006/relationships/hyperlink" Target="https://forbes.ua/news/prodazh-nerukhomosti-v-dubai-zris-do-rekordnogo-rivnya-cherez-zbilshennya-kilkosti-pokuptsiv-z-rosii-16012023-11091" TargetMode="External"/><Relationship Id="rId371" Type="http://schemas.openxmlformats.org/officeDocument/2006/relationships/hyperlink" Target="https://www.youtube.com/watch?v=ulUPhJhGAjg" TargetMode="External"/><Relationship Id="rId136" Type="http://schemas.openxmlformats.org/officeDocument/2006/relationships/hyperlink" Target="https://www.zawya.com/en/business/real-estate/new-tenants-to-pay-higher-rents-in-dubai-tppmufae" TargetMode="External"/><Relationship Id="rId257" Type="http://schemas.openxmlformats.org/officeDocument/2006/relationships/hyperlink" Target="https://www.bloomberg.com/news/newsletters/2023-01-16/egypt-pound-s-egp-usd-plunge-dubai-s-housing-boom-erdogan-s-nato-moves" TargetMode="External"/><Relationship Id="rId378" Type="http://schemas.openxmlformats.org/officeDocument/2006/relationships/hyperlink" Target="https://www.bnnbloomberg.ca/dubai-s-latest-property-spree-has-rich-buyers-taking-more-risk-1.1936277" TargetMode="External"/><Relationship Id="rId135" Type="http://schemas.openxmlformats.org/officeDocument/2006/relationships/hyperlink" Target="https://www.khaleejtimes.com/business/new-tenants-to-pay-higher-rents-in-dubai" TargetMode="External"/><Relationship Id="rId256" Type="http://schemas.openxmlformats.org/officeDocument/2006/relationships/hyperlink" Target="https://www.samaaenglish.tv/news/40025569" TargetMode="External"/><Relationship Id="rId377" Type="http://schemas.openxmlformats.org/officeDocument/2006/relationships/hyperlink" Target="https://www.bloomberg.com/news/articles/2023-06-22/dubai-s-latest-property-spree-has-rich-buyers-taking-more-risk" TargetMode="External"/><Relationship Id="rId134" Type="http://schemas.openxmlformats.org/officeDocument/2006/relationships/hyperlink" Target="https://www.elcorreo.ae/articulo/economia/banco-mas-grande-dubai-sube-sueldo-empleados/20220812090626148406.html" TargetMode="External"/><Relationship Id="rId255" Type="http://schemas.openxmlformats.org/officeDocument/2006/relationships/hyperlink" Target="https://www.finansavisen.no/bolig/2023/01/16/7977177/russerne-bidro-til-ny-rekord?zephr_sso_ott=Ltz99Z" TargetMode="External"/><Relationship Id="rId376" Type="http://schemas.openxmlformats.org/officeDocument/2006/relationships/hyperlink" Target="https://www.thenationalnews.com/uae/2023/06/22/megaprojects-the-3bn-dubai-tower-set-to-join-the-worlds-tallest-residential-buildings/" TargetMode="External"/><Relationship Id="rId133" Type="http://schemas.openxmlformats.org/officeDocument/2006/relationships/hyperlink" Target="https://www.thenationalnews.com/weekend/2022/08/12/fomo-drives-uae-residents-to-take-out-mortgages-amid-rate-rises/" TargetMode="External"/><Relationship Id="rId254" Type="http://schemas.openxmlformats.org/officeDocument/2006/relationships/hyperlink" Target="https://nl.marketscreener.com/beursnieuws/laatste/Prijsstijging-vastgoed-Dubai-verder-vertraagd-in-2023-Betterhomes--42738330/" TargetMode="External"/><Relationship Id="rId375" Type="http://schemas.openxmlformats.org/officeDocument/2006/relationships/hyperlink" Target="https://www.thenationalnews.com/lifestyle/home-garden/2023/06/20/inside-a-luxury-dh90-million-dubai-home-complete-with-an-american-style-diner/" TargetMode="External"/><Relationship Id="rId172" Type="http://schemas.openxmlformats.org/officeDocument/2006/relationships/hyperlink" Target="https://www.timeoutdubai.com/moving-to-dubai/rent-hikes-in-dubai" TargetMode="External"/><Relationship Id="rId293" Type="http://schemas.openxmlformats.org/officeDocument/2006/relationships/hyperlink" Target="https://jordantimes.com/news/business/dubai-airport-sees-surge-arrivals-bolstered-russian-influx" TargetMode="External"/><Relationship Id="rId171" Type="http://schemas.openxmlformats.org/officeDocument/2006/relationships/hyperlink" Target="https://www.thenationalnews.com/weekend/2022/10/07/important-real-estate-terms-uae-property-investors-should-know-before-buying/" TargetMode="External"/><Relationship Id="rId292" Type="http://schemas.openxmlformats.org/officeDocument/2006/relationships/hyperlink" Target="https://www.elindependiente.com/internacional/2023/02/20/dubai-el-refugio-dorado-de-los-millonarios-rusos/" TargetMode="External"/><Relationship Id="rId170" Type="http://schemas.openxmlformats.org/officeDocument/2006/relationships/hyperlink" Target="https://www.thenationalnews.com/business/property/2022/09/28/world-cup-to-provide-dubai-property-market-with-mini-expo-effect/" TargetMode="External"/><Relationship Id="rId291" Type="http://schemas.openxmlformats.org/officeDocument/2006/relationships/hyperlink" Target="https://apnews.com/article/us-department-of-the-treasury-business-united-arab-emirates-dubai-middle-east-192fbc4638f38d9334ad2508cae1eef4" TargetMode="External"/><Relationship Id="rId290" Type="http://schemas.openxmlformats.org/officeDocument/2006/relationships/hyperlink" Target="https://gulfnews.com/living-in-uae/housing/no-more-rental-cheques-tenants-in-dubai-now-have-the-option-to-pay-for-rent-via-direct-debit--heres-how-1.1676445697131" TargetMode="External"/><Relationship Id="rId165" Type="http://schemas.openxmlformats.org/officeDocument/2006/relationships/hyperlink" Target="https://www.euronews.com/next/2022/09/26/expo-city-dubai-larger-than-hong-kong-the-uaes-first-15-minute-city" TargetMode="External"/><Relationship Id="rId286" Type="http://schemas.openxmlformats.org/officeDocument/2006/relationships/hyperlink" Target="https://www.voanews.com/a/latest-developments-in-ukraine-feb-13/6960220.html" TargetMode="External"/><Relationship Id="rId164" Type="http://schemas.openxmlformats.org/officeDocument/2006/relationships/hyperlink" Target="https://www.elcorreo.ae/articulo/economia/economia-dubai-mantiene-estable-desaceleracion-mundial/20220921084624149342.html" TargetMode="External"/><Relationship Id="rId285" Type="http://schemas.openxmlformats.org/officeDocument/2006/relationships/hyperlink" Target="https://abcnews.go.com/Business/wireStory/dubai-boom-sees-russian-cash-high-rents-reborn-97074165" TargetMode="External"/><Relationship Id="rId163" Type="http://schemas.openxmlformats.org/officeDocument/2006/relationships/hyperlink" Target="https://www.thenationalnews.com/business/comment/2022/09/20/dubais-economy-holding-up-well-amid-the-global-slowdown/" TargetMode="External"/><Relationship Id="rId284" Type="http://schemas.openxmlformats.org/officeDocument/2006/relationships/hyperlink" Target="https://english.alarabiya.net/News/gulf/2023/02/09/UAE-grants-banking-license-to-Russia-s-MTS-Bank" TargetMode="External"/><Relationship Id="rId162" Type="http://schemas.openxmlformats.org/officeDocument/2006/relationships/hyperlink" Target="https://www.agbi.com/articles/burj-khalifa-surging-sales/" TargetMode="External"/><Relationship Id="rId283" Type="http://schemas.openxmlformats.org/officeDocument/2006/relationships/hyperlink" Target="https://www.reuters.com/business/finance/russias-mts-bank-has-uae-licence-central-bank-website-2023-02-08/" TargetMode="External"/><Relationship Id="rId169" Type="http://schemas.openxmlformats.org/officeDocument/2006/relationships/hyperlink" Target="https://es.euronews.com/next/2022/09/26/expo-city-dubai-o-la-ciudad-del-futuro-que-mantendra-vivo-el-legado-de-la-expo-2020" TargetMode="External"/><Relationship Id="rId168" Type="http://schemas.openxmlformats.org/officeDocument/2006/relationships/hyperlink" Target="https://de.euronews.com/next/2022/09/26/die-erste-15-minuten-stadt-der-vereinigten-arabischen-emirate" TargetMode="External"/><Relationship Id="rId289" Type="http://schemas.openxmlformats.org/officeDocument/2006/relationships/hyperlink" Target="https://www.khaleejtimes.com/business/what-are-the-red-flags-when-buying-a-flat-in-dubai" TargetMode="External"/><Relationship Id="rId167" Type="http://schemas.openxmlformats.org/officeDocument/2006/relationships/hyperlink" Target="https://fr.euronews.com/next/2022/09/26/dubai-transforme-le-site-de-son-expo-2020-en-ville-du-futur" TargetMode="External"/><Relationship Id="rId288" Type="http://schemas.openxmlformats.org/officeDocument/2006/relationships/hyperlink" Target="https://nhipsongkinhdoanh.vn/bat-dong-san-dubai-bung-no-tro-lai-voi-nguon-tien-manh-tu-nga-post3107017.html" TargetMode="External"/><Relationship Id="rId166" Type="http://schemas.openxmlformats.org/officeDocument/2006/relationships/hyperlink" Target="https://it.euronews.com/next/2022/09/26/dubai-leredita-dellexpo-una-citta-intelligente-nellarea-dellesposizione" TargetMode="External"/><Relationship Id="rId287" Type="http://schemas.openxmlformats.org/officeDocument/2006/relationships/hyperlink" Target="https://www.bluewin.ch/de/news/international/wie-dubai-wieder-einmal-von-einer-krise-profitiert-1628020.html" TargetMode="External"/><Relationship Id="rId161" Type="http://schemas.openxmlformats.org/officeDocument/2006/relationships/hyperlink" Target="https://www.agbi.com/articles/dubai-on-alert-as-distressed-assets-become-a-real-possibility/" TargetMode="External"/><Relationship Id="rId282" Type="http://schemas.openxmlformats.org/officeDocument/2006/relationships/hyperlink" Target="https://www.khaleejtimes.com/business/uae-central-bank-granted-licence-to-russias-mts-bank" TargetMode="External"/><Relationship Id="rId160" Type="http://schemas.openxmlformats.org/officeDocument/2006/relationships/hyperlink" Target="https://www.arabianbusiness.com/opinion/real-estate-brokers-in-the-uae-do-we-need-them" TargetMode="External"/><Relationship Id="rId281" Type="http://schemas.openxmlformats.org/officeDocument/2006/relationships/hyperlink" Target="https://www.bloomberg.com/news/articles/2023-02-08/uae-grants-banking-license-to-russia-s-mts-bank" TargetMode="External"/><Relationship Id="rId280" Type="http://schemas.openxmlformats.org/officeDocument/2006/relationships/hyperlink" Target="https://www.khaleejtimes.com/business/property/dubai-tenants-could-negotiate-monthly-rent-payments-with-new-direct-debit-system" TargetMode="External"/><Relationship Id="rId159" Type="http://schemas.openxmlformats.org/officeDocument/2006/relationships/hyperlink" Target="https://www.zawya.com/en/business/real-estate/why-the-wealthy-are-attracted-to-dubais-luxury-homes-rg1maetg" TargetMode="External"/><Relationship Id="rId154" Type="http://schemas.openxmlformats.org/officeDocument/2006/relationships/hyperlink" Target="https://www.haberler.com/guncel/betterhomes-kurucusu-linda-mahoney-dubai-dogru-15226716-haberi/" TargetMode="External"/><Relationship Id="rId275" Type="http://schemas.openxmlformats.org/officeDocument/2006/relationships/hyperlink" Target="https://www.elcorreo.ae/articulo/economia/conozca-zonas-dubai-donde-expatriados-compran-apartamentos/20230127092502152882.html" TargetMode="External"/><Relationship Id="rId396" Type="http://schemas.openxmlformats.org/officeDocument/2006/relationships/hyperlink" Target="https://www.khaleejtimes.com/business/property/dubai-waterfront-property-rates-have-doubled-will-prices-drop-as-palm-jebel-begins-to-take-shape" TargetMode="External"/><Relationship Id="rId153" Type="http://schemas.openxmlformats.org/officeDocument/2006/relationships/hyperlink" Target="https://www.brecorder.com/news/40194446" TargetMode="External"/><Relationship Id="rId274" Type="http://schemas.openxmlformats.org/officeDocument/2006/relationships/hyperlink" Target="https://www.zawya.com/en/business/real-estate/dubai-property-deals-surge-76-to-144bln-in-2022-spwo2ai5" TargetMode="External"/><Relationship Id="rId395" Type="http://schemas.openxmlformats.org/officeDocument/2006/relationships/hyperlink" Target="https://www.khaleejtimes.com/uae/dubai-why-tenants-are-unlikely-to-see-relief-in-rents-anytime-soon" TargetMode="External"/><Relationship Id="rId152" Type="http://schemas.openxmlformats.org/officeDocument/2006/relationships/hyperlink" Target="https://infos-israel.news/crise-de-2009-oubliee-a-dubai-limmobilier-de-luxe-bondit-de-87/" TargetMode="External"/><Relationship Id="rId273" Type="http://schemas.openxmlformats.org/officeDocument/2006/relationships/hyperlink" Target="https://www.thenationalnews.com/uae/2023/01/25/dubai-property-top-three-areas-where-expats-prefer-to-buy-apartments/" TargetMode="External"/><Relationship Id="rId394" Type="http://schemas.openxmlformats.org/officeDocument/2006/relationships/hyperlink" Target="https://www.andhrajyothy.com/2023/nri/british-and-indian-buyers-among-top-investors-in-property-market-in-dubai-rams-spl-1103559.html" TargetMode="External"/><Relationship Id="rId151" Type="http://schemas.openxmlformats.org/officeDocument/2006/relationships/hyperlink" Target="https://playtech.ro/2022/bula-imobiliara-din-romania-a-explodat-iar-romanii-bogati-se-muta-la-dubai-cati-bani-au-bagat-in-apartamente/" TargetMode="External"/><Relationship Id="rId272" Type="http://schemas.openxmlformats.org/officeDocument/2006/relationships/hyperlink" Target="https://www.challenges.fr/immobilier/l-immobilier-flambe-a-dubai_843005" TargetMode="External"/><Relationship Id="rId393" Type="http://schemas.openxmlformats.org/officeDocument/2006/relationships/hyperlink" Target="https://americannewsreport.com/top-real-estate-agencies-in-dubai/" TargetMode="External"/><Relationship Id="rId158" Type="http://schemas.openxmlformats.org/officeDocument/2006/relationships/hyperlink" Target="https://epaper.khaleejtimes.com/835/05-09-2022" TargetMode="External"/><Relationship Id="rId279" Type="http://schemas.openxmlformats.org/officeDocument/2006/relationships/hyperlink" Target="https://www.zawya.com/en/business/real-estate/five-cheapest-places-to-rent-a-flat-in-dubai-g1kn1kd8" TargetMode="External"/><Relationship Id="rId157" Type="http://schemas.openxmlformats.org/officeDocument/2006/relationships/hyperlink" Target="https://www.khaleejtimes.com/opinion/why-the-wealthy-are-attracted-to-dubais-luxury-homes" TargetMode="External"/><Relationship Id="rId278" Type="http://schemas.openxmlformats.org/officeDocument/2006/relationships/hyperlink" Target="https://thedogoodpress.com/property/4836/ryan-mahoney-dubai-uae-dubais-secondary-real-estate-market-boom/" TargetMode="External"/><Relationship Id="rId399" Type="http://schemas.openxmlformats.org/officeDocument/2006/relationships/hyperlink" Target="https://www.khaleejtimes.com/business/realty/look-dubais-10-best-homes-revealed" TargetMode="External"/><Relationship Id="rId156" Type="http://schemas.openxmlformats.org/officeDocument/2006/relationships/hyperlink" Target="https://actmedia.eu/economic/real-estate-romanians-bought-apartments-of-75-million-euros-from-sobha-dubai-developer-in-first-7-months-of-2022/99363" TargetMode="External"/><Relationship Id="rId277" Type="http://schemas.openxmlformats.org/officeDocument/2006/relationships/hyperlink" Target="https://www.abcmoney.co.uk/2023/01/sheikh-youssef-al-shelash-discusses-trends-and-upcoming-developments-in-the-middle-east/" TargetMode="External"/><Relationship Id="rId398" Type="http://schemas.openxmlformats.org/officeDocument/2006/relationships/hyperlink" Target="https://www.zawya.com/en/business/real-estate/real-estate-update-dubai-apartment-sales-grow-while-villa-sales-reduce-marginally-ceqysi00" TargetMode="External"/><Relationship Id="rId155" Type="http://schemas.openxmlformats.org/officeDocument/2006/relationships/hyperlink" Target="https://gulfnews.com/living-in-uae/housing/moving-out-who-cancels-ejari---the-landlord-or-tenant-1.1662382091757" TargetMode="External"/><Relationship Id="rId276" Type="http://schemas.openxmlformats.org/officeDocument/2006/relationships/hyperlink" Target="https://www.zawya.com/en/business/real-estate/dubai-realtor-haus-and-haus-eyes-expansion-to-hire-150-new-staff-r6be9cf7" TargetMode="External"/><Relationship Id="rId397" Type="http://schemas.openxmlformats.org/officeDocument/2006/relationships/hyperlink" Target="https://www.arabnews.com/node/2339316/business-economy" TargetMode="External"/><Relationship Id="rId40" Type="http://schemas.openxmlformats.org/officeDocument/2006/relationships/hyperlink" Target="https://www.propertyfinder.ae/hub/agent-guides/latest-prestige-november-2021-issue-in-gulf-business/" TargetMode="External"/><Relationship Id="rId42" Type="http://schemas.openxmlformats.org/officeDocument/2006/relationships/hyperlink" Target="https://www.constructionweekonline.com/business/betterhomes-logs-leasing-deal-at-1-76-million-in-emirates-hills" TargetMode="External"/><Relationship Id="rId41" Type="http://schemas.openxmlformats.org/officeDocument/2006/relationships/hyperlink" Target="https://www.thenationalnews.com/lifestyle/luxury/2021/11/06/dh75m-emirates-hills-villa-becomes-dubais-most-expensive-rental/" TargetMode="External"/><Relationship Id="rId44" Type="http://schemas.openxmlformats.org/officeDocument/2006/relationships/hyperlink" Target="https://intlbm.com/dubai-real-estate-market-clocks-its-highest-leasing-deal-worth-aed7-5-million/" TargetMode="External"/><Relationship Id="rId43" Type="http://schemas.openxmlformats.org/officeDocument/2006/relationships/hyperlink" Target="https://thewall.fyi/dubai-property-broker-seals-record-2m-leasing-deal-for-luxury-villa/" TargetMode="External"/><Relationship Id="rId46" Type="http://schemas.openxmlformats.org/officeDocument/2006/relationships/hyperlink" Target="https://www.thenationalnews.com/weekend/2022/03/18/top-7-mistakes-to-avoid-when-selling-your-home/" TargetMode="External"/><Relationship Id="rId45" Type="http://schemas.openxmlformats.org/officeDocument/2006/relationships/hyperlink" Target="https://medium.com/@valustrat/dh7-5m-emirates-hills-villa-becomes-dubais-most-expensive-rental-fdd55e5c53bd" TargetMode="External"/><Relationship Id="rId48" Type="http://schemas.openxmlformats.org/officeDocument/2006/relationships/hyperlink" Target="https://gulfnews.com/business/property/in-dubai-villa-owners-find-no-takers-for-sudden-price-hikes-of-10-and-more-1.1650345406229" TargetMode="External"/><Relationship Id="rId47" Type="http://schemas.openxmlformats.org/officeDocument/2006/relationships/hyperlink" Target="https://www.zawya.com/en/press-release/companies-news/demand-and-prices-on-the-rise-for-townhouses-and-apartments-in-q1-2022-dp9dk0s7" TargetMode="External"/><Relationship Id="rId49" Type="http://schemas.openxmlformats.org/officeDocument/2006/relationships/hyperlink" Target="https://www.bloomberg.com/news/articles/2022-04-19/russians-climb-dubai-property-ladder-as-sanctions-imperil-wealth" TargetMode="External"/><Relationship Id="rId31" Type="http://schemas.openxmlformats.org/officeDocument/2006/relationships/hyperlink" Target="https://www.fm-middleeast.com/business/crc-released-dubai-commercial-real-estate-market-report-q3-2021" TargetMode="External"/><Relationship Id="rId30" Type="http://schemas.openxmlformats.org/officeDocument/2006/relationships/hyperlink" Target="https://industrialrealestatenews.top/crc-released-dubai-commercial-real-estate-market-report-q3-2021/" TargetMode="External"/><Relationship Id="rId33" Type="http://schemas.openxmlformats.org/officeDocument/2006/relationships/hyperlink" Target="https://gulfnews.com/business/property/better-homes-plans-global-presence-with-more-offices-1.253412" TargetMode="External"/><Relationship Id="rId32" Type="http://schemas.openxmlformats.org/officeDocument/2006/relationships/hyperlink" Target="https://www.arabianbusiness.com/industries-real-estate/469867-is-the-pace-of-dubais-recent-property-price-hikes-starting-to-slow" TargetMode="External"/><Relationship Id="rId35" Type="http://schemas.openxmlformats.org/officeDocument/2006/relationships/hyperlink" Target="https://www.arabianbusiness.com/real-estate/470612-dubai-property-broker-seals-record-2m-leasing-deal-for-luxury-villa" TargetMode="External"/><Relationship Id="rId34" Type="http://schemas.openxmlformats.org/officeDocument/2006/relationships/hyperlink" Target="https://www.khaleejtimes.com/business/dubai-low-interest-rates-boost-mortgage-transactions-in-2021" TargetMode="External"/><Relationship Id="rId37" Type="http://schemas.openxmlformats.org/officeDocument/2006/relationships/hyperlink" Target="https://uaebusiness.com/tag/better-homes-llc/" TargetMode="External"/><Relationship Id="rId36" Type="http://schemas.openxmlformats.org/officeDocument/2006/relationships/hyperlink" Target="https://www.constructionweekonline.com/business/betterhomes-logs-leasing-deal-at-1-76-million-in-emirates-hills" TargetMode="External"/><Relationship Id="rId39" Type="http://schemas.openxmlformats.org/officeDocument/2006/relationships/hyperlink" Target="https://www.zawya.com/mena/en/press-releases/story/Dubai_property_market_logs_highest_leasing_deal_at_AED75mlnyear-ZAWYA20211103104849/" TargetMode="External"/><Relationship Id="rId38" Type="http://schemas.openxmlformats.org/officeDocument/2006/relationships/hyperlink" Target="https://www.lianapress.ae/releases/construction/dubai-property-market-logs-highest-leasing-deal-at-aed7.5myear.html" TargetMode="External"/><Relationship Id="rId20" Type="http://schemas.openxmlformats.org/officeDocument/2006/relationships/hyperlink" Target="https://www.zawya.com/uae/en/press-releases/story/Positive_economic__employment_sentiment_in_Dubai_boosts_property_sales_in_H1_2021-ZAWYA20210803062005/" TargetMode="External"/><Relationship Id="rId22" Type="http://schemas.openxmlformats.org/officeDocument/2006/relationships/hyperlink" Target="https://www.khaleejtimes.com/property/dubai-realty-back-in-spotlight-with-deals-hitting-10-year-high" TargetMode="External"/><Relationship Id="rId21" Type="http://schemas.openxmlformats.org/officeDocument/2006/relationships/hyperlink" Target="https://www.arabianbusiness.com/real-estate/466741-dubai-broker-sees-surge-in-british-property-buyers-amid-uaes-latest-expat-incentives" TargetMode="External"/><Relationship Id="rId24" Type="http://schemas.openxmlformats.org/officeDocument/2006/relationships/hyperlink" Target="https://www.lianapress.ae/releases/construction/property-market-sets-new-records-as-prices-continue-to-climb-in-q3.html" TargetMode="External"/><Relationship Id="rId23" Type="http://schemas.openxmlformats.org/officeDocument/2006/relationships/hyperlink" Target="https://www.zawya.com/mena/en/press-releases/story/Property_market_sets_new_records_as_prices_continue_to_climb_in_Q3-ZAWYA20211018115321/" TargetMode="External"/><Relationship Id="rId409" Type="http://schemas.openxmlformats.org/officeDocument/2006/relationships/hyperlink" Target="https://www.khaleejtimes.com/business/dubai-waterfront-villa-prices-set-to-rise-further-due-to-limited-supply" TargetMode="External"/><Relationship Id="rId404" Type="http://schemas.openxmlformats.org/officeDocument/2006/relationships/hyperlink" Target="https://www.khaleejtimes.com/business/dubai-realty-posts-37-q2-growth-as-ultra-rich-rush-in" TargetMode="External"/><Relationship Id="rId403" Type="http://schemas.openxmlformats.org/officeDocument/2006/relationships/hyperlink" Target="https://www.zawya.com/en/business/real-estate/dubai-realty-posts-37-q2-growth-as-ultra-rich-rush-in-j94zfwoo" TargetMode="External"/><Relationship Id="rId402" Type="http://schemas.openxmlformats.org/officeDocument/2006/relationships/hyperlink" Target="https://www.zawya.com/en/business/real-estate/dubais-10-best-homes-revealed-il4crxtg" TargetMode="External"/><Relationship Id="rId401" Type="http://schemas.openxmlformats.org/officeDocument/2006/relationships/hyperlink" Target="https://www.moneycontrol.com/news/business/real-estate/investing-abroad-should-you-consider-buying-a-second-home-in-dubai-10965401.html" TargetMode="External"/><Relationship Id="rId408" Type="http://schemas.openxmlformats.org/officeDocument/2006/relationships/hyperlink" Target="https://www.zawya.com/en/business/real-estate/norwegians-second-biggest-buyers-of-dubai-commercial-real-estate-cfzxoqfu" TargetMode="External"/><Relationship Id="rId407" Type="http://schemas.openxmlformats.org/officeDocument/2006/relationships/hyperlink" Target="https://www.khaleejtimes.com/business/dubais-commercial-real-estate-transactions-surge-101-in-q2" TargetMode="External"/><Relationship Id="rId406" Type="http://schemas.openxmlformats.org/officeDocument/2006/relationships/hyperlink" Target="https://www.zawya.com/en/business/real-estate/what-are-the-most-promising-upcoming-neighbourhoods-in-dubai-f2cailrd" TargetMode="External"/><Relationship Id="rId405" Type="http://schemas.openxmlformats.org/officeDocument/2006/relationships/hyperlink" Target="https://www.khaleejtimes.com/business/what-are-the-most-promising-upcoming-neighbourhoods-in-dubai" TargetMode="External"/><Relationship Id="rId26" Type="http://schemas.openxmlformats.org/officeDocument/2006/relationships/hyperlink" Target="https://www.propertynews.ae/reports-updates/trends/property-market-sets-new-records-as-prices-continue-to-climb-in-q3/" TargetMode="External"/><Relationship Id="rId25" Type="http://schemas.openxmlformats.org/officeDocument/2006/relationships/hyperlink" Target="https://uaebusiness.com/2021/10/19/property-market-sets-new-records-as-prices-continue-to-climb-in-q3/" TargetMode="External"/><Relationship Id="rId28" Type="http://schemas.openxmlformats.org/officeDocument/2006/relationships/hyperlink" Target="https://www.constructionweekonline.com/news/crc-released-dubai-commercial-real-estate-market-report-q3-2021" TargetMode="External"/><Relationship Id="rId27" Type="http://schemas.openxmlformats.org/officeDocument/2006/relationships/hyperlink" Target="https://www.zawya.com/mena/en/story/amp/ZAWYA20211018115321/" TargetMode="External"/><Relationship Id="rId400" Type="http://schemas.openxmlformats.org/officeDocument/2006/relationships/hyperlink" Target="https://www.khaleejtimes.com/business/property/dubai-british-indian-and-russian-among-top-investors-in-property-market-in-q2" TargetMode="External"/><Relationship Id="rId29" Type="http://schemas.openxmlformats.org/officeDocument/2006/relationships/hyperlink" Target="https://www.zawya.com/mena/en/press-releases/story/CRC_released_Dubai_Commercial_Real_Estate_Market_Report_Q3_2021-ZAWYA20211020084549/" TargetMode="External"/><Relationship Id="rId11" Type="http://schemas.openxmlformats.org/officeDocument/2006/relationships/hyperlink" Target="https://www.propertyfinder.ae/blog/renting-and-moving-during-crisis/" TargetMode="External"/><Relationship Id="rId10" Type="http://schemas.openxmlformats.org/officeDocument/2006/relationships/hyperlink" Target="https://gulfnews.com/business/property/dubai-homeowner-increased-value-of-property-with-effective-landscaping-1.1604301168796" TargetMode="External"/><Relationship Id="rId13" Type="http://schemas.openxmlformats.org/officeDocument/2006/relationships/hyperlink" Target="https://www.propertyfinder.ae/blog/some-more-time-before-the-market-bottoms-out/" TargetMode="External"/><Relationship Id="rId12" Type="http://schemas.openxmlformats.org/officeDocument/2006/relationships/hyperlink" Target="https://www.europeanlifemagazine.com/real-estate/the-post-crisis-outlook-on-the-uae-real-estate-market/" TargetMode="External"/><Relationship Id="rId15" Type="http://schemas.openxmlformats.org/officeDocument/2006/relationships/hyperlink" Target="http://pr.com" TargetMode="External"/><Relationship Id="rId14" Type="http://schemas.openxmlformats.org/officeDocument/2006/relationships/hyperlink" Target="https://www.sme10x.com/10x-industry/betterhomes-launches-new-real-estate-brokerage-for-working-parents" TargetMode="External"/><Relationship Id="rId17" Type="http://schemas.openxmlformats.org/officeDocument/2006/relationships/hyperlink" Target="https://www.khaleejtimes.com/news/dubai-records-27-surge-in-q1-property-deals" TargetMode="External"/><Relationship Id="rId16" Type="http://schemas.openxmlformats.org/officeDocument/2006/relationships/hyperlink" Target="https://www.pr.com/press-release/835148" TargetMode="External"/><Relationship Id="rId19" Type="http://schemas.openxmlformats.org/officeDocument/2006/relationships/hyperlink" Target="https://www.creativezone.ae/events/dubai-real-estate-a-2021-promising-outlook/" TargetMode="External"/><Relationship Id="rId18" Type="http://schemas.openxmlformats.org/officeDocument/2006/relationships/hyperlink" Target="https://www.springfield-re.com/dubai-records-27-surge-in-q1-property-deals" TargetMode="External"/><Relationship Id="rId84" Type="http://schemas.openxmlformats.org/officeDocument/2006/relationships/hyperlink" Target="https://www.cnbc.com/2022/07/07/rich-russians-fleeing-sanctions-are-pumping-up-dubais-property-sector.html" TargetMode="External"/><Relationship Id="rId83" Type="http://schemas.openxmlformats.org/officeDocument/2006/relationships/hyperlink" Target="https://www.zawya.com/en/press-release/people-in-the-news/houzacom-the-dubai-based-property-portal-appoints-jean-pierre-mondalek-as-ceo-sj0mqcvm" TargetMode="External"/><Relationship Id="rId86" Type="http://schemas.openxmlformats.org/officeDocument/2006/relationships/hyperlink" Target="https://www.kalminer.com.au/business/cnbc/villas-by-the-sea-rich-russians-fleeing-sanctions-are-pumping-up-dubais-property-sector-c-7449496" TargetMode="External"/><Relationship Id="rId85" Type="http://schemas.openxmlformats.org/officeDocument/2006/relationships/hyperlink" Target="https://www.thenationalnews.com/business/property/2022/07/08/are-top-dubai-property-prices-going-above-dh300m/" TargetMode="External"/><Relationship Id="rId88" Type="http://schemas.openxmlformats.org/officeDocument/2006/relationships/hyperlink" Target="https://www.arabianbusiness.com/money/wealth/money-wealth-real-estate/dubai-commercial-real-estate-sales-value-jumps-89-percent-in-first-half-of-2022-report" TargetMode="External"/><Relationship Id="rId87" Type="http://schemas.openxmlformats.org/officeDocument/2006/relationships/hyperlink" Target="https://gulfnews.com/business/property/planning-to-rent-a-new-home-in-dubai---then-just-do-it-fast-1.1657682956150" TargetMode="External"/><Relationship Id="rId89" Type="http://schemas.openxmlformats.org/officeDocument/2006/relationships/hyperlink" Target="https://www.zawya.com/en/press-release/research-and-studies/the-commercial-real-estate-market-witnessed-89-growth-in-sales-for-h1-2022-yke1ratr" TargetMode="External"/><Relationship Id="rId80" Type="http://schemas.openxmlformats.org/officeDocument/2006/relationships/hyperlink" Target="https://www.thenationalnews.com/business/property/2022/06/21/has-dubais-city-centre-turned-towards-business-bay-amid-soaring-property-prices/" TargetMode="External"/><Relationship Id="rId82" Type="http://schemas.openxmlformats.org/officeDocument/2006/relationships/hyperlink" Target="https://www.thenationalnews.com/podcasts/pocketful-of-dirhams/2022/06/28/is-now-the-time-to-invest-in-uae-property-pocketful-of-dirhams/" TargetMode="External"/><Relationship Id="rId81" Type="http://schemas.openxmlformats.org/officeDocument/2006/relationships/hyperlink" Target="https://www.zawya.com/en/press-release/companies-news/untapped-areas-remain-ripe-for-luxury-development-amidst-market-boom-rk7x6fdr" TargetMode="External"/><Relationship Id="rId73" Type="http://schemas.openxmlformats.org/officeDocument/2006/relationships/hyperlink" Target="https://www.zawya.com/en/press-release/companies-news/crc-witnessed-the-demand-for-quality-commercial-office-space-hit-its-highest-peak-since-2016-d8jtcq2t" TargetMode="External"/><Relationship Id="rId72" Type="http://schemas.openxmlformats.org/officeDocument/2006/relationships/hyperlink" Target="https://whatson.ae/2022/06/dubai-bar-the-cheeky-camel-love-island-screening-party/" TargetMode="External"/><Relationship Id="rId75" Type="http://schemas.openxmlformats.org/officeDocument/2006/relationships/hyperlink" Target="https://www.theguardian.com/world/2022/jun/11/blacklist-dubai-uae-over-russian-oligarchs-say-ukraine-campaigners" TargetMode="External"/><Relationship Id="rId74" Type="http://schemas.openxmlformats.org/officeDocument/2006/relationships/hyperlink" Target="https://meconstructionnews.com/52640/grade-a-commercial-real-estate-sees-surge-in-may-2022-says-crc" TargetMode="External"/><Relationship Id="rId77" Type="http://schemas.openxmlformats.org/officeDocument/2006/relationships/hyperlink" Target="https://www.eureporter.co/world/ukraine/2022/06/14/united-arab-emirates-has-emerged-as-a-haven-for-russians-fleeing-the-impact-of-western-sanctions-but-how-long-will-it-last/" TargetMode="External"/><Relationship Id="rId76" Type="http://schemas.openxmlformats.org/officeDocument/2006/relationships/hyperlink" Target="https://english.alaraby.co.uk/news/uae-haven-oligarchs-must-be-blacklistedcritics" TargetMode="External"/><Relationship Id="rId79" Type="http://schemas.openxmlformats.org/officeDocument/2006/relationships/hyperlink" Target="https://gulfnews.com/business/property/dubai-developers-need-to-bring-back-longer-post-handover-payment-plans-to-help-offplan-buyers-1.1655783971158" TargetMode="External"/><Relationship Id="rId78" Type="http://schemas.openxmlformats.org/officeDocument/2006/relationships/hyperlink" Target="https://www.zawya.com/en/business/real-estate/russian-investors-in-dubai-real-estate-have-doubled-in-2022-top-brokers-say-cdr6sqp0" TargetMode="External"/><Relationship Id="rId71" Type="http://schemas.openxmlformats.org/officeDocument/2006/relationships/hyperlink" Target="https://www.albawaba.com/business/pr/bayut-dubizzle-wow-real-estate-fraternity-region%E2%80%99s-biggest-proptech-summit-b3dxb-2022" TargetMode="External"/><Relationship Id="rId70" Type="http://schemas.openxmlformats.org/officeDocument/2006/relationships/hyperlink" Target="https://whatson.ae/2022/05/a-dubai-real-estate-agent-is-on-the-new-series-of-love-island/" TargetMode="External"/><Relationship Id="rId62" Type="http://schemas.openxmlformats.org/officeDocument/2006/relationships/hyperlink" Target="https://leadership.ng/ukraine-war-russians-flee-to-dubai-to-avoid-sanctions/" TargetMode="External"/><Relationship Id="rId61" Type="http://schemas.openxmlformats.org/officeDocument/2006/relationships/hyperlink" Target="https://www.zawya.com/en/press-release/companies-news/crc-pulls-off-a-three-floor-office-space-deal-in-one-by-omniyat-business-bay-xgtmuzna" TargetMode="External"/><Relationship Id="rId64" Type="http://schemas.openxmlformats.org/officeDocument/2006/relationships/hyperlink" Target="https://www.thenationalnews.com/weekend/2022/05/27/nine-questions-to-ask-if-you-plan-to-rent-or-buy-a-property/" TargetMode="External"/><Relationship Id="rId63" Type="http://schemas.openxmlformats.org/officeDocument/2006/relationships/hyperlink" Target="https://cronullanews.sydney/article/46343/to-avoid-sanctions-russians-flee-to-dubai/" TargetMode="External"/><Relationship Id="rId66" Type="http://schemas.openxmlformats.org/officeDocument/2006/relationships/hyperlink" Target="https://www.khaleejtimes.com/property/dubai-rents-to-pick-up-further-in-2022" TargetMode="External"/><Relationship Id="rId65" Type="http://schemas.openxmlformats.org/officeDocument/2006/relationships/hyperlink" Target="https://www.thenationalnews.com/uae/2022/05/29/what-uae-families-can-do-to-keep-down-the-cost-of-living/" TargetMode="External"/><Relationship Id="rId68" Type="http://schemas.openxmlformats.org/officeDocument/2006/relationships/hyperlink" Target="https://menafn.com/1104294803/Dubai-Rents-To-Pick-Up-Further-In-2022" TargetMode="External"/><Relationship Id="rId67" Type="http://schemas.openxmlformats.org/officeDocument/2006/relationships/hyperlink" Target="https://www.arabianbusiness.com/opinion/the-increase-in-interest-rates-has-created-an-all-time-high-on-mortgage-applications" TargetMode="External"/><Relationship Id="rId60" Type="http://schemas.openxmlformats.org/officeDocument/2006/relationships/hyperlink" Target="http://www.businessmole.com/ryan-mahoney-dubai-uae-crc-market-report-on-commercial-properties/" TargetMode="External"/><Relationship Id="rId69" Type="http://schemas.openxmlformats.org/officeDocument/2006/relationships/hyperlink" Target="https://www.realitytitbit.com/dating/love-island/andrew-le-page-estate-agent" TargetMode="External"/><Relationship Id="rId51" Type="http://schemas.openxmlformats.org/officeDocument/2006/relationships/hyperlink" Target="https://www.thenationalnews.com/weekend/2022/04/22/five-renovations-that-could-actually-lower-the-value-of-your-home/" TargetMode="External"/><Relationship Id="rId50" Type="http://schemas.openxmlformats.org/officeDocument/2006/relationships/hyperlink" Target="https://www.arabianbusiness.com/money/wealth/money-wealth-real-estate/dubais-commercial-property-market-soars-as-post-covid-confidence-leads-to-strongest-quarter-since-2016" TargetMode="External"/><Relationship Id="rId53" Type="http://schemas.openxmlformats.org/officeDocument/2006/relationships/hyperlink" Target="https://www.bloomberg.com/news/newsletters/2022-04-25/rising-oil-prices-a-boon-for-saudi-arabia-s-economy" TargetMode="External"/><Relationship Id="rId52" Type="http://schemas.openxmlformats.org/officeDocument/2006/relationships/hyperlink" Target="https://www.arabnews.com/node/2066971/business-economy" TargetMode="External"/><Relationship Id="rId55" Type="http://schemas.openxmlformats.org/officeDocument/2006/relationships/hyperlink" Target="https://www.mirror.co.uk/news/world-news/russian-firms-billionaires-flee-dubai-26885574" TargetMode="External"/><Relationship Id="rId54" Type="http://schemas.openxmlformats.org/officeDocument/2006/relationships/hyperlink" Target="https://www.bbc.com/news/business-61257448" TargetMode="External"/><Relationship Id="rId57" Type="http://schemas.openxmlformats.org/officeDocument/2006/relationships/hyperlink" Target="https://www.arise.tv/wealthy-russians-flee-to-dubai-to-avoid-sanctions/" TargetMode="External"/><Relationship Id="rId56" Type="http://schemas.openxmlformats.org/officeDocument/2006/relationships/hyperlink" Target="https://www.internationalinvestment.net/news/4049274/thirds-surge-dubai-property-sales-russians" TargetMode="External"/><Relationship Id="rId59" Type="http://schemas.openxmlformats.org/officeDocument/2006/relationships/hyperlink" Target="https://www.universenewsnetwork.com/2022/05/12/ryan-mahoney-dubai-uae-crc-market-report-on-commercial-properties/" TargetMode="External"/><Relationship Id="rId58" Type="http://schemas.openxmlformats.org/officeDocument/2006/relationships/hyperlink" Target="https://www.arabnews.com/node/2076071/business-economy" TargetMode="External"/><Relationship Id="rId107" Type="http://schemas.openxmlformats.org/officeDocument/2006/relationships/hyperlink" Target="https://www.brecorder.com/news/40188927/pakistanis-among-top-10-buyers-in-dubai-as-real-estate-sales-surge-in-h1-2022" TargetMode="External"/><Relationship Id="rId228" Type="http://schemas.openxmlformats.org/officeDocument/2006/relationships/hyperlink" Target="https://www.zawya.com/en/business/real-estate/betterhomes-focuses-on-dubailand-al-qudra-sales-as-population-grows-wzu2tx7x" TargetMode="External"/><Relationship Id="rId349" Type="http://schemas.openxmlformats.org/officeDocument/2006/relationships/hyperlink" Target="https://www.khaleejtimes.com/business/your-guide-to-renting-in-dubai" TargetMode="External"/><Relationship Id="rId106" Type="http://schemas.openxmlformats.org/officeDocument/2006/relationships/hyperlink" Target="https://www.globalvillagespace.com/insights-of-the-news-pakistanis-among-top-10-buyers-of-dubai-property/" TargetMode="External"/><Relationship Id="rId227" Type="http://schemas.openxmlformats.org/officeDocument/2006/relationships/hyperlink" Target="https://meconstructionnews.com/55507/betterhomes-purchases-full-floor-in-motor-city-office-tower" TargetMode="External"/><Relationship Id="rId348" Type="http://schemas.openxmlformats.org/officeDocument/2006/relationships/hyperlink" Target="https://www.thenationalnews.com/uae/2023/05/07/dubais-world-islands-developer-aims-for-2026-finish-after-fresh-delays/" TargetMode="External"/><Relationship Id="rId105" Type="http://schemas.openxmlformats.org/officeDocument/2006/relationships/hyperlink" Target="https://www.dawn.com/news/1702248" TargetMode="External"/><Relationship Id="rId226" Type="http://schemas.openxmlformats.org/officeDocument/2006/relationships/hyperlink" Target="https://gulfnews.com/business/property/in-dubai-new-1-year-rental-listings-drop-as-landlords-chase-short-term-rentals-1.1669003557826" TargetMode="External"/><Relationship Id="rId347" Type="http://schemas.openxmlformats.org/officeDocument/2006/relationships/hyperlink" Target="https://runews24.ru/realty/08/05/2023/2d3010790707d895bb61870f26beba78" TargetMode="External"/><Relationship Id="rId104" Type="http://schemas.openxmlformats.org/officeDocument/2006/relationships/hyperlink" Target="https://www.moneyandbanking.co.th/article/news/estate-market-dubai-raise-290765" TargetMode="External"/><Relationship Id="rId225" Type="http://schemas.openxmlformats.org/officeDocument/2006/relationships/hyperlink" Target="https://www.washingtonpost.com/world/2022/11/17/uae-dubai-russia-ukraine-war/" TargetMode="External"/><Relationship Id="rId346" Type="http://schemas.openxmlformats.org/officeDocument/2006/relationships/hyperlink" Target="https://www.arabianbusiness.com/industries/real-estate/dubais-most-popular-residential-areas-buyer-nationalities-revealed" TargetMode="External"/><Relationship Id="rId109" Type="http://schemas.openxmlformats.org/officeDocument/2006/relationships/hyperlink" Target="https://www.propertynews.ae/uae/aed1-8-billion-worth-of-real-estate-transactions-were-recorded-in-dubai-on-wednesday/" TargetMode="External"/><Relationship Id="rId108" Type="http://schemas.openxmlformats.org/officeDocument/2006/relationships/hyperlink" Target="https://www.khaleejtimes.com/uae/dubai-villa-rents-increase-as-demand-for-bigger-homes-soars-post-covid" TargetMode="External"/><Relationship Id="rId229" Type="http://schemas.openxmlformats.org/officeDocument/2006/relationships/hyperlink" Target="https://www.zawya.com/en/press-release/companies-news/betterhomes-acquires-full-floor-office-in-control-tower-motor-city-from-emirates-nbd-tyqxw12e" TargetMode="External"/><Relationship Id="rId220" Type="http://schemas.openxmlformats.org/officeDocument/2006/relationships/hyperlink" Target="https://www.reuters.com/world/middle-east/emaar-beats-forecasts-with-46-q3-profit-rise-dubai-rebounds-2022-11-14/" TargetMode="External"/><Relationship Id="rId341" Type="http://schemas.openxmlformats.org/officeDocument/2006/relationships/hyperlink" Target="https://www.zawya.com/en/business/real-estate/steps-to-buying-a-property-in-dubai-ym3xbfuu" TargetMode="External"/><Relationship Id="rId340" Type="http://schemas.openxmlformats.org/officeDocument/2006/relationships/hyperlink" Target="https://www.khaleejtimes.com/business/property/dubai-property-british-indian-and-russian-buyers-lead-real-estate-market-pakistanis-slip-out-of" TargetMode="External"/><Relationship Id="rId103" Type="http://schemas.openxmlformats.org/officeDocument/2006/relationships/hyperlink" Target="https://www.investor.bg/po-sveta/453/a/prodajbite-na-jilishta-v-dubai-sa-narasnali-s-60-prez-pyrvoto-polugodie-357226/" TargetMode="External"/><Relationship Id="rId224" Type="http://schemas.openxmlformats.org/officeDocument/2006/relationships/hyperlink" Target="https://www.ziarulevenimentul.ro/stiri/vanzarile-de-locuinte-au-scazut-dramatic-cu-40-fata-de-anul-trecut-de-ce-nu-scad-si-preturile/vanzarile-de-locuinte-au-scazut-dramatic-cu-40-fata-de-anul-trecut-de-ce-nu-scad-si-preturile--217534779.html" TargetMode="External"/><Relationship Id="rId345" Type="http://schemas.openxmlformats.org/officeDocument/2006/relationships/hyperlink" Target="https://www.constructionweekonline.com/business/buying-property-in-dubai-top-buyer-nationalities-revealed" TargetMode="External"/><Relationship Id="rId102" Type="http://schemas.openxmlformats.org/officeDocument/2006/relationships/hyperlink" Target="https://www.elcorreo.ae/articulo/economia/ventas-propiedades-dubai-aumentan-60-rusos-inversores/20220730094403148127.html" TargetMode="External"/><Relationship Id="rId223" Type="http://schemas.openxmlformats.org/officeDocument/2006/relationships/hyperlink" Target="https://www.hotnews.ro/stiri-esential-25901100-press-report-muncitori-din-bangladesh-acuza-felul-care-sunt-tratati-sibiu-romanii-top-zece-cumparatori-imobiliare-dubai-cele-mai-bogate-comune-din-romania-guvernul-orbilor-face-romania-daca-intra-rece.htm" TargetMode="External"/><Relationship Id="rId344" Type="http://schemas.openxmlformats.org/officeDocument/2006/relationships/hyperlink" Target="https://www.khaleejtimes.com/business/how-much-do-i-have-to-pay-an-agent-to-buy-a-home-in-dubai" TargetMode="External"/><Relationship Id="rId101" Type="http://schemas.openxmlformats.org/officeDocument/2006/relationships/hyperlink" Target="https://www.instagram.com/p/CgpIFINLnKe/?utm_source=ig_web_copy_link" TargetMode="External"/><Relationship Id="rId222" Type="http://schemas.openxmlformats.org/officeDocument/2006/relationships/hyperlink" Target="https://baoquocte.vn/khung-hoang-nang-luong-khong-phai-my-hay-na-uy-day-moi-la-nhung-nuoc-kiem-bon-tien-tu-xung-dot-nga-ukraine-205821.html" TargetMode="External"/><Relationship Id="rId343" Type="http://schemas.openxmlformats.org/officeDocument/2006/relationships/hyperlink" Target="https://www.9news.com.au/world/dubai-island-plot-of-empty-land-sold-for-fifty-million-dollars-in-record-sale/7e7745b4-340e-47e2-be40-166b3c9b3c1f" TargetMode="External"/><Relationship Id="rId100" Type="http://schemas.openxmlformats.org/officeDocument/2006/relationships/hyperlink" Target="https://www.thenews.com.pk/print/978208-pakistanis-among-top-10-buyers-of-dubai-property" TargetMode="External"/><Relationship Id="rId221" Type="http://schemas.openxmlformats.org/officeDocument/2006/relationships/hyperlink" Target="https://www.zawya.com/en/business/real-estate/real-estate-trends-uae-buyers-rush-to-fix-rates-cash-deals-are-surging-ousihn3d" TargetMode="External"/><Relationship Id="rId342" Type="http://schemas.openxmlformats.org/officeDocument/2006/relationships/hyperlink" Target="https://www.khaleejtimes.com/business/property/steps-to-buying-a-property-in-dubai" TargetMode="External"/><Relationship Id="rId217" Type="http://schemas.openxmlformats.org/officeDocument/2006/relationships/hyperlink" Target="https://www.agbi.com/articles/dubais-brick-and-mortar-retailers-hold-their-own-against-online-competition/" TargetMode="External"/><Relationship Id="rId338" Type="http://schemas.openxmlformats.org/officeDocument/2006/relationships/hyperlink" Target="https://www.forbes.ru/brandvoice/488385-emirat-vozmoznostej-osobennosti-relokacii-v-dubaj" TargetMode="External"/><Relationship Id="rId216" Type="http://schemas.openxmlformats.org/officeDocument/2006/relationships/hyperlink" Target="https://www.zawya.com/en/press-release/companies-news/dubais-leading-commercial-real-estate-crc-expands-with-a-new-office-in-dubai-marina-sx7jfvzz" TargetMode="External"/><Relationship Id="rId337" Type="http://schemas.openxmlformats.org/officeDocument/2006/relationships/hyperlink" Target="https://www.forbes.ru/brandvoice/488403-zit-gde-solnce-i-more-12-voprosov-o-nedvizimosti-v-turcii" TargetMode="External"/><Relationship Id="rId215" Type="http://schemas.openxmlformats.org/officeDocument/2006/relationships/hyperlink" Target="https://www.arabnews.com/node/2196421/6-middle-eastern-reality-tv-shows-watch" TargetMode="External"/><Relationship Id="rId336" Type="http://schemas.openxmlformats.org/officeDocument/2006/relationships/hyperlink" Target="https://ziare.com/dubai/paradisul-rusilor-emiratele-arabe-lovitura-pentru-putin-cea-mai-mare-banca-dubai-enbd-blocheaza-conturile-investitii-rusi-1799578" TargetMode="External"/><Relationship Id="rId214" Type="http://schemas.openxmlformats.org/officeDocument/2006/relationships/hyperlink" Target="https://www.thenationalnews.com/business/money/2022/11/09/the-debt-panel-i-lost-my-5445-short-term-rental-deposit/" TargetMode="External"/><Relationship Id="rId335" Type="http://schemas.openxmlformats.org/officeDocument/2006/relationships/hyperlink" Target="https://www.khaleejtimes.com/business/how-to-buy-property-in-dubai-if-you-are-not-a-resident" TargetMode="External"/><Relationship Id="rId219" Type="http://schemas.openxmlformats.org/officeDocument/2006/relationships/hyperlink" Target="https://www.cbc.ca/news/world/russia-ukraine-war-geopolitical-winners-1.6649370" TargetMode="External"/><Relationship Id="rId218" Type="http://schemas.openxmlformats.org/officeDocument/2006/relationships/hyperlink" Target="https://adevarul.ro/economie/romanii-in-top-zece-cumparatori-de-imobiliare-in-2219651.html" TargetMode="External"/><Relationship Id="rId339" Type="http://schemas.openxmlformats.org/officeDocument/2006/relationships/hyperlink" Target="https://www.zawya.com/en/business/real-estate/dubai-property-british-indian-and-russian-buyers-lead-real-estate-market-pakistanis-slip-out-of-top-10-n61n484u" TargetMode="External"/><Relationship Id="rId330" Type="http://schemas.openxmlformats.org/officeDocument/2006/relationships/hyperlink" Target="https://haberglobal.com.tr/ekonomi/dubaide-tanidik-sozler-biz-tasinacagiz-cikin-241925" TargetMode="External"/><Relationship Id="rId213" Type="http://schemas.openxmlformats.org/officeDocument/2006/relationships/hyperlink" Target="https://www.zawya.com/en/press-release/companies-news/new-and-progressive-property-management-software-aims-to-bridge-the-communication-gap-between-tenants-and-landlords-mztvbkhd" TargetMode="External"/><Relationship Id="rId334" Type="http://schemas.openxmlformats.org/officeDocument/2006/relationships/hyperlink" Target="https://www.zawya.com/en/business/real-estate/how-to-buy-property-in-dubai-if-you-are-not-a-resident-ly409tqq" TargetMode="External"/><Relationship Id="rId212" Type="http://schemas.openxmlformats.org/officeDocument/2006/relationships/hyperlink" Target="https://www.reuters.com/business/dubai-developer-nakheel-secures-17-billion-dirhams-financing-2022-11-08/" TargetMode="External"/><Relationship Id="rId333" Type="http://schemas.openxmlformats.org/officeDocument/2006/relationships/hyperlink" Target="https://www.khaleejtimes.com/business/dubai-landlord-must-give-12-months-notice-if-property-is-to-be-vacated-for-renovation" TargetMode="External"/><Relationship Id="rId211" Type="http://schemas.openxmlformats.org/officeDocument/2006/relationships/hyperlink" Target="https://www.elcorreo.ae/articulo/economia/desarrollador-palmera-dubai-obtiene-4600-millones-dolares-proyectos/20221109100432150812.html" TargetMode="External"/><Relationship Id="rId332" Type="http://schemas.openxmlformats.org/officeDocument/2006/relationships/hyperlink" Target="https://www.jordannews.jo/Section-120/All/Russia-outside-Russia-For-elite-Dubai-becomes-a-wartime-harbor-27896" TargetMode="External"/><Relationship Id="rId210" Type="http://schemas.openxmlformats.org/officeDocument/2006/relationships/hyperlink" Target="https://www.zf.ro/business-international/unul-dintre-cele-mai-spectaculoase-proiecte-de-infrastructura-din-21305333" TargetMode="External"/><Relationship Id="rId331" Type="http://schemas.openxmlformats.org/officeDocument/2006/relationships/hyperlink" Target="https://www.bbc.com/hausa/articles/cqqzzd3r5nvo" TargetMode="External"/><Relationship Id="rId370" Type="http://schemas.openxmlformats.org/officeDocument/2006/relationships/hyperlink" Target="https://www.zawya.com/en/press-release/companies-news/50-of-the-citys-most-remarkable-homes-competed-for-the-crown-but-who-won-dubais-top-50-homes-competition-fu0mo56k" TargetMode="External"/><Relationship Id="rId129" Type="http://schemas.openxmlformats.org/officeDocument/2006/relationships/hyperlink" Target="https://gulfnews.com/business/property/as-rents-rise-20-30-more-dubai-residents-see-better-value-in-renewing-contracts-than-chase-new-ones-1.1660102666420" TargetMode="External"/><Relationship Id="rId128" Type="http://schemas.openxmlformats.org/officeDocument/2006/relationships/hyperlink" Target="https://www.reuters.com/world/middle-east/major-gulf-bourses-trade-mixed-abu-dhabi-record-high-2022-08-10/" TargetMode="External"/><Relationship Id="rId249" Type="http://schemas.openxmlformats.org/officeDocument/2006/relationships/hyperlink" Target="https://www.ilmattino.it/primopiano/esteri/abramovich_oligarchi_russi_investimenti_dubai_cosa_sta_succedendo-7173231.html" TargetMode="External"/><Relationship Id="rId127" Type="http://schemas.openxmlformats.org/officeDocument/2006/relationships/hyperlink" Target="https://www.gdnonline.com/Details/1139529" TargetMode="External"/><Relationship Id="rId248" Type="http://schemas.openxmlformats.org/officeDocument/2006/relationships/hyperlink" Target="https://finanzmarktwelt.de/immobilien-so-massiv-stroemt-russisches-geld-nach-dubai-258253/" TargetMode="External"/><Relationship Id="rId369" Type="http://schemas.openxmlformats.org/officeDocument/2006/relationships/hyperlink" Target="https://www.saltwire.com/prince-edward-island/business/dubai-chases-long-term-growth-as-property-booms-seeks-to-blunt-debt-risk-100865458/" TargetMode="External"/><Relationship Id="rId126" Type="http://schemas.openxmlformats.org/officeDocument/2006/relationships/hyperlink" Target="https://buzznews.it/la-piu-grande-banca-di-dubai-offre-ai-dipendenti-un-aumento-degli-stipendi-dovuti-allinflazione/" TargetMode="External"/><Relationship Id="rId247" Type="http://schemas.openxmlformats.org/officeDocument/2006/relationships/hyperlink" Target="https://www.di.se/live/ryska-pengar-dopar-dubais-fastighetsmarknad-nar-ny-rekordniva/" TargetMode="External"/><Relationship Id="rId368" Type="http://schemas.openxmlformats.org/officeDocument/2006/relationships/hyperlink" Target="https://au.sports.yahoo.com/dubai-eyes-long-term-growth-134304251.html" TargetMode="External"/><Relationship Id="rId121" Type="http://schemas.openxmlformats.org/officeDocument/2006/relationships/hyperlink" Target="https://www.reuters.com/business/finance/dubais-biggest-bank-gives-staff-pay-rise-inflation-sources-2022-08-09/" TargetMode="External"/><Relationship Id="rId242" Type="http://schemas.openxmlformats.org/officeDocument/2006/relationships/hyperlink" Target="https://gulfnews.com/business/analysis/uae-corporate-tax-businesses-have-some-early-preparations-to-do-1.92961154" TargetMode="External"/><Relationship Id="rId363" Type="http://schemas.openxmlformats.org/officeDocument/2006/relationships/hyperlink" Target="https://cnnbusinessarabic.com/real-estate-construction/27602/%d8%ad%d9%81%d9%84-%d8%aa%d9%88%d8%b2%d9%8a%d8%b9-%d8%ac%d9%88%d8%a7%d8%a6%d8%b2-%d8%a3%d9%81%d8%b6%d9%84-50-%d9%85%d9%86%d8%b2%d9%84%d8%a7%d9%8b-%d9%81%d9%8a-%d8%af%d8%a8%d9%8a-%d9%8a%d8%ad%d8%aa" TargetMode="External"/><Relationship Id="rId120" Type="http://schemas.openxmlformats.org/officeDocument/2006/relationships/hyperlink" Target="https://gulfnews.com/business/property/in-uae-offices-emerge-as-next-big-deal-with-aldar-making-dh43b-statement-1.1659761770792" TargetMode="External"/><Relationship Id="rId241" Type="http://schemas.openxmlformats.org/officeDocument/2006/relationships/hyperlink" Target="https://www.thenationalnews.com/weekend/2022/12/30/can-the-dubai-real-estate-market-outrun-a-global-downturn-in-2023/" TargetMode="External"/><Relationship Id="rId362" Type="http://schemas.openxmlformats.org/officeDocument/2006/relationships/hyperlink" Target="https://panorama.ro/imobiliare-dubai-investitie-romani-piata-imobiliara/" TargetMode="External"/><Relationship Id="rId240" Type="http://schemas.openxmlformats.org/officeDocument/2006/relationships/hyperlink" Target="https://www.thenationalnews.com/business/property/2022/12/28/how-will-dubai-and-abu-dhabi-property-markets-perform-in-2023/" TargetMode="External"/><Relationship Id="rId361" Type="http://schemas.openxmlformats.org/officeDocument/2006/relationships/hyperlink" Target="https://www.thenationalnews.com/uae/2023/06/08/moving-to-abu-dhabi-best-residential-areas-for-middle-income-earners/" TargetMode="External"/><Relationship Id="rId360" Type="http://schemas.openxmlformats.org/officeDocument/2006/relationships/hyperlink" Target="https://www.digitaljournal.com/pr/news/binary-news-network/the-uphill-trajectory-of-property-technology-within-the-middle-east" TargetMode="External"/><Relationship Id="rId125" Type="http://schemas.openxmlformats.org/officeDocument/2006/relationships/hyperlink" Target="https://sindobatam.com/bank-terbesar-di-dubai-memberi-karyawan-kenaikan-gaji-inflasi/" TargetMode="External"/><Relationship Id="rId246" Type="http://schemas.openxmlformats.org/officeDocument/2006/relationships/hyperlink" Target="https://www.arabnews.com/node/2233301/business-economy" TargetMode="External"/><Relationship Id="rId367" Type="http://schemas.openxmlformats.org/officeDocument/2006/relationships/hyperlink" Target="https://www.thenationalnews.com/uae/2023/06/15/dubais-property-bubble-far-from-bursting-real-estate-experts-say/" TargetMode="External"/><Relationship Id="rId124" Type="http://schemas.openxmlformats.org/officeDocument/2006/relationships/hyperlink" Target="https://noticiasdelmundo.news/emiratos-arabes-unidos-el-banco-mas-grande-de-dubai-aumenta-el-sueldo-del-personal-por-la-inflacion/" TargetMode="External"/><Relationship Id="rId245" Type="http://schemas.openxmlformats.org/officeDocument/2006/relationships/hyperlink" Target="https://foco.lanacion.com.py/2023/01/16/por-que-dubai-logro-record-de-transacciones-inmobiliarias-en-2022/" TargetMode="External"/><Relationship Id="rId366" Type="http://schemas.openxmlformats.org/officeDocument/2006/relationships/hyperlink" Target="https://www.arabianbusiness.com/resources/from-pandemic-era-startup-to-industry-player-k4s-rise-to-the-top" TargetMode="External"/><Relationship Id="rId123" Type="http://schemas.openxmlformats.org/officeDocument/2006/relationships/hyperlink" Target="https://www.reuters.com/business/finance/dubais-biggest-bank-gives-staff-pay-rise-inflation-sources-2022-08-09/" TargetMode="External"/><Relationship Id="rId244" Type="http://schemas.openxmlformats.org/officeDocument/2006/relationships/hyperlink" Target="https://titulares.ar/dubai-alcanza-cifra-record-de-transacciones-inmobiliarias-de-mas-de-143-000-millones-tras-anos-de-crisis/" TargetMode="External"/><Relationship Id="rId365" Type="http://schemas.openxmlformats.org/officeDocument/2006/relationships/hyperlink" Target="https://areamilitarof.com/russia-os-russos-lideram-entre-os-compradores-estrangeiros-de-imoveis-na-turquia-ha-meio-ano/" TargetMode="External"/><Relationship Id="rId122" Type="http://schemas.openxmlformats.org/officeDocument/2006/relationships/hyperlink" Target="https://www.zawya.com/en/business/banking-and-insurance/dubais-biggest-bank-gives-staff-a-pay-rise-for-inflation-sources-axdjmqoe" TargetMode="External"/><Relationship Id="rId243" Type="http://schemas.openxmlformats.org/officeDocument/2006/relationships/hyperlink" Target="https://manager.bg/%D0%B1%D0%B8%D0%B7%D0%BD%D0%B5%D1%81/rusnacite-stanaha-nai-golemite-kupuvachi-na-luksozni-imoti-v-dubai" TargetMode="External"/><Relationship Id="rId364" Type="http://schemas.openxmlformats.org/officeDocument/2006/relationships/hyperlink" Target="https://www.khaleejtimes.com/business/uae-here-are-the-various-visas-you-can-get-on-purchasing-a-property" TargetMode="External"/><Relationship Id="rId95" Type="http://schemas.openxmlformats.org/officeDocument/2006/relationships/hyperlink" Target="https://www.zawya.com/en/business/real-estate/russians-are-fourth-largest-homebuyers-in-dubai-this-year-llwluic0" TargetMode="External"/><Relationship Id="rId94" Type="http://schemas.openxmlformats.org/officeDocument/2006/relationships/hyperlink" Target="https://www.zawya.com/en/business/real-estate/dubai-remains-prime-target-of-property-investors-rx1gcgeg" TargetMode="External"/><Relationship Id="rId97" Type="http://schemas.openxmlformats.org/officeDocument/2006/relationships/hyperlink" Target="https://www.constructionweekonline.com/business/betterhomes-report-h1-2022" TargetMode="External"/><Relationship Id="rId96" Type="http://schemas.openxmlformats.org/officeDocument/2006/relationships/hyperlink" Target="https://www.reuters.com/markets/europe/dubai-real-estate-sales-surge-60-investors-russians-snap-up-property-2022-07-28/" TargetMode="External"/><Relationship Id="rId99" Type="http://schemas.openxmlformats.org/officeDocument/2006/relationships/hyperlink" Target="https://www.businesstimes.com.sg/real-estate/dubai-real-estate-sales-surge-60-as-investors-russians-snap-up-property" TargetMode="External"/><Relationship Id="rId98" Type="http://schemas.openxmlformats.org/officeDocument/2006/relationships/hyperlink" Target="https://economictimes.indiatimes.com/news/international/uae/dubai-real-estate-sales-surge-60-as-investors-russians-snap-up-property/articleshow/93194871.cms?from=mdr" TargetMode="External"/><Relationship Id="rId91" Type="http://schemas.openxmlformats.org/officeDocument/2006/relationships/hyperlink" Target="https://gulfnews.com/business/property/in-dubai-residents-find-rent-renewals-offer-cheaper-option-in-h1-2022-1.89517839" TargetMode="External"/><Relationship Id="rId90" Type="http://schemas.openxmlformats.org/officeDocument/2006/relationships/hyperlink" Target="https://www.linkedin.com/posts/crc-property_head-of-crc-andrew-elliott-live-on-the-business-activity-6957618158002139136-Osgl?utm_source=linkedin_share&amp;utm_medium=member_desktop_web" TargetMode="External"/><Relationship Id="rId93" Type="http://schemas.openxmlformats.org/officeDocument/2006/relationships/hyperlink" Target="https://www.khaleejtimes.com/business/dubai-remains-prime-target-of-property-investors" TargetMode="External"/><Relationship Id="rId92" Type="http://schemas.openxmlformats.org/officeDocument/2006/relationships/hyperlink" Target="https://www.linkedin.com/posts/better-homes-llc_richard-waind-on-the-business-breakfast-activity-6958047289240117249-kP3m?utm_source=linkedin_share&amp;utm_medium=member_desktop_web" TargetMode="External"/><Relationship Id="rId118" Type="http://schemas.openxmlformats.org/officeDocument/2006/relationships/hyperlink" Target="https://www.moneycontrol.com/news/trends/travel-trends/immigration-series-why-are-so-many-indians-buying-property-in-dubai-8964261.html" TargetMode="External"/><Relationship Id="rId239" Type="http://schemas.openxmlformats.org/officeDocument/2006/relationships/hyperlink" Target="https://www.thenationalnews.com/business/money/2022/12/30/what-would-you-do-if-you-won-dh200m/" TargetMode="External"/><Relationship Id="rId117" Type="http://schemas.openxmlformats.org/officeDocument/2006/relationships/hyperlink" Target="https://www.khaleejtimes.com/business/what-are-5-questions-to-ask-before-i-buy-a-property-in-dubai" TargetMode="External"/><Relationship Id="rId238" Type="http://schemas.openxmlformats.org/officeDocument/2006/relationships/hyperlink" Target="https://www.zawya.com/en/business/real-estate/dubai-most-affordable-areas-as-rents-set-to-rise-further-in-2023-iki3ms8s" TargetMode="External"/><Relationship Id="rId359" Type="http://schemas.openxmlformats.org/officeDocument/2006/relationships/hyperlink" Target="https://lepetitjournal.com/dubai/logement/quartiers-populaires-dubai-nationalites-acheteurs-361117" TargetMode="External"/><Relationship Id="rId116" Type="http://schemas.openxmlformats.org/officeDocument/2006/relationships/hyperlink" Target="https://menafn.com/1104648693/What-Are-5-Questions-To-Ask-Before-I-Buy-A-Property-In-Dubai" TargetMode="External"/><Relationship Id="rId237" Type="http://schemas.openxmlformats.org/officeDocument/2006/relationships/hyperlink" Target="https://www.khaleejtimes.com/business/property/dubai-most-affordable-areas-as-rents-set-to-rise-further-in-2023?_refresh=true" TargetMode="External"/><Relationship Id="rId358" Type="http://schemas.openxmlformats.org/officeDocument/2006/relationships/hyperlink" Target="https://www.khaleejtimes.com/business/property/top-luxury-property-buyers-in-dubai-chinese-british-investors-overtake-indians" TargetMode="External"/><Relationship Id="rId115" Type="http://schemas.openxmlformats.org/officeDocument/2006/relationships/hyperlink" Target="https://www.zawya.com/en/business/real-estate/what-are-five-questions-to-ask-before-i-buy-a-property-in-dubai-tey1miy5" TargetMode="External"/><Relationship Id="rId236" Type="http://schemas.openxmlformats.org/officeDocument/2006/relationships/hyperlink" Target="https://english.alarabiya.net/features/2022/12/07/DNP-Dubai-residents-forced-to-move-as-soaring-rents-far-outstrip-salary-increases-" TargetMode="External"/><Relationship Id="rId357" Type="http://schemas.openxmlformats.org/officeDocument/2006/relationships/hyperlink" Target="https://www.capital.fr/immobilier/pourquoi-la-guerre-en-ukraine-a-provoque-une-augmentation-de-36-des-loyers-a-dubai-1469893" TargetMode="External"/><Relationship Id="rId119" Type="http://schemas.openxmlformats.org/officeDocument/2006/relationships/hyperlink" Target="https://www.thenationalnews.com/business/money/2022/08/05/bank-of-englands-rate-increase-makes-uk-property-more-appealing-to-middle-east-investors/" TargetMode="External"/><Relationship Id="rId110" Type="http://schemas.openxmlformats.org/officeDocument/2006/relationships/hyperlink" Target="https://www.khaleejtimes.com/property/uae-how-much-mortgage-can-dubai-property-buyers-apply-for" TargetMode="External"/><Relationship Id="rId231" Type="http://schemas.openxmlformats.org/officeDocument/2006/relationships/hyperlink" Target="https://gulfnews.com/business/property/dubai-home-rent-increases-could-cool-if-star-rating-for-buildings-determines-rental-index-1.1669176870570" TargetMode="External"/><Relationship Id="rId352" Type="http://schemas.openxmlformats.org/officeDocument/2006/relationships/hyperlink" Target="https://www.lemonde.fr/international/article/2023/05/24/a-dubai-l-afflux-des-russes-provoque-une-crise-immobiliere_6174649_3210.html" TargetMode="External"/><Relationship Id="rId230" Type="http://schemas.openxmlformats.org/officeDocument/2006/relationships/hyperlink" Target="https://english.alarabiya.net/business/property/2022/11/23/Dubai-records-huge-short-term-rental-boom-in-months-leading-up-to-Qatar-World-Cup" TargetMode="External"/><Relationship Id="rId351" Type="http://schemas.openxmlformats.org/officeDocument/2006/relationships/hyperlink" Target="https://www.thenationalnews.com/uae/2023/05/17/tenants-served-notice-as-palm-jumeriahs-the-pointe-tipped-for-redevelopment/" TargetMode="External"/><Relationship Id="rId350" Type="http://schemas.openxmlformats.org/officeDocument/2006/relationships/hyperlink" Target="https://www.atalayar.com/articulo/economia-y-empresas/dubai-ciudad-que-atrae-cada-vez-mas-empresarios-extranjeros/20230509162107184378.html" TargetMode="External"/><Relationship Id="rId114" Type="http://schemas.openxmlformats.org/officeDocument/2006/relationships/hyperlink" Target="https://www.zawya.com/en/press-release/companies-news/designed-to-promote-a-family-oriented-lifestyle-california-village-is-the-new-and-secure-community-living-in-dubai-r1x26tyy" TargetMode="External"/><Relationship Id="rId235" Type="http://schemas.openxmlformats.org/officeDocument/2006/relationships/hyperlink" Target="https://ru.investing.com/analysis/article-200298866" TargetMode="External"/><Relationship Id="rId356" Type="http://schemas.openxmlformats.org/officeDocument/2006/relationships/hyperlink" Target="https://www.zawya.com/en/press-release/companies-news/property-finder-brings-together-uae-real-estate-industry-leaders-at-property-finder-connect-2023-event-x1vs7r8h" TargetMode="External"/><Relationship Id="rId113" Type="http://schemas.openxmlformats.org/officeDocument/2006/relationships/hyperlink" Target="https://gulfnews.com/business/property/dubai-developers-are-finally-ready-with-new-villa-projects-as-there-is-no-let-up-in-demand-1.1659586803930" TargetMode="External"/><Relationship Id="rId234" Type="http://schemas.openxmlformats.org/officeDocument/2006/relationships/hyperlink" Target="https://www.dcnews.ro/programul-noua-casa-continua-si-in-2023-vesti-bune-pentru-romanii-care-vor-sa-isi-cumpere-o-locuinta-cate-garantii-s-au-dat-in-2022_897305.html" TargetMode="External"/><Relationship Id="rId355" Type="http://schemas.openxmlformats.org/officeDocument/2006/relationships/hyperlink" Target="https://www.khaleejtimes.com/business/are-rent-to-own-units-a-good-option-for-property-buyers-in-dubai" TargetMode="External"/><Relationship Id="rId112" Type="http://schemas.openxmlformats.org/officeDocument/2006/relationships/hyperlink" Target="https://www.mirchi9.com/politics/desis-topping-the-real-estate-charts-in-dubai/" TargetMode="External"/><Relationship Id="rId233" Type="http://schemas.openxmlformats.org/officeDocument/2006/relationships/hyperlink" Target="https://www.youtube.com/watch?v=Na8U_eNGIJQ" TargetMode="External"/><Relationship Id="rId354" Type="http://schemas.openxmlformats.org/officeDocument/2006/relationships/hyperlink" Target="https://www.zawya.com/en/business/real-estate/are-rent-to-own-units-a-good-option-for-property-buyers-in-dubai-j01bp4vu" TargetMode="External"/><Relationship Id="rId111" Type="http://schemas.openxmlformats.org/officeDocument/2006/relationships/hyperlink" Target="https://menafn.com/1104628153/UAE-How-Much-Mortgage-Can-Dubai-Property-Buyers-Apply-For" TargetMode="External"/><Relationship Id="rId232" Type="http://schemas.openxmlformats.org/officeDocument/2006/relationships/hyperlink" Target="https://www.zawya.com/en/multimedia/videos/short-stay-rentals-heat-up-in-dubai-thanks-to-world-cup-hk0q0adz" TargetMode="External"/><Relationship Id="rId353" Type="http://schemas.openxmlformats.org/officeDocument/2006/relationships/hyperlink" Target="https://thecradle.co/article-view/25252/uae-becomes-russian-gold-trade-hub-due-to-western-sanctions" TargetMode="External"/><Relationship Id="rId305" Type="http://schemas.openxmlformats.org/officeDocument/2006/relationships/hyperlink" Target="https://gulfnews.com/business/property/dubais-luxury-property-market-is-closing-in-on-new-york-los-angeles-1.94169475" TargetMode="External"/><Relationship Id="rId426" Type="http://schemas.openxmlformats.org/officeDocument/2006/relationships/hyperlink" Target="https://www.khaleejtimes.com/business/the-surge-of-custom-built-villas-in-palm-jumeirah-unveiling-the-trend-and-its-motivations" TargetMode="External"/><Relationship Id="rId304" Type="http://schemas.openxmlformats.org/officeDocument/2006/relationships/hyperlink" Target="https://menafn.com/1105644812/Dubai-Airport-Sees-Surge-In-Arrivals-Bolstered-By-Russian-Influx" TargetMode="External"/><Relationship Id="rId425" Type="http://schemas.openxmlformats.org/officeDocument/2006/relationships/hyperlink" Target="https://menafn.com/1106880144/The-Surge-Of-Custom-Built-Villas-In-Palm-Jumeirah-Unveiling-The-Trend-And-Its-Motivations" TargetMode="External"/><Relationship Id="rId303" Type="http://schemas.openxmlformats.org/officeDocument/2006/relationships/hyperlink" Target="https://www.instagram.com/reel/CpCbCVLAlhj/?id=3045115205483911267_1544565637" TargetMode="External"/><Relationship Id="rId424" Type="http://schemas.openxmlformats.org/officeDocument/2006/relationships/hyperlink" Target="https://cnnbusinessarabic.com/real-estate-construction/34375/%D8%A3%D9%8A%D9%87%D9%85%D8%A7-%D8%A3%D9%81%D8%B6%D9%84-%D8%B4%D8%B1%D8%A7%D8%A1-%D8%A7%D9%84%D8%B9%D9%82%D8%A7%D8%B1%D8%A7%D8%AA-%D8%A3%D9%85-%D8%A7%D8%B3%D8%AA%D8%A6%D8%AC%D8%A7%D8%B1%D9%87%D8%A7%D8%9F-%D8%A7%D9%84%D8%AE%D8%A8%D8%B1%D8%A7%D8%A1-%D9%8A%D8%AC%D9%8A%D8%A8%D9%88%D9%86" TargetMode="External"/><Relationship Id="rId302" Type="http://schemas.openxmlformats.org/officeDocument/2006/relationships/hyperlink" Target="https://www.forbesindia.com/article/lifes/dubai-housing-boom-buoys-buyers-burdens-tenants/83411/1" TargetMode="External"/><Relationship Id="rId423" Type="http://schemas.openxmlformats.org/officeDocument/2006/relationships/hyperlink" Target="https://www.khaleejtimes.com/business/how-is-off-plan-investment-different-from-investing-in-ready-properties" TargetMode="External"/><Relationship Id="rId309" Type="http://schemas.openxmlformats.org/officeDocument/2006/relationships/hyperlink" Target="https://www.ft.com/content/5ccb498b-9d6c-4a67-87aa-69f7e3f17092" TargetMode="External"/><Relationship Id="rId308" Type="http://schemas.openxmlformats.org/officeDocument/2006/relationships/hyperlink" Target="https://www.larepublica.co/ocio/las-casas-de-lujo-de-dubai-lideran-los-mejores-y-peores-mercados-inmobiliarios-del-mundo-3558753" TargetMode="External"/><Relationship Id="rId429" Type="http://schemas.openxmlformats.org/officeDocument/2006/relationships/hyperlink" Target="https://www.businessinsider.de/politik/international-politics/russlands-wirtschaftliche-probleme-haben-zu-flut-von-bargeld-gefuehrt-und-immobilienboom-in-den-vereinigten-arabischen-emiraten-ausgeloest/" TargetMode="External"/><Relationship Id="rId307" Type="http://schemas.openxmlformats.org/officeDocument/2006/relationships/hyperlink" Target="https://www.businesstimes.com.sg/property/dubais-luxury-property-market-closing-new-york-la" TargetMode="External"/><Relationship Id="rId428" Type="http://schemas.openxmlformats.org/officeDocument/2006/relationships/hyperlink" Target="https://www.russiamatters.org/news/russia-review/russia-review-aug-18-25-2023" TargetMode="External"/><Relationship Id="rId306" Type="http://schemas.openxmlformats.org/officeDocument/2006/relationships/hyperlink" Target="https://www.bloomberg.com/news/articles/2023-03-01/dubai-s-luxury-property-market-is-closing-in-on-new-york-london?utm_source=twitter&amp;utm_content=business&amp;utm_medium=social&amp;utm_campaign=socialflow-organic&amp;cmpid%3D=socialflow-twitter-pursuits&amp;cmpid=socialflow-twitter-business&amp;leadSource=uverify%20wall" TargetMode="External"/><Relationship Id="rId427" Type="http://schemas.openxmlformats.org/officeDocument/2006/relationships/hyperlink" Target="https://www.thenationalnews.com/uae/2023/08/24/best-area-live-dubai-family/" TargetMode="External"/><Relationship Id="rId301" Type="http://schemas.openxmlformats.org/officeDocument/2006/relationships/hyperlink" Target="https://www.bfmtv.com/immobilier/international-etranger/a-dubai-les-locataires-subissent-les-fortes-hausses-des-prix-de-l-immobilier_AD-202302230202.html" TargetMode="External"/><Relationship Id="rId422" Type="http://schemas.openxmlformats.org/officeDocument/2006/relationships/hyperlink" Target="https://www.zawya.com/en/business/real-estate/rents-in-dubai-up-to-5-500-discount-on-fewer-cheque-payments-snyex3vu" TargetMode="External"/><Relationship Id="rId300" Type="http://schemas.openxmlformats.org/officeDocument/2006/relationships/hyperlink" Target="https://finance.yahoo.com/news/g-7-sanctions-target-key-100000648.html?guccounter=1&amp;guce_referrer=aHR0cHM6Ly93d3cuZ29vZ2xlLmNvbS8&amp;guce_referrer_sig=AQAAANuRxrMPOhqOn5MEnoNAKUL86axWbGapzrkoX5cCD9T9DKehlHWNel1fiG4EzF1yW4Hg4YHNnxWWMQkY1fszEhPFGiL8AHhFHfGht_dn0gPU1ZxlxqGN27BeZJfxWSZDyKPVpEln1_SZdZNR6LN_JCztuZM0eMuGXTSUSctbUfSP" TargetMode="External"/><Relationship Id="rId421" Type="http://schemas.openxmlformats.org/officeDocument/2006/relationships/hyperlink" Target="https://www.khaleejtimes.com/life-and-living/housing-in-uae/rents-in-dubai-up-to-dh20000-discount-on-fewer-cheque-payments?_refresh=true" TargetMode="External"/><Relationship Id="rId420" Type="http://schemas.openxmlformats.org/officeDocument/2006/relationships/hyperlink" Target="https://www.thenationalnews.com/weekend/2023/07/28/whats-next-for-the-dubai-property-market/" TargetMode="External"/><Relationship Id="rId415" Type="http://schemas.openxmlformats.org/officeDocument/2006/relationships/hyperlink" Target="https://www.arabianbusiness.com/industries/real-estate/dubai-abu-dhabi-real-estate-markets-cash-in-as-soaring-investor-confidence-fuels-uae-off-plan-property-boom" TargetMode="External"/><Relationship Id="rId414" Type="http://schemas.openxmlformats.org/officeDocument/2006/relationships/hyperlink" Target="https://www.agbi.com/articles/norwegians-return-dubai-commercial-property-sector/" TargetMode="External"/><Relationship Id="rId413" Type="http://schemas.openxmlformats.org/officeDocument/2006/relationships/hyperlink" Target="https://www.zawya.com/en/business/real-estate/dubai-commercial-property-sees-high-demand-c2lxyinv" TargetMode="External"/><Relationship Id="rId412" Type="http://schemas.openxmlformats.org/officeDocument/2006/relationships/hyperlink" Target="https://www.khaleejtimes.com/business/dubai-commercial-property-sees-high-demand" TargetMode="External"/><Relationship Id="rId419" Type="http://schemas.openxmlformats.org/officeDocument/2006/relationships/hyperlink" Target="https://prian.ru/pub/samye-russkie-rayony-dubaya-gde-pokupayut-nedvizhimost-investory-iz-rf.html" TargetMode="External"/><Relationship Id="rId418" Type="http://schemas.openxmlformats.org/officeDocument/2006/relationships/hyperlink" Target="https://www.watson.ch/fr/economie/russie/982986502-de-la-paradeplatz-a-dubai-les-riches-russes-deplacent-leur-argent" TargetMode="External"/><Relationship Id="rId417" Type="http://schemas.openxmlformats.org/officeDocument/2006/relationships/hyperlink" Target="https://www.timeoutdubai.com/moving-to-dubai/real-estate-apps-in-dubai" TargetMode="External"/><Relationship Id="rId416" Type="http://schemas.openxmlformats.org/officeDocument/2006/relationships/hyperlink" Target="https://www.agbi.com/articles/russians-bigger-long-term-dubai-homes/?utm_source=linkedin&amp;utm_medium=social&amp;utm_campaign=awa&amp;utm_content=russians_dubai_villas-img&amp;utm_term=feed-real_estate" TargetMode="External"/><Relationship Id="rId411" Type="http://schemas.openxmlformats.org/officeDocument/2006/relationships/hyperlink" Target="https://gulfnews.com/business/property/as-dubai-property-market-nears-peak-ready-homes-get-buyers-full-attention-1.97161895" TargetMode="External"/><Relationship Id="rId410" Type="http://schemas.openxmlformats.org/officeDocument/2006/relationships/hyperlink" Target="https://www.arabianbusiness.com/industries/real-estate/dubai-real-estate-off-plan-property-resurgence-fuels-market-boom-amid-rising-population" TargetMode="External"/><Relationship Id="rId206" Type="http://schemas.openxmlformats.org/officeDocument/2006/relationships/hyperlink" Target="https://whatson.ae/2022/11/made-in-dubai-new-real-estate-reality-show-on-uks-channel-4/" TargetMode="External"/><Relationship Id="rId327" Type="http://schemas.openxmlformats.org/officeDocument/2006/relationships/hyperlink" Target="https://www.timeoutdubai.com/news/mo-vlogs-house-downtown-dubai" TargetMode="External"/><Relationship Id="rId205" Type="http://schemas.openxmlformats.org/officeDocument/2006/relationships/hyperlink" Target="https://www.timeoutdubai.com/news/dubai-channel-4-new-real-estate-programme" TargetMode="External"/><Relationship Id="rId326" Type="http://schemas.openxmlformats.org/officeDocument/2006/relationships/hyperlink" Target="https://www.timeoutdubai.com/news/dubai-luxury-homes-competition" TargetMode="External"/><Relationship Id="rId204" Type="http://schemas.openxmlformats.org/officeDocument/2006/relationships/hyperlink" Target="https://www.zawya.com/en/press-release/companies-news/betterhomes-to-star-in-a-brand-new-tv-show-on-uks-channel-4-x3rnmte5" TargetMode="External"/><Relationship Id="rId325" Type="http://schemas.openxmlformats.org/officeDocument/2006/relationships/hyperlink" Target="https://www.khaleejtimes.com/business/three-options-to-consider-if-you-are-selling-your-property-in-dubai-2" TargetMode="External"/><Relationship Id="rId203" Type="http://schemas.openxmlformats.org/officeDocument/2006/relationships/hyperlink" Target="https://www.issuewire.com/crc-commercial-real-estate-market-report-q3-2022-1748469199989609" TargetMode="External"/><Relationship Id="rId324" Type="http://schemas.openxmlformats.org/officeDocument/2006/relationships/hyperlink" Target="https://www.bbc.com/news/business-65037061" TargetMode="External"/><Relationship Id="rId445" Type="http://schemas.openxmlformats.org/officeDocument/2006/relationships/drawing" Target="../drawings/drawing11.xml"/><Relationship Id="rId209" Type="http://schemas.openxmlformats.org/officeDocument/2006/relationships/hyperlink" Target="https://www.arabianbusiness.com/tags/angel-eye-media" TargetMode="External"/><Relationship Id="rId208" Type="http://schemas.openxmlformats.org/officeDocument/2006/relationships/hyperlink" Target="https://www.arabnews.com/node/2196036/media" TargetMode="External"/><Relationship Id="rId329" Type="http://schemas.openxmlformats.org/officeDocument/2006/relationships/hyperlink" Target="https://www.bloomberg.com/news/articles/2023-04-02/how-expensive-is-dubai-for-expats-rents-groceries-school-fees-surge" TargetMode="External"/><Relationship Id="rId207" Type="http://schemas.openxmlformats.org/officeDocument/2006/relationships/hyperlink" Target="https://www.thenationalnews.com/arts-culture/film-tv/2022/11/07/made-in-dubai-another-reality-tv-series-set-in-the-city-announced-by-uks-channel-4/" TargetMode="External"/><Relationship Id="rId328" Type="http://schemas.openxmlformats.org/officeDocument/2006/relationships/hyperlink" Target="https://www.arabianbusiness.com/industries/real-estate/revealed-50-best-homes-in-dubai" TargetMode="External"/><Relationship Id="rId440" Type="http://schemas.openxmlformats.org/officeDocument/2006/relationships/hyperlink" Target="https://www.arabianbusiness.com/industries/real-estate/dubai-real-estate-how-much-property-does-1-million-buy" TargetMode="External"/><Relationship Id="rId202" Type="http://schemas.openxmlformats.org/officeDocument/2006/relationships/hyperlink" Target="https://meconstructionnews.com/55212/dubais-commercial-market-reached-an-all-time-high-in-q3-says-crc" TargetMode="External"/><Relationship Id="rId323" Type="http://schemas.openxmlformats.org/officeDocument/2006/relationships/hyperlink" Target="https://www.khaleejtimes.com/business/what-you-should-know-about-freehold-and-leasehold-properties" TargetMode="External"/><Relationship Id="rId444" Type="http://schemas.openxmlformats.org/officeDocument/2006/relationships/hyperlink" Target="https://wam.ae/tr/details/1395303201169" TargetMode="External"/><Relationship Id="rId201" Type="http://schemas.openxmlformats.org/officeDocument/2006/relationships/hyperlink" Target="https://www.thenationalnews.com/business/money/2022/11/03/dubai-tenants-downsize-and-move-to-cheaper-areas-as-rents-rise/" TargetMode="External"/><Relationship Id="rId322" Type="http://schemas.openxmlformats.org/officeDocument/2006/relationships/hyperlink" Target="https://www.zawya.com/en/press-release/companies-news/the-inaugural-top-50-homes-competition-takes-dubai-by-storm-u1711svg" TargetMode="External"/><Relationship Id="rId443" Type="http://schemas.openxmlformats.org/officeDocument/2006/relationships/hyperlink" Target="https://vietnamnet.vn/cam-trai-xuyen-dem-xep-hang-tu-3h-sang-cho-mua-biet-thu-dao-o-dubai-2193119.html" TargetMode="External"/><Relationship Id="rId200" Type="http://schemas.openxmlformats.org/officeDocument/2006/relationships/hyperlink" Target="https://www.thenationalnews.com/business/property/2022/11/01/dubai-property-rents-where-they-rose-and-fell-in-q3-2022/" TargetMode="External"/><Relationship Id="rId321" Type="http://schemas.openxmlformats.org/officeDocument/2006/relationships/hyperlink" Target="https://www.bnnbloomberg.ca/champagne-exports-to-gulf-nations-turkey-soar-as-russia-sinks-1.1898741" TargetMode="External"/><Relationship Id="rId442" Type="http://schemas.openxmlformats.org/officeDocument/2006/relationships/hyperlink" Target="https://www.wam.ae/zh-CN/details/1395303200431" TargetMode="External"/><Relationship Id="rId320" Type="http://schemas.openxmlformats.org/officeDocument/2006/relationships/hyperlink" Target="https://www.nytimes.com/es/2023/03/20/espanol/rusos-dubai.html" TargetMode="External"/><Relationship Id="rId441" Type="http://schemas.openxmlformats.org/officeDocument/2006/relationships/hyperlink" Target="https://www.khaleejtimes.com/business/why-property-buyers-pay-up-to-7-extra-of-total-value" TargetMode="External"/><Relationship Id="rId316" Type="http://schemas.openxmlformats.org/officeDocument/2006/relationships/hyperlink" Target="https://indianexpress.com/article/world/how-dubai-became-russia-wartime-harbour-8495299/" TargetMode="External"/><Relationship Id="rId437" Type="http://schemas.openxmlformats.org/officeDocument/2006/relationships/hyperlink" Target="https://www.khaleejtimes.com/business/what-are-the-best-locations-for-an-investor-seeking-to-buy-mid-range-property-in-dubai" TargetMode="External"/><Relationship Id="rId315" Type="http://schemas.openxmlformats.org/officeDocument/2006/relationships/hyperlink" Target="https://menafn.com/1105778651/Why-Property-Buyers-Pay-Up-To-7-Extra-Of-Total-Value" TargetMode="External"/><Relationship Id="rId436" Type="http://schemas.openxmlformats.org/officeDocument/2006/relationships/hyperlink" Target="https://cafef.vn/suc-hap-dan-cua-vuong-quoc-sieu-giau-don-nhan-dong-tai-san-khong-lo-tu-nga-188230906093157615.chn" TargetMode="External"/><Relationship Id="rId314" Type="http://schemas.openxmlformats.org/officeDocument/2006/relationships/hyperlink" Target="https://www.bloomberglinea.com.br/2023/03/12/dubai-se-aproxima-de-ny-na-atracao-de-milionarios-que-buscam-casas-de-luxo/" TargetMode="External"/><Relationship Id="rId435" Type="http://schemas.openxmlformats.org/officeDocument/2006/relationships/hyperlink" Target="https://www.khaleejtimes.com/business/dubai-should-you-buy-rent-property-directly-from-the-owner-or-through-a-property-agent" TargetMode="External"/><Relationship Id="rId313" Type="http://schemas.openxmlformats.org/officeDocument/2006/relationships/hyperlink" Target="https://www.khaleejtimes.com/business/dubai-should-you-buy-rent-property-directly-from-the-owner-or-through-a-property-agent" TargetMode="External"/><Relationship Id="rId434" Type="http://schemas.openxmlformats.org/officeDocument/2006/relationships/hyperlink" Target="https://www.logicno.com/politika/ogromno-povlacenje-kapitala-iz-svicarske-na-bliski-istok.html" TargetMode="External"/><Relationship Id="rId319" Type="http://schemas.openxmlformats.org/officeDocument/2006/relationships/hyperlink" Target="https://www.demorgen.be/oorlog-in-oekraine/dit-is-een-deel-van-rusland-buiten-rusland-hoe-dubai-een-toevluchtsoord-voor-de-russische-elite-wordt~b198e9fd/?referrer=https%3A%2F%2Fwww.google.com%2F" TargetMode="External"/><Relationship Id="rId318" Type="http://schemas.openxmlformats.org/officeDocument/2006/relationships/hyperlink" Target="https://gulfnews.com/business/corporate-news/bayut-and-dubizzle-hold-their-annual-awards-ceremony-1.1678870778266" TargetMode="External"/><Relationship Id="rId439" Type="http://schemas.openxmlformats.org/officeDocument/2006/relationships/hyperlink" Target="https://www.agbi.com/articles/russian-investors-dubai-real-estate-little-moscow/" TargetMode="External"/><Relationship Id="rId317" Type="http://schemas.openxmlformats.org/officeDocument/2006/relationships/hyperlink" Target="https://www.khaleejtimes.com/business/why-property-buyers-pay-up-to-7-extra-of-total-value" TargetMode="External"/><Relationship Id="rId438" Type="http://schemas.openxmlformats.org/officeDocument/2006/relationships/hyperlink" Target="https://menafn.com/1107053466/What-Are-The-Best-Locations-For-An-Investor-Seeking-To-Buy-Mid-Range-Property-In-Dubai" TargetMode="External"/><Relationship Id="rId312" Type="http://schemas.openxmlformats.org/officeDocument/2006/relationships/hyperlink" Target="https://www.zawya.com/en/business/real-estate/demand-for-dubai-properties-is-increasing-but-russian-buyers-are-not-the-main-drivers-rkqoqu4s" TargetMode="External"/><Relationship Id="rId433" Type="http://schemas.openxmlformats.org/officeDocument/2006/relationships/hyperlink" Target="https://tuoitre.vn/dan-nga-dem-tien-sang-dubai-dau-tu-bat-dong-san-20230823162821013.htm" TargetMode="External"/><Relationship Id="rId311" Type="http://schemas.openxmlformats.org/officeDocument/2006/relationships/hyperlink" Target="https://news.housefun.com.tw/news/article/569264367691.html" TargetMode="External"/><Relationship Id="rId432" Type="http://schemas.openxmlformats.org/officeDocument/2006/relationships/hyperlink" Target="https://gulfnews.com/business/tax-news/uae-free-zones-take-lead-in-drawing-new-businesses-as-corporate-tax-rules-become-clear-1.1692591947595" TargetMode="External"/><Relationship Id="rId310" Type="http://schemas.openxmlformats.org/officeDocument/2006/relationships/hyperlink" Target="https://www.lrytas.lt/bustas/nekilnojamasis-turtas/2023/03/08/news/is-rusijos-begantys-turciai-iskraipe-nt-rinka-dubajuje-uz-bustus-ne-nesideredami-jie-moka-beprotiskas-sumas-26342315" TargetMode="External"/><Relationship Id="rId431" Type="http://schemas.openxmlformats.org/officeDocument/2006/relationships/hyperlink" Target="https://www.newarab.com/news/uae-denies-sanctions-violations-it-deepens-russia-ties" TargetMode="External"/><Relationship Id="rId430" Type="http://schemas.openxmlformats.org/officeDocument/2006/relationships/hyperlink" Target="https://www.wsj.com/world/russia/u-a-e-cashes-in-on-russias-economic-woes-52700157"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90" Type="http://schemas.openxmlformats.org/officeDocument/2006/relationships/hyperlink" Target="https://www.businesslive.co.za/bd/companies/property/2022-10-20-dubai-developer-deyaar-reports-leap-in-third-quarter-profit/" TargetMode="External"/><Relationship Id="rId194" Type="http://schemas.openxmlformats.org/officeDocument/2006/relationships/hyperlink" Target="https://www.thenationalnews.com/uae/2022/10/21/one-cheque-rents-on-the-rise-as-many-dubai-tenants-stay-put-to-avoid-rising-costs/" TargetMode="External"/><Relationship Id="rId193" Type="http://schemas.openxmlformats.org/officeDocument/2006/relationships/hyperlink" Target="https://www.gdnonline.com/Details/1145566/Deyaar%E2%80%99s-Q3-profit-soars-to-$988m" TargetMode="External"/><Relationship Id="rId192" Type="http://schemas.openxmlformats.org/officeDocument/2006/relationships/hyperlink" Target="https://www.al-monitor.com/originals/2022/10/russian-british-citizens-top-buyers-nonresidential-property-dubai" TargetMode="External"/><Relationship Id="rId191" Type="http://schemas.openxmlformats.org/officeDocument/2006/relationships/hyperlink" Target="https://menafn.com/1105055683/Deyaars-Q3-Profit-Up-On-Improving-Outlook" TargetMode="External"/><Relationship Id="rId187" Type="http://schemas.openxmlformats.org/officeDocument/2006/relationships/hyperlink" Target="https://www.reuters.com/article/deyaar-results/dubai-property-firm-deyaars-q3-profit-up-on-improving-outlook-idUKL8N31L257" TargetMode="External"/><Relationship Id="rId186" Type="http://schemas.openxmlformats.org/officeDocument/2006/relationships/hyperlink" Target="https://www.thenationalnews.com/business/property/2022/10/20/dubai-property-deal-worth-163m-closed-as-palm-jumeirah-prices-continue-to-spiral-upwards/" TargetMode="External"/><Relationship Id="rId185" Type="http://schemas.openxmlformats.org/officeDocument/2006/relationships/hyperlink" Target="https://www.zawya.com/en/business/real-estate/russians-are-dubais-top-non-resident-property-buyers-in-q3-report-vetsg12v" TargetMode="External"/><Relationship Id="rId184" Type="http://schemas.openxmlformats.org/officeDocument/2006/relationships/hyperlink" Target="https://www.biznews.com/premium-signup?mepr-unauth-page=989424&amp;redirect_to=%2Fpremium%2F2022%2F10%2F19%2Fgupta-hub-dubai-cashing-in-on-global-slowdown" TargetMode="External"/><Relationship Id="rId189" Type="http://schemas.openxmlformats.org/officeDocument/2006/relationships/hyperlink" Target="https://www.khaleejtimes.com/business/deyaars-q3-profit-up-on-improving-outlook" TargetMode="External"/><Relationship Id="rId188" Type="http://schemas.openxmlformats.org/officeDocument/2006/relationships/hyperlink" Target="https://www.nasdaq.com/articles/dubai-property-firm-deyaars-q3-profit-up-on-improving-outlook" TargetMode="External"/><Relationship Id="rId183" Type="http://schemas.openxmlformats.org/officeDocument/2006/relationships/hyperlink" Target="https://www.bloomberg.com/news/features/2022-10-19/how-dubai-luxury-property-market-went-from-crash-to-boom" TargetMode="External"/><Relationship Id="rId182" Type="http://schemas.openxmlformats.org/officeDocument/2006/relationships/hyperlink" Target="https://www.ndtv.com/india-news/mukesh-ambani-lakshmi-mittal-part-of-dubais-luxury-property-boom-3444535" TargetMode="External"/><Relationship Id="rId181" Type="http://schemas.openxmlformats.org/officeDocument/2006/relationships/hyperlink" Target="https://gulfnews.com/business/property/dubai-rents-in-for-more-increases-as-occupancy-levels-hit-5-year-highs-1.1666153660083" TargetMode="External"/><Relationship Id="rId180" Type="http://schemas.openxmlformats.org/officeDocument/2006/relationships/hyperlink" Target="https://www.khaleejtimes.com/uae/dubai-tenants-find-it-cheaper-to-stay-in-existing-apartments-as-rents-soar" TargetMode="External"/><Relationship Id="rId176" Type="http://schemas.openxmlformats.org/officeDocument/2006/relationships/hyperlink" Target="https://www.timeoutdubai.com/moving-to-dubai/rent-hikes-in-dubai" TargetMode="External"/><Relationship Id="rId297" Type="http://schemas.openxmlformats.org/officeDocument/2006/relationships/hyperlink" Target="https://www.khaleejtimes.com/business/what-are-the-red-flags-when-buying-a-flat-in-dubai" TargetMode="External"/><Relationship Id="rId175" Type="http://schemas.openxmlformats.org/officeDocument/2006/relationships/hyperlink" Target="https://www.thenationalnews.com/weekend/2022/10/07/important-real-estate-terms-uae-property-investors-should-know-before-buying/" TargetMode="External"/><Relationship Id="rId296" Type="http://schemas.openxmlformats.org/officeDocument/2006/relationships/hyperlink" Target="https://nhipsongkinhdoanh.vn/bat-dong-san-dubai-bung-no-tro-lai-voi-nguon-tien-manh-tu-nga-post3107017.html" TargetMode="External"/><Relationship Id="rId174" Type="http://schemas.openxmlformats.org/officeDocument/2006/relationships/hyperlink" Target="https://www.thenationalnews.com/business/property/2022/09/28/world-cup-to-provide-dubai-property-market-with-mini-expo-effect/" TargetMode="External"/><Relationship Id="rId295" Type="http://schemas.openxmlformats.org/officeDocument/2006/relationships/hyperlink" Target="https://www.bluewin.ch/de/news/international/wie-dubai-wieder-einmal-von-einer-krise-profitiert-1628020.html" TargetMode="External"/><Relationship Id="rId173" Type="http://schemas.openxmlformats.org/officeDocument/2006/relationships/hyperlink" Target="https://es.euronews.com/next/2022/09/26/expo-city-dubai-o-la-ciudad-del-futuro-que-mantendra-vivo-el-legado-de-la-expo-2020" TargetMode="External"/><Relationship Id="rId294" Type="http://schemas.openxmlformats.org/officeDocument/2006/relationships/hyperlink" Target="https://www.voanews.com/a/latest-developments-in-ukraine-feb-13/6960220.html" TargetMode="External"/><Relationship Id="rId179" Type="http://schemas.openxmlformats.org/officeDocument/2006/relationships/hyperlink" Target="https://menafn.com/1105043884/Dubai-Tenants-Find-It-Cheaper-To-Stay-In-Existing-Apartments-As-Rents-Soar" TargetMode="External"/><Relationship Id="rId178" Type="http://schemas.openxmlformats.org/officeDocument/2006/relationships/hyperlink" Target="https://www.khaleejtimes.com/property/dubai-russians-are-top-property-buyers-in-dubai-indians-come-third" TargetMode="External"/><Relationship Id="rId299" Type="http://schemas.openxmlformats.org/officeDocument/2006/relationships/hyperlink" Target="https://apnews.com/article/us-department-of-the-treasury-business-united-arab-emirates-dubai-middle-east-192fbc4638f38d9334ad2508cae1eef4" TargetMode="External"/><Relationship Id="rId177" Type="http://schemas.openxmlformats.org/officeDocument/2006/relationships/hyperlink" Target="https://www.timeoutdubai.com/news/top-tips-for-renting-in-dubai" TargetMode="External"/><Relationship Id="rId298" Type="http://schemas.openxmlformats.org/officeDocument/2006/relationships/hyperlink" Target="https://gulfnews.com/living-in-uae/housing/no-more-rental-cheques-tenants-in-dubai-now-have-the-option-to-pay-for-rent-via-direct-debit--heres-how-1.1676445697131" TargetMode="External"/><Relationship Id="rId198" Type="http://schemas.openxmlformats.org/officeDocument/2006/relationships/hyperlink" Target="https://www.dcnews.ro/presa-la-bruxelles-ingrijorata-de-economia-din-romania-poporul-romaniei-ar-trebui-sa-fie-punctul-central-al-oricaror-initiative-de-dezvoltare_892574.html" TargetMode="External"/><Relationship Id="rId197" Type="http://schemas.openxmlformats.org/officeDocument/2006/relationships/hyperlink" Target="https://gulfnews.com/business/property/dubai-landlords-serve-even-12-month-notices-for-tenants-to-vacate---and-then-get-higher-rents-1.1666669716827" TargetMode="External"/><Relationship Id="rId196" Type="http://schemas.openxmlformats.org/officeDocument/2006/relationships/hyperlink" Target="https://www.thenationalnews.com/business/property/2022/10/25/why-dubai-apartments-are-the-choice-ahead-of-villas-for-property-hunters-again/" TargetMode="External"/><Relationship Id="rId195" Type="http://schemas.openxmlformats.org/officeDocument/2006/relationships/hyperlink" Target="https://www.brecorder.com/news/40204281" TargetMode="External"/><Relationship Id="rId199" Type="http://schemas.openxmlformats.org/officeDocument/2006/relationships/hyperlink" Target="https://www.dcnews.ro/romanii-in-top-10-in-lista-marilor-investitori-in-dubai-rusia-marea-britanie-si-india-ocupa-primele-locuri_892563.html" TargetMode="External"/><Relationship Id="rId150" Type="http://schemas.openxmlformats.org/officeDocument/2006/relationships/hyperlink" Target="https://de.euronews.com/2022/08/26/grunder-in-dubai-erst-krankenschwester-dann-immobilienmaklerin" TargetMode="External"/><Relationship Id="rId271" Type="http://schemas.openxmlformats.org/officeDocument/2006/relationships/hyperlink" Target="https://www.inform.kz/ru/rynok-nedvizhimosti-dubaya-b-et-rekordy-pochemu-eto-sluchilos-i-chego-zhdat-v-2023-godu_a4025063" TargetMode="External"/><Relationship Id="rId392" Type="http://schemas.openxmlformats.org/officeDocument/2006/relationships/hyperlink" Target="https://beritautama.net/orang-kaya-rusia-memindahkan-uang-mereka-ke-negara-teluk/" TargetMode="External"/><Relationship Id="rId270" Type="http://schemas.openxmlformats.org/officeDocument/2006/relationships/hyperlink" Target="https://www.bankingnews.gr/diethni/articles/661165/ti-anazitoyn-oi-rosoi-sto-doumpai-o-rolos-tou-seixi-stis-sxeseis-mosxas-kievou" TargetMode="External"/><Relationship Id="rId391" Type="http://schemas.openxmlformats.org/officeDocument/2006/relationships/hyperlink" Target="https://www.gazetatema.net/ekonomia/praktika-e-durresit-ne-ethet-e-reja-te-ndertimit-ne-dubai-i395865" TargetMode="External"/><Relationship Id="rId390" Type="http://schemas.openxmlformats.org/officeDocument/2006/relationships/hyperlink" Target="https://www.news24.com/fin24/international/dubai-chases-long-term-growth-as-property-booms-seeks-to-blunt-debt-risk-20230619" TargetMode="External"/><Relationship Id="rId1" Type="http://schemas.openxmlformats.org/officeDocument/2006/relationships/hyperlink" Target="http://tradearabia.com/news/CONS_366645.html" TargetMode="External"/><Relationship Id="rId2" Type="http://schemas.openxmlformats.org/officeDocument/2006/relationships/hyperlink" Target="https://www.khaleejtimes.com/business/real-estate/residential-rents-in-dubai-see-a-sharp-drop-especially-in-these-areas--" TargetMode="External"/><Relationship Id="rId3" Type="http://schemas.openxmlformats.org/officeDocument/2006/relationships/hyperlink" Target="https://www.zawya.com/mena/en/business/story/How_Dubais_new_Route_2020_will_drive_demand_for_residential_commercial_properties-ZAWYA20200730052256/" TargetMode="External"/><Relationship Id="rId149" Type="http://schemas.openxmlformats.org/officeDocument/2006/relationships/hyperlink" Target="https://tr.euronews.com/2022/08/26/betterhomes-kurucusu-linda-mahoney-dubai-dogru-zamanda-dogru-yerdi" TargetMode="External"/><Relationship Id="rId4" Type="http://schemas.openxmlformats.org/officeDocument/2006/relationships/hyperlink" Target="https://gulfnews.com/business/property/living-in-jumeirah-meant-compounds-with-common-pools-says-dubais-villa-lady-1.1601554872716" TargetMode="External"/><Relationship Id="rId148" Type="http://schemas.openxmlformats.org/officeDocument/2006/relationships/hyperlink" Target="https://www.euronews.com/2022/08/26/meet-the-entrepreneurs" TargetMode="External"/><Relationship Id="rId269" Type="http://schemas.openxmlformats.org/officeDocument/2006/relationships/hyperlink" Target="https://gulfnews.com/business/property/more-dubai-landlords-now-want-one-cheque-payments-with-their-rental-deals-1.1673930156220" TargetMode="External"/><Relationship Id="rId9" Type="http://schemas.openxmlformats.org/officeDocument/2006/relationships/hyperlink" Target="https://www.euronews.com/2020/09/16/gauging-the-impact-of-the-global-pandemic-on-the-real-estate-market-in-dubai" TargetMode="External"/><Relationship Id="rId143" Type="http://schemas.openxmlformats.org/officeDocument/2006/relationships/hyperlink" Target="https://www.theaktuellenews.com/nachrichten/wohlhabende-russen-rennen-um-den-kauf-von-haeusern-in-der-tuerkei-hier-ist-der-grund/" TargetMode="External"/><Relationship Id="rId264" Type="http://schemas.openxmlformats.org/officeDocument/2006/relationships/hyperlink" Target="https://www.samaaenglish.tv/news/40025569" TargetMode="External"/><Relationship Id="rId385" Type="http://schemas.openxmlformats.org/officeDocument/2006/relationships/hyperlink" Target="https://www.bloomberg.com/news/articles/2023-06-22/dubai-s-latest-property-spree-has-rich-buyers-taking-more-risk" TargetMode="External"/><Relationship Id="rId142" Type="http://schemas.openxmlformats.org/officeDocument/2006/relationships/hyperlink" Target="https://www.newsweek.com/wealthy-russians-racing-buy-homes-turkey-why-explained-1734028" TargetMode="External"/><Relationship Id="rId263" Type="http://schemas.openxmlformats.org/officeDocument/2006/relationships/hyperlink" Target="https://www.finansavisen.no/bolig/2023/01/16/7977177/russerne-bidro-til-ny-rekord?zephr_sso_ott=Ltz99Z" TargetMode="External"/><Relationship Id="rId384" Type="http://schemas.openxmlformats.org/officeDocument/2006/relationships/hyperlink" Target="https://www.thenationalnews.com/uae/2023/06/22/megaprojects-the-3bn-dubai-tower-set-to-join-the-worlds-tallest-residential-buildings/" TargetMode="External"/><Relationship Id="rId141" Type="http://schemas.openxmlformats.org/officeDocument/2006/relationships/hyperlink" Target="https://gulfnews.com/living-in-uae/housing/travelling-for-a-month-or-two---can-i-put-up-my-dubai-home-for-rent-1.1660661106061" TargetMode="External"/><Relationship Id="rId262" Type="http://schemas.openxmlformats.org/officeDocument/2006/relationships/hyperlink" Target="https://nl.marketscreener.com/beursnieuws/laatste/Prijsstijging-vastgoed-Dubai-verder-vertraagd-in-2023-Betterhomes--42738330/" TargetMode="External"/><Relationship Id="rId383" Type="http://schemas.openxmlformats.org/officeDocument/2006/relationships/hyperlink" Target="https://www.thenationalnews.com/lifestyle/home-garden/2023/06/20/inside-a-luxury-dh90-million-dubai-home-complete-with-an-american-style-diner/" TargetMode="External"/><Relationship Id="rId140" Type="http://schemas.openxmlformats.org/officeDocument/2006/relationships/hyperlink" Target="https://www.zawya.com/en/business/real-estate/new-tenants-to-pay-higher-rents-in-dubai-tppmufae" TargetMode="External"/><Relationship Id="rId261" Type="http://schemas.openxmlformats.org/officeDocument/2006/relationships/hyperlink" Target="https://www.profit.ro/povesti-cu-profit/real-estate-constructii/cresterea-preturilor-proprietatilor-imobiliare-din-dubai-ar-putea-incetini-20983668" TargetMode="External"/><Relationship Id="rId382" Type="http://schemas.openxmlformats.org/officeDocument/2006/relationships/hyperlink" Target="https://www.gulftoday.ae/news/2023/06/21/dubai-is-looking-forward-to-long-term-growth-with-real-estate-booming-after-rapid-recovery" TargetMode="External"/><Relationship Id="rId5" Type="http://schemas.openxmlformats.org/officeDocument/2006/relationships/hyperlink" Target="https://www.constructionweekonline.com/business/267754-podcast-dubais-new-brokerage-for-working-mothers" TargetMode="External"/><Relationship Id="rId147" Type="http://schemas.openxmlformats.org/officeDocument/2006/relationships/hyperlink" Target="https://gulfnews.com/business/property/in-dubai-property-buyers-find-ready-homes-costing-a-lot-less-than-new-launches-1.1661484948660" TargetMode="External"/><Relationship Id="rId268" Type="http://schemas.openxmlformats.org/officeDocument/2006/relationships/hyperlink" Target="https://www.arabianbusiness.com/industries/travel-hospitality/russia-chases-saudi-arabia-bahrain-oman-visa-free-entry-diplomat" TargetMode="External"/><Relationship Id="rId389" Type="http://schemas.openxmlformats.org/officeDocument/2006/relationships/hyperlink" Target="https://www.forbes.ro/cea-mai-recenta-frenezie-imobiliara-din-dubai-ii-determina-pe-cumparatorii-bogati-sa-isi-asume-riscuri-mai-mari-336737" TargetMode="External"/><Relationship Id="rId6" Type="http://schemas.openxmlformats.org/officeDocument/2006/relationships/hyperlink" Target="https://www.arabianbusiness.com/events/436138-the-best-of-the-best-all-the-major-award-winners-from-2019" TargetMode="External"/><Relationship Id="rId146" Type="http://schemas.openxmlformats.org/officeDocument/2006/relationships/hyperlink" Target="https://www.mediafax.ro/economic/romanii-au-cumparat-de-la-un-dezvoltator-apartamente-de-75-milioane-euro-in-dubai-in-primele-sapte-luni-21105824" TargetMode="External"/><Relationship Id="rId267" Type="http://schemas.openxmlformats.org/officeDocument/2006/relationships/hyperlink" Target="https://www.zawya.com/en/business/real-estate/dubai-property-price-rises-seen-slowing-further-in-2023-betterhomes-o3nd1qy9" TargetMode="External"/><Relationship Id="rId388" Type="http://schemas.openxmlformats.org/officeDocument/2006/relationships/hyperlink" Target="https://www.ot.gr/2023/06/22/diethni/ntoumpai-ksefreni-anodos-gia-ta-akinita/" TargetMode="External"/><Relationship Id="rId7" Type="http://schemas.openxmlformats.org/officeDocument/2006/relationships/hyperlink" Target="https://www.arabianbusiness.com/property/443757-coronavirus-what-impact-will-covid-19-have-on-dubais-property-market" TargetMode="External"/><Relationship Id="rId145" Type="http://schemas.openxmlformats.org/officeDocument/2006/relationships/hyperlink" Target="https://ahvalnews.com/turkish-property/wealthy-russians-vying-purchase-homes-turkey" TargetMode="External"/><Relationship Id="rId266" Type="http://schemas.openxmlformats.org/officeDocument/2006/relationships/hyperlink" Target="https://www.bloomberg.com/news/articles/2023-01-16/russian-buyers-help-to-propel-dubai-s-property-sales-to-record" TargetMode="External"/><Relationship Id="rId387" Type="http://schemas.openxmlformats.org/officeDocument/2006/relationships/hyperlink" Target="https://www.khaleejtimes.com/business/floating-villas-another-game-changer-in-dubai-real-estate" TargetMode="External"/><Relationship Id="rId8" Type="http://schemas.openxmlformats.org/officeDocument/2006/relationships/hyperlink" Target="https://www.globalbusinessoutlook.com/dubai-real-estate-market-will-tremendously-improve-after-covid-19/" TargetMode="External"/><Relationship Id="rId144" Type="http://schemas.openxmlformats.org/officeDocument/2006/relationships/hyperlink" Target="https://www.zawya.com/en/business/real-estate/dubai-real-estate-firms-name-escrow-account-other-details-must-on-ads-axl3oipj" TargetMode="External"/><Relationship Id="rId265" Type="http://schemas.openxmlformats.org/officeDocument/2006/relationships/hyperlink" Target="https://www.bloomberg.com/news/newsletters/2023-01-16/egypt-pound-s-egp-usd-plunge-dubai-s-housing-boom-erdogan-s-nato-moves" TargetMode="External"/><Relationship Id="rId386" Type="http://schemas.openxmlformats.org/officeDocument/2006/relationships/hyperlink" Target="https://www.bnnbloomberg.ca/dubai-s-latest-property-spree-has-rich-buyers-taking-more-risk-1.1936277" TargetMode="External"/><Relationship Id="rId260" Type="http://schemas.openxmlformats.org/officeDocument/2006/relationships/hyperlink" Target="https://forbes.ua/ru/news/prodazh-nerukhomosti-v-dubai-zris-do-rekordnogo-rivnya-cherez-zbilshennya-kilkosti-pokuptsiv-z-rosii-16012023-11091" TargetMode="External"/><Relationship Id="rId381" Type="http://schemas.openxmlformats.org/officeDocument/2006/relationships/hyperlink" Target="https://www.thedailystar.net/business/global-economy/news/chinas-youth-confront-bleak-job-market-3351496" TargetMode="External"/><Relationship Id="rId380" Type="http://schemas.openxmlformats.org/officeDocument/2006/relationships/hyperlink" Target="https://www.reuters.com/world/middle-east/dubai-chases-long-term-growth-property-booms-seeks-blunt-debt-risk-2023-06-19/" TargetMode="External"/><Relationship Id="rId139" Type="http://schemas.openxmlformats.org/officeDocument/2006/relationships/hyperlink" Target="https://www.khaleejtimes.com/business/new-tenants-to-pay-higher-rents-in-dubai" TargetMode="External"/><Relationship Id="rId138" Type="http://schemas.openxmlformats.org/officeDocument/2006/relationships/hyperlink" Target="https://www.elcorreo.ae/articulo/economia/banco-mas-grande-dubai-sube-sueldo-empleados/20220812090626148406.html" TargetMode="External"/><Relationship Id="rId259" Type="http://schemas.openxmlformats.org/officeDocument/2006/relationships/hyperlink" Target="https://kumparan.com/kabar-bisnis/harga-properti-di-dubai-diperkirakan-melambat-di-2023-1zeDE6UsPlZ?ref=register" TargetMode="External"/><Relationship Id="rId137" Type="http://schemas.openxmlformats.org/officeDocument/2006/relationships/hyperlink" Target="https://www.thenationalnews.com/weekend/2022/08/12/fomo-drives-uae-residents-to-take-out-mortgages-amid-rate-rises/" TargetMode="External"/><Relationship Id="rId258" Type="http://schemas.openxmlformats.org/officeDocument/2006/relationships/hyperlink" Target="https://forbes.ua/news/prodazh-nerukhomosti-v-dubai-zris-do-rekordnogo-rivnya-cherez-zbilshennya-kilkosti-pokuptsiv-z-rosii-16012023-11091" TargetMode="External"/><Relationship Id="rId379" Type="http://schemas.openxmlformats.org/officeDocument/2006/relationships/hyperlink" Target="https://www.youtube.com/watch?v=ulUPhJhGAjg" TargetMode="External"/><Relationship Id="rId132" Type="http://schemas.openxmlformats.org/officeDocument/2006/relationships/hyperlink" Target="https://www.reuters.com/world/middle-east/major-gulf-bourses-trade-mixed-abu-dhabi-record-high-2022-08-10/" TargetMode="External"/><Relationship Id="rId253" Type="http://schemas.openxmlformats.org/officeDocument/2006/relationships/hyperlink" Target="https://foco.lanacion.com.py/2023/01/16/por-que-dubai-logro-record-de-transacciones-inmobiliarias-en-2022/" TargetMode="External"/><Relationship Id="rId374" Type="http://schemas.openxmlformats.org/officeDocument/2006/relationships/hyperlink" Target="https://www.arabianbusiness.com/resources/from-pandemic-era-startup-to-industry-player-k4s-rise-to-the-top" TargetMode="External"/><Relationship Id="rId131" Type="http://schemas.openxmlformats.org/officeDocument/2006/relationships/hyperlink" Target="https://www.gdnonline.com/Details/1139529" TargetMode="External"/><Relationship Id="rId252" Type="http://schemas.openxmlformats.org/officeDocument/2006/relationships/hyperlink" Target="https://titulares.ar/dubai-alcanza-cifra-record-de-transacciones-inmobiliarias-de-mas-de-143-000-millones-tras-anos-de-crisis/" TargetMode="External"/><Relationship Id="rId373" Type="http://schemas.openxmlformats.org/officeDocument/2006/relationships/hyperlink" Target="https://areamilitarof.com/russia-os-russos-lideram-entre-os-compradores-estrangeiros-de-imoveis-na-turquia-ha-meio-ano/" TargetMode="External"/><Relationship Id="rId130" Type="http://schemas.openxmlformats.org/officeDocument/2006/relationships/hyperlink" Target="https://buzznews.it/la-piu-grande-banca-di-dubai-offre-ai-dipendenti-un-aumento-degli-stipendi-dovuti-allinflazione/" TargetMode="External"/><Relationship Id="rId251" Type="http://schemas.openxmlformats.org/officeDocument/2006/relationships/hyperlink" Target="https://manager.bg/%D0%B1%D0%B8%D0%B7%D0%BD%D0%B5%D1%81/rusnacite-stanaha-nai-golemite-kupuvachi-na-luksozni-imoti-v-dubai" TargetMode="External"/><Relationship Id="rId372" Type="http://schemas.openxmlformats.org/officeDocument/2006/relationships/hyperlink" Target="https://www.khaleejtimes.com/business/uae-here-are-the-various-visas-you-can-get-on-purchasing-a-property" TargetMode="External"/><Relationship Id="rId250" Type="http://schemas.openxmlformats.org/officeDocument/2006/relationships/hyperlink" Target="https://www.khaleejtimes.com/business/dubai-property-price-rises-seen-slowing-further-in-2023-betterhomes" TargetMode="External"/><Relationship Id="rId371" Type="http://schemas.openxmlformats.org/officeDocument/2006/relationships/hyperlink" Target="https://cnnbusinessarabic.com/real-estate-construction/27602/%d8%ad%d9%81%d9%84-%d8%aa%d9%88%d8%b2%d9%8a%d8%b9-%d8%ac%d9%88%d8%a7%d8%a6%d8%b2-%d8%a3%d9%81%d8%b6%d9%84-50-%d9%85%d9%86%d8%b2%d9%84%d8%a7%d9%8b-%d9%81%d9%8a-%d8%af%d8%a8%d9%8a-%d9%8a%d8%ad%d8%aa" TargetMode="External"/><Relationship Id="rId136" Type="http://schemas.openxmlformats.org/officeDocument/2006/relationships/hyperlink" Target="https://www.financialinvestor24.com/property/1903/ryan-mahoney-dubai-uae-the-crc-commercial-property-market-report-fy-2021/" TargetMode="External"/><Relationship Id="rId257" Type="http://schemas.openxmlformats.org/officeDocument/2006/relationships/hyperlink" Target="https://www.ilmattino.it/primopiano/esteri/abramovich_oligarchi_russi_investimenti_dubai_cosa_sta_succedendo-7173231.html" TargetMode="External"/><Relationship Id="rId378" Type="http://schemas.openxmlformats.org/officeDocument/2006/relationships/hyperlink" Target="https://www.zawya.com/en/press-release/companies-news/50-of-the-citys-most-remarkable-homes-competed-for-the-crown-but-who-won-dubais-top-50-homes-competition-fu0mo56k" TargetMode="External"/><Relationship Id="rId135" Type="http://schemas.openxmlformats.org/officeDocument/2006/relationships/hyperlink" Target="https://www.arabnews.com/node/2139816/business-economy" TargetMode="External"/><Relationship Id="rId256" Type="http://schemas.openxmlformats.org/officeDocument/2006/relationships/hyperlink" Target="https://finanzmarktwelt.de/immobilien-so-massiv-stroemt-russisches-geld-nach-dubai-258253/" TargetMode="External"/><Relationship Id="rId377" Type="http://schemas.openxmlformats.org/officeDocument/2006/relationships/hyperlink" Target="https://www.saltwire.com/prince-edward-island/business/dubai-chases-long-term-growth-as-property-booms-seeks-to-blunt-debt-risk-100865458/" TargetMode="External"/><Relationship Id="rId134" Type="http://schemas.openxmlformats.org/officeDocument/2006/relationships/hyperlink" Target="https://bdnews24.com/economy/pg5abbgrnq" TargetMode="External"/><Relationship Id="rId255" Type="http://schemas.openxmlformats.org/officeDocument/2006/relationships/hyperlink" Target="https://www.di.se/live/ryska-pengar-dopar-dubais-fastighetsmarknad-nar-ny-rekordniva/" TargetMode="External"/><Relationship Id="rId376" Type="http://schemas.openxmlformats.org/officeDocument/2006/relationships/hyperlink" Target="https://au.sports.yahoo.com/dubai-eyes-long-term-growth-134304251.html" TargetMode="External"/><Relationship Id="rId133" Type="http://schemas.openxmlformats.org/officeDocument/2006/relationships/hyperlink" Target="https://gulfnews.com/business/property/as-rents-rise-20-30-more-dubai-residents-see-better-value-in-renewing-contracts-than-chase-new-ones-1.1660102666420" TargetMode="External"/><Relationship Id="rId254" Type="http://schemas.openxmlformats.org/officeDocument/2006/relationships/hyperlink" Target="https://www.arabnews.com/node/2233301/business-economy" TargetMode="External"/><Relationship Id="rId375" Type="http://schemas.openxmlformats.org/officeDocument/2006/relationships/hyperlink" Target="https://www.thenationalnews.com/uae/2023/06/15/dubais-property-bubble-far-from-bursting-real-estate-experts-say/" TargetMode="External"/><Relationship Id="rId172" Type="http://schemas.openxmlformats.org/officeDocument/2006/relationships/hyperlink" Target="https://de.euronews.com/next/2022/09/26/die-erste-15-minuten-stadt-der-vereinigten-arabischen-emirate" TargetMode="External"/><Relationship Id="rId293" Type="http://schemas.openxmlformats.org/officeDocument/2006/relationships/hyperlink" Target="https://abcnews.go.com/Business/wireStory/dubai-boom-sees-russian-cash-high-rents-reborn-97074165" TargetMode="External"/><Relationship Id="rId171" Type="http://schemas.openxmlformats.org/officeDocument/2006/relationships/hyperlink" Target="https://fr.euronews.com/next/2022/09/26/dubai-transforme-le-site-de-son-expo-2020-en-ville-du-futur" TargetMode="External"/><Relationship Id="rId292" Type="http://schemas.openxmlformats.org/officeDocument/2006/relationships/hyperlink" Target="https://english.alarabiya.net/News/gulf/2023/02/09/UAE-grants-banking-license-to-Russia-s-MTS-Bank" TargetMode="External"/><Relationship Id="rId170" Type="http://schemas.openxmlformats.org/officeDocument/2006/relationships/hyperlink" Target="https://it.euronews.com/next/2022/09/26/dubai-leredita-dellexpo-una-citta-intelligente-nellarea-dellesposizione" TargetMode="External"/><Relationship Id="rId291" Type="http://schemas.openxmlformats.org/officeDocument/2006/relationships/hyperlink" Target="https://www.reuters.com/business/finance/russias-mts-bank-has-uae-licence-central-bank-website-2023-02-08/" TargetMode="External"/><Relationship Id="rId290" Type="http://schemas.openxmlformats.org/officeDocument/2006/relationships/hyperlink" Target="https://www.khaleejtimes.com/business/uae-central-bank-granted-licence-to-russias-mts-bank" TargetMode="External"/><Relationship Id="rId165" Type="http://schemas.openxmlformats.org/officeDocument/2006/relationships/hyperlink" Target="https://www.agbi.com/articles/dubai-on-alert-as-distressed-assets-become-a-real-possibility/" TargetMode="External"/><Relationship Id="rId286" Type="http://schemas.openxmlformats.org/officeDocument/2006/relationships/hyperlink" Target="https://thedogoodpress.com/property/4836/ryan-mahoney-dubai-uae-dubais-secondary-real-estate-market-boom/" TargetMode="External"/><Relationship Id="rId164" Type="http://schemas.openxmlformats.org/officeDocument/2006/relationships/hyperlink" Target="https://www.arabianbusiness.com/opinion/real-estate-brokers-in-the-uae-do-we-need-them" TargetMode="External"/><Relationship Id="rId285" Type="http://schemas.openxmlformats.org/officeDocument/2006/relationships/hyperlink" Target="https://www.abcmoney.co.uk/2023/01/sheikh-youssef-al-shelash-discusses-trends-and-upcoming-developments-in-the-middle-east/" TargetMode="External"/><Relationship Id="rId163" Type="http://schemas.openxmlformats.org/officeDocument/2006/relationships/hyperlink" Target="https://www.zawya.com/en/business/real-estate/why-the-wealthy-are-attracted-to-dubais-luxury-homes-rg1maetg" TargetMode="External"/><Relationship Id="rId284" Type="http://schemas.openxmlformats.org/officeDocument/2006/relationships/hyperlink" Target="https://www.zawya.com/en/business/real-estate/dubai-realtor-haus-and-haus-eyes-expansion-to-hire-150-new-staff-r6be9cf7" TargetMode="External"/><Relationship Id="rId162" Type="http://schemas.openxmlformats.org/officeDocument/2006/relationships/hyperlink" Target="https://epaper.khaleejtimes.com/835/05-09-2022" TargetMode="External"/><Relationship Id="rId283" Type="http://schemas.openxmlformats.org/officeDocument/2006/relationships/hyperlink" Target="https://www.elcorreo.ae/articulo/economia/conozca-zonas-dubai-donde-expatriados-compran-apartamentos/20230127092502152882.html" TargetMode="External"/><Relationship Id="rId169" Type="http://schemas.openxmlformats.org/officeDocument/2006/relationships/hyperlink" Target="https://www.euronews.com/next/2022/09/26/expo-city-dubai-larger-than-hong-kong-the-uaes-first-15-minute-city" TargetMode="External"/><Relationship Id="rId168" Type="http://schemas.openxmlformats.org/officeDocument/2006/relationships/hyperlink" Target="https://www.elcorreo.ae/articulo/economia/economia-dubai-mantiene-estable-desaceleracion-mundial/20220921084624149342.html" TargetMode="External"/><Relationship Id="rId289" Type="http://schemas.openxmlformats.org/officeDocument/2006/relationships/hyperlink" Target="https://www.bloomberg.com/news/articles/2023-02-08/uae-grants-banking-license-to-russia-s-mts-bank" TargetMode="External"/><Relationship Id="rId167" Type="http://schemas.openxmlformats.org/officeDocument/2006/relationships/hyperlink" Target="https://www.thenationalnews.com/business/comment/2022/09/20/dubais-economy-holding-up-well-amid-the-global-slowdown/" TargetMode="External"/><Relationship Id="rId288" Type="http://schemas.openxmlformats.org/officeDocument/2006/relationships/hyperlink" Target="https://www.khaleejtimes.com/business/property/dubai-tenants-could-negotiate-monthly-rent-payments-with-new-direct-debit-system" TargetMode="External"/><Relationship Id="rId166" Type="http://schemas.openxmlformats.org/officeDocument/2006/relationships/hyperlink" Target="https://www.agbi.com/articles/burj-khalifa-surging-sales/" TargetMode="External"/><Relationship Id="rId287" Type="http://schemas.openxmlformats.org/officeDocument/2006/relationships/hyperlink" Target="https://www.zawya.com/en/business/real-estate/five-cheapest-places-to-rent-a-flat-in-dubai-g1kn1kd8" TargetMode="External"/><Relationship Id="rId161" Type="http://schemas.openxmlformats.org/officeDocument/2006/relationships/hyperlink" Target="https://www.khaleejtimes.com/opinion/why-the-wealthy-are-attracted-to-dubais-luxury-homes" TargetMode="External"/><Relationship Id="rId282" Type="http://schemas.openxmlformats.org/officeDocument/2006/relationships/hyperlink" Target="https://www.zawya.com/en/business/real-estate/dubai-property-deals-surge-76-to-144bln-in-2022-spwo2ai5" TargetMode="External"/><Relationship Id="rId160" Type="http://schemas.openxmlformats.org/officeDocument/2006/relationships/hyperlink" Target="https://actmedia.eu/economic/real-estate-romanians-bought-apartments-of-75-million-euros-from-sobha-dubai-developer-in-first-7-months-of-2022/99363" TargetMode="External"/><Relationship Id="rId281" Type="http://schemas.openxmlformats.org/officeDocument/2006/relationships/hyperlink" Target="https://www.thenationalnews.com/uae/2023/01/25/dubai-property-top-three-areas-where-expats-prefer-to-buy-apartments/" TargetMode="External"/><Relationship Id="rId280" Type="http://schemas.openxmlformats.org/officeDocument/2006/relationships/hyperlink" Target="https://www.challenges.fr/immobilier/l-immobilier-flambe-a-dubai_843005" TargetMode="External"/><Relationship Id="rId159" Type="http://schemas.openxmlformats.org/officeDocument/2006/relationships/hyperlink" Target="https://gulfnews.com/living-in-uae/housing/moving-out-who-cancels-ejari---the-landlord-or-tenant-1.1662382091757" TargetMode="External"/><Relationship Id="rId154" Type="http://schemas.openxmlformats.org/officeDocument/2006/relationships/hyperlink" Target="https://www.shortlistdubai.com/article/best-property-management-companies-dubai/" TargetMode="External"/><Relationship Id="rId275" Type="http://schemas.openxmlformats.org/officeDocument/2006/relationships/hyperlink" Target="https://www.ukrhaber.com/blog/ruslar-kuresel-emlak-piyasasini-nasil-etkiliyor/" TargetMode="External"/><Relationship Id="rId396" Type="http://schemas.openxmlformats.org/officeDocument/2006/relationships/hyperlink" Target="https://www.tagblatt.ch/wirtschaft/oligarchen-vom-paradeplatz-nach-dubai-reiche-russen-verschieben-ihr-geld-in-den-golfstaat-ld.2480762?reduced=true" TargetMode="External"/><Relationship Id="rId153" Type="http://schemas.openxmlformats.org/officeDocument/2006/relationships/hyperlink" Target="https://pt.euronews.com/2022/08/26/uma-historia-de-sucesso-que-comecou-com-um-casamento-falhado" TargetMode="External"/><Relationship Id="rId274" Type="http://schemas.openxmlformats.org/officeDocument/2006/relationships/hyperlink" Target="https://english.alarabiya.net/business/technology/2023/01/18/Dubai-based-Tabby-raises-58-million-in-funding-round-valued-at-660-million-" TargetMode="External"/><Relationship Id="rId395" Type="http://schemas.openxmlformats.org/officeDocument/2006/relationships/hyperlink" Target="https://www.luzernerzeitung.ch/wirtschaft/oligarchen-vom-paradeplatz-nach-dubai-reiche-russen-verschieben-ihr-geld-in-den-golfstaat-ld.2480762?reduced=true" TargetMode="External"/><Relationship Id="rId152" Type="http://schemas.openxmlformats.org/officeDocument/2006/relationships/hyperlink" Target="https://es.euronews.com/2022/08/26/linda-mahoney-o-una-mujer-pionera-que-cambio-el-panorama-del-sector-inmobiliario-en-dubai" TargetMode="External"/><Relationship Id="rId273" Type="http://schemas.openxmlformats.org/officeDocument/2006/relationships/hyperlink" Target="https://tuoitre.vn/nguoi-nga-thuc-day-doanh-so-ban-bat-dong-san-dubai-dat-ky-luc-20230117142503266.htm" TargetMode="External"/><Relationship Id="rId394" Type="http://schemas.openxmlformats.org/officeDocument/2006/relationships/hyperlink" Target="https://www.agbi.com/analysis/affordable-homes-warning-for-dubai-private-developers/" TargetMode="External"/><Relationship Id="rId151" Type="http://schemas.openxmlformats.org/officeDocument/2006/relationships/hyperlink" Target="https://it.euronews.com/2022/08/26/la-seconda-vita-di-linda-a-dubai-da-infermiera-ad-agente-immobiliare" TargetMode="External"/><Relationship Id="rId272" Type="http://schemas.openxmlformats.org/officeDocument/2006/relationships/hyperlink" Target="https://www.russiamatters.org/news/russia-review/russia-review-jan-13-20-2023" TargetMode="External"/><Relationship Id="rId393" Type="http://schemas.openxmlformats.org/officeDocument/2006/relationships/hyperlink" Target="https://europost.gr/neos-kataskeyastikos-pyretos-ntoympai-o-rolos-tis-rosias/" TargetMode="External"/><Relationship Id="rId158" Type="http://schemas.openxmlformats.org/officeDocument/2006/relationships/hyperlink" Target="https://www.haberler.com/guncel/betterhomes-kurucusu-linda-mahoney-dubai-dogru-15226716-haberi/" TargetMode="External"/><Relationship Id="rId279" Type="http://schemas.openxmlformats.org/officeDocument/2006/relationships/hyperlink" Target="https://www.openpr.com/news/2893895/uae-real-estate-companies-list-engineering-firms-in-dubai-list" TargetMode="External"/><Relationship Id="rId157" Type="http://schemas.openxmlformats.org/officeDocument/2006/relationships/hyperlink" Target="https://www.brecorder.com/news/40194446" TargetMode="External"/><Relationship Id="rId278" Type="http://schemas.openxmlformats.org/officeDocument/2006/relationships/hyperlink" Target="https://www.gazeteduvar.com.tr/rusya-basininda-gecen-hafta-rusya-vatandaslari-2022de-turkiyede-16312-gayrimenkul-aldilar-haber-1599565" TargetMode="External"/><Relationship Id="rId399" Type="http://schemas.openxmlformats.org/officeDocument/2006/relationships/hyperlink" Target="https://www.forbes.ro/proprietatile-din-dubai-tranzactii-si-preturi-in-crestere-riscuri-338894" TargetMode="External"/><Relationship Id="rId156" Type="http://schemas.openxmlformats.org/officeDocument/2006/relationships/hyperlink" Target="https://infos-israel.news/crise-de-2009-oubliee-a-dubai-limmobilier-de-luxe-bondit-de-87/" TargetMode="External"/><Relationship Id="rId277" Type="http://schemas.openxmlformats.org/officeDocument/2006/relationships/hyperlink" Target="https://wydarzenia.interia.pl/raport-media-zagraniczne/news-mala-rosja-w-dubaju-ucieczka-przed-sankcjami-zachodu-napedza,nId,6544444" TargetMode="External"/><Relationship Id="rId398" Type="http://schemas.openxmlformats.org/officeDocument/2006/relationships/hyperlink" Target="https://www.thenationalnews.com/business/money/2023/07/05/uae-cost-of-living-school-fees-rent-visa-expat/" TargetMode="External"/><Relationship Id="rId155" Type="http://schemas.openxmlformats.org/officeDocument/2006/relationships/hyperlink" Target="https://playtech.ro/2022/bula-imobiliara-din-romania-a-explodat-iar-romanii-bogati-se-muta-la-dubai-cati-bani-au-bagat-in-apartamente/" TargetMode="External"/><Relationship Id="rId276" Type="http://schemas.openxmlformats.org/officeDocument/2006/relationships/hyperlink" Target="https://www.national.ro/afaceri/lux-cu-bani-gheata-dubai-ramane-marele-refugiu-imobiliar-si-in-acest-an-784646.html" TargetMode="External"/><Relationship Id="rId397" Type="http://schemas.openxmlformats.org/officeDocument/2006/relationships/hyperlink" Target="https://www.khaleejtimes.com/business/property-in-dubai-how-are-branded-residences-different-from-luxury-real-estate" TargetMode="External"/><Relationship Id="rId40" Type="http://schemas.openxmlformats.org/officeDocument/2006/relationships/hyperlink" Target="https://www.propertyfinder.ae/hub/agent-guides/latest-prestige-november-2021-issue-in-gulf-business/" TargetMode="External"/><Relationship Id="rId42" Type="http://schemas.openxmlformats.org/officeDocument/2006/relationships/hyperlink" Target="https://www.constructionweekonline.com/business/betterhomes-logs-leasing-deal-at-1-76-million-in-emirates-hills" TargetMode="External"/><Relationship Id="rId41" Type="http://schemas.openxmlformats.org/officeDocument/2006/relationships/hyperlink" Target="https://www.thenationalnews.com/lifestyle/luxury/2021/11/06/dh75m-emirates-hills-villa-becomes-dubais-most-expensive-rental/" TargetMode="External"/><Relationship Id="rId44" Type="http://schemas.openxmlformats.org/officeDocument/2006/relationships/hyperlink" Target="https://intlbm.com/dubai-real-estate-market-clocks-its-highest-leasing-deal-worth-aed7-5-million/" TargetMode="External"/><Relationship Id="rId43" Type="http://schemas.openxmlformats.org/officeDocument/2006/relationships/hyperlink" Target="https://thewall.fyi/dubai-property-broker-seals-record-2m-leasing-deal-for-luxury-villa/" TargetMode="External"/><Relationship Id="rId46" Type="http://schemas.openxmlformats.org/officeDocument/2006/relationships/hyperlink" Target="https://www.zawya.com/uae/en/story/amp/ZAWYA20220125075208/" TargetMode="External"/><Relationship Id="rId45" Type="http://schemas.openxmlformats.org/officeDocument/2006/relationships/hyperlink" Target="https://medium.com/@valustrat/dh7-5m-emirates-hills-villa-becomes-dubais-most-expensive-rental-fdd55e5c53bd" TargetMode="External"/><Relationship Id="rId48" Type="http://schemas.openxmlformats.org/officeDocument/2006/relationships/hyperlink" Target="https://www.khaleejtimes.com/property/dubai-real-estate-boom-to-continue-36000-residential-units-to-come-online-in-2022" TargetMode="External"/><Relationship Id="rId47" Type="http://schemas.openxmlformats.org/officeDocument/2006/relationships/hyperlink" Target="https://www.propertynews.ae/general/press-release/betterhomes-dubai-real-estate-at-all-time-high-after-banner-year-in-2021/" TargetMode="External"/><Relationship Id="rId49" Type="http://schemas.openxmlformats.org/officeDocument/2006/relationships/hyperlink" Target="https://www.arabianbusiness.com/industries/real-estate/2021-seen-as-major-turning-point-for-dubai-office-market-after-covid-shock" TargetMode="External"/><Relationship Id="rId31" Type="http://schemas.openxmlformats.org/officeDocument/2006/relationships/hyperlink" Target="https://www.fm-middleeast.com/business/crc-released-dubai-commercial-real-estate-market-report-q3-2021" TargetMode="External"/><Relationship Id="rId30" Type="http://schemas.openxmlformats.org/officeDocument/2006/relationships/hyperlink" Target="https://industrialrealestatenews.top/crc-released-dubai-commercial-real-estate-market-report-q3-2021/" TargetMode="External"/><Relationship Id="rId33" Type="http://schemas.openxmlformats.org/officeDocument/2006/relationships/hyperlink" Target="https://gulfnews.com/business/property/better-homes-plans-global-presence-with-more-offices-1.253412" TargetMode="External"/><Relationship Id="rId32" Type="http://schemas.openxmlformats.org/officeDocument/2006/relationships/hyperlink" Target="https://www.arabianbusiness.com/industries-real-estate/469867-is-the-pace-of-dubais-recent-property-price-hikes-starting-to-slow" TargetMode="External"/><Relationship Id="rId35" Type="http://schemas.openxmlformats.org/officeDocument/2006/relationships/hyperlink" Target="https://www.arabianbusiness.com/real-estate/470612-dubai-property-broker-seals-record-2m-leasing-deal-for-luxury-villa" TargetMode="External"/><Relationship Id="rId34" Type="http://schemas.openxmlformats.org/officeDocument/2006/relationships/hyperlink" Target="https://www.khaleejtimes.com/business/dubai-low-interest-rates-boost-mortgage-transactions-in-2021" TargetMode="External"/><Relationship Id="rId37" Type="http://schemas.openxmlformats.org/officeDocument/2006/relationships/hyperlink" Target="https://uaebusiness.com/tag/better-homes-llc/" TargetMode="External"/><Relationship Id="rId36" Type="http://schemas.openxmlformats.org/officeDocument/2006/relationships/hyperlink" Target="https://www.constructionweekonline.com/business/betterhomes-logs-leasing-deal-at-1-76-million-in-emirates-hills" TargetMode="External"/><Relationship Id="rId39" Type="http://schemas.openxmlformats.org/officeDocument/2006/relationships/hyperlink" Target="https://www.zawya.com/mena/en/press-releases/story/Dubai_property_market_logs_highest_leasing_deal_at_AED75mlnyear-ZAWYA20211103104849/" TargetMode="External"/><Relationship Id="rId38" Type="http://schemas.openxmlformats.org/officeDocument/2006/relationships/hyperlink" Target="https://www.lianapress.ae/releases/construction/dubai-property-market-logs-highest-leasing-deal-at-aed7.5myear.html" TargetMode="External"/><Relationship Id="rId20" Type="http://schemas.openxmlformats.org/officeDocument/2006/relationships/hyperlink" Target="https://www.zawya.com/uae/en/press-releases/story/Positive_economic__employment_sentiment_in_Dubai_boosts_property_sales_in_H1_2021-ZAWYA20210803062005/" TargetMode="External"/><Relationship Id="rId22" Type="http://schemas.openxmlformats.org/officeDocument/2006/relationships/hyperlink" Target="https://www.khaleejtimes.com/property/dubai-realty-back-in-spotlight-with-deals-hitting-10-year-high" TargetMode="External"/><Relationship Id="rId21" Type="http://schemas.openxmlformats.org/officeDocument/2006/relationships/hyperlink" Target="https://www.arabianbusiness.com/real-estate/466741-dubai-broker-sees-surge-in-british-property-buyers-amid-uaes-latest-expat-incentives" TargetMode="External"/><Relationship Id="rId24" Type="http://schemas.openxmlformats.org/officeDocument/2006/relationships/hyperlink" Target="https://www.lianapress.ae/releases/construction/property-market-sets-new-records-as-prices-continue-to-climb-in-q3.html" TargetMode="External"/><Relationship Id="rId23" Type="http://schemas.openxmlformats.org/officeDocument/2006/relationships/hyperlink" Target="https://www.zawya.com/mena/en/press-releases/story/Property_market_sets_new_records_as_prices_continue_to_climb_in_Q3-ZAWYA20211018115321/" TargetMode="External"/><Relationship Id="rId409" Type="http://schemas.openxmlformats.org/officeDocument/2006/relationships/hyperlink" Target="https://www.moneycontrol.com/news/business/real-estate/investing-abroad-should-you-consider-buying-a-second-home-in-dubai-10965401.html" TargetMode="External"/><Relationship Id="rId404" Type="http://schemas.openxmlformats.org/officeDocument/2006/relationships/hyperlink" Target="https://www.khaleejtimes.com/business/property/dubai-waterfront-property-rates-have-doubled-will-prices-drop-as-palm-jebel-begins-to-take-shape" TargetMode="External"/><Relationship Id="rId403" Type="http://schemas.openxmlformats.org/officeDocument/2006/relationships/hyperlink" Target="https://www.khaleejtimes.com/uae/dubai-why-tenants-are-unlikely-to-see-relief-in-rents-anytime-soon" TargetMode="External"/><Relationship Id="rId402" Type="http://schemas.openxmlformats.org/officeDocument/2006/relationships/hyperlink" Target="https://www.andhrajyothy.com/2023/nri/british-and-indian-buyers-among-top-investors-in-property-market-in-dubai-rams-spl-1103559.html" TargetMode="External"/><Relationship Id="rId401" Type="http://schemas.openxmlformats.org/officeDocument/2006/relationships/hyperlink" Target="https://americannewsreport.com/top-real-estate-agencies-in-dubai/" TargetMode="External"/><Relationship Id="rId408" Type="http://schemas.openxmlformats.org/officeDocument/2006/relationships/hyperlink" Target="https://www.khaleejtimes.com/business/property/dubai-british-indian-and-russian-among-top-investors-in-property-market-in-q2" TargetMode="External"/><Relationship Id="rId407" Type="http://schemas.openxmlformats.org/officeDocument/2006/relationships/hyperlink" Target="https://www.khaleejtimes.com/business/realty/look-dubais-10-best-homes-revealed" TargetMode="External"/><Relationship Id="rId406" Type="http://schemas.openxmlformats.org/officeDocument/2006/relationships/hyperlink" Target="https://www.zawya.com/en/business/real-estate/real-estate-update-dubai-apartment-sales-grow-while-villa-sales-reduce-marginally-ceqysi00" TargetMode="External"/><Relationship Id="rId405" Type="http://schemas.openxmlformats.org/officeDocument/2006/relationships/hyperlink" Target="https://www.arabnews.com/node/2339316/business-economy" TargetMode="External"/><Relationship Id="rId26" Type="http://schemas.openxmlformats.org/officeDocument/2006/relationships/hyperlink" Target="https://www.propertynews.ae/reports-updates/trends/property-market-sets-new-records-as-prices-continue-to-climb-in-q3/" TargetMode="External"/><Relationship Id="rId25" Type="http://schemas.openxmlformats.org/officeDocument/2006/relationships/hyperlink" Target="https://uaebusiness.com/2021/10/19/property-market-sets-new-records-as-prices-continue-to-climb-in-q3/" TargetMode="External"/><Relationship Id="rId28" Type="http://schemas.openxmlformats.org/officeDocument/2006/relationships/hyperlink" Target="https://www.constructionweekonline.com/news/crc-released-dubai-commercial-real-estate-market-report-q3-2021" TargetMode="External"/><Relationship Id="rId27" Type="http://schemas.openxmlformats.org/officeDocument/2006/relationships/hyperlink" Target="https://www.zawya.com/mena/en/story/amp/ZAWYA20211018115321/" TargetMode="External"/><Relationship Id="rId400" Type="http://schemas.openxmlformats.org/officeDocument/2006/relationships/hyperlink" Target="https://rossaprimavera.ru/article/50ce93fa" TargetMode="External"/><Relationship Id="rId29" Type="http://schemas.openxmlformats.org/officeDocument/2006/relationships/hyperlink" Target="https://www.zawya.com/mena/en/press-releases/story/CRC_released_Dubai_Commercial_Real_Estate_Market_Report_Q3_2021-ZAWYA20211020084549/" TargetMode="External"/><Relationship Id="rId11" Type="http://schemas.openxmlformats.org/officeDocument/2006/relationships/hyperlink" Target="https://www.propertyfinder.ae/blog/renting-and-moving-during-crisis/" TargetMode="External"/><Relationship Id="rId10" Type="http://schemas.openxmlformats.org/officeDocument/2006/relationships/hyperlink" Target="https://gulfnews.com/business/property/dubai-homeowner-increased-value-of-property-with-effective-landscaping-1.1604301168796" TargetMode="External"/><Relationship Id="rId13" Type="http://schemas.openxmlformats.org/officeDocument/2006/relationships/hyperlink" Target="https://www.propertyfinder.ae/blog/some-more-time-before-the-market-bottoms-out/" TargetMode="External"/><Relationship Id="rId12" Type="http://schemas.openxmlformats.org/officeDocument/2006/relationships/hyperlink" Target="https://www.europeanlifemagazine.com/real-estate/the-post-crisis-outlook-on-the-uae-real-estate-market/" TargetMode="External"/><Relationship Id="rId15" Type="http://schemas.openxmlformats.org/officeDocument/2006/relationships/hyperlink" Target="http://pr.com" TargetMode="External"/><Relationship Id="rId14" Type="http://schemas.openxmlformats.org/officeDocument/2006/relationships/hyperlink" Target="https://www.sme10x.com/10x-industry/betterhomes-launches-new-real-estate-brokerage-for-working-parents" TargetMode="External"/><Relationship Id="rId17" Type="http://schemas.openxmlformats.org/officeDocument/2006/relationships/hyperlink" Target="https://www.khaleejtimes.com/news/dubai-records-27-surge-in-q1-property-deals" TargetMode="External"/><Relationship Id="rId16" Type="http://schemas.openxmlformats.org/officeDocument/2006/relationships/hyperlink" Target="https://www.pr.com/press-release/835148" TargetMode="External"/><Relationship Id="rId19" Type="http://schemas.openxmlformats.org/officeDocument/2006/relationships/hyperlink" Target="https://www.creativezone.ae/events/dubai-real-estate-a-2021-promising-outlook/" TargetMode="External"/><Relationship Id="rId18" Type="http://schemas.openxmlformats.org/officeDocument/2006/relationships/hyperlink" Target="https://www.springfield-re.com/dubai-records-27-surge-in-q1-property-deals" TargetMode="External"/><Relationship Id="rId84" Type="http://schemas.openxmlformats.org/officeDocument/2006/relationships/hyperlink" Target="https://www.thenationalnews.com/business/property/2022/06/21/has-dubais-city-centre-turned-towards-business-bay-amid-soaring-property-prices/" TargetMode="External"/><Relationship Id="rId83" Type="http://schemas.openxmlformats.org/officeDocument/2006/relationships/hyperlink" Target="https://gulfnews.com/business/property/dubai-developers-need-to-bring-back-longer-post-handover-payment-plans-to-help-offplan-buyers-1.1655783971158" TargetMode="External"/><Relationship Id="rId86" Type="http://schemas.openxmlformats.org/officeDocument/2006/relationships/hyperlink" Target="https://www.thenationalnews.com/podcasts/pocketful-of-dirhams/2022/06/28/is-now-the-time-to-invest-in-uae-property-pocketful-of-dirhams/" TargetMode="External"/><Relationship Id="rId85" Type="http://schemas.openxmlformats.org/officeDocument/2006/relationships/hyperlink" Target="https://www.zawya.com/en/press-release/companies-news/untapped-areas-remain-ripe-for-luxury-development-amidst-market-boom-rk7x6fdr" TargetMode="External"/><Relationship Id="rId88" Type="http://schemas.openxmlformats.org/officeDocument/2006/relationships/hyperlink" Target="https://www.cnbc.com/2022/07/07/rich-russians-fleeing-sanctions-are-pumping-up-dubais-property-sector.html" TargetMode="External"/><Relationship Id="rId87" Type="http://schemas.openxmlformats.org/officeDocument/2006/relationships/hyperlink" Target="https://www.zawya.com/en/press-release/people-in-the-news/houzacom-the-dubai-based-property-portal-appoints-jean-pierre-mondalek-as-ceo-sj0mqcvm" TargetMode="External"/><Relationship Id="rId89" Type="http://schemas.openxmlformats.org/officeDocument/2006/relationships/hyperlink" Target="https://www.thenationalnews.com/business/property/2022/07/08/are-top-dubai-property-prices-going-above-dh300m/" TargetMode="External"/><Relationship Id="rId80" Type="http://schemas.openxmlformats.org/officeDocument/2006/relationships/hyperlink" Target="https://english.alaraby.co.uk/news/uae-haven-oligarchs-must-be-blacklistedcritics" TargetMode="External"/><Relationship Id="rId82" Type="http://schemas.openxmlformats.org/officeDocument/2006/relationships/hyperlink" Target="https://www.zawya.com/en/business/real-estate/russian-investors-in-dubai-real-estate-have-doubled-in-2022-top-brokers-say-cdr6sqp0" TargetMode="External"/><Relationship Id="rId81" Type="http://schemas.openxmlformats.org/officeDocument/2006/relationships/hyperlink" Target="https://www.eureporter.co/world/ukraine/2022/06/14/united-arab-emirates-has-emerged-as-a-haven-for-russians-fleeing-the-impact-of-western-sanctions-but-how-long-will-it-last/" TargetMode="External"/><Relationship Id="rId73" Type="http://schemas.openxmlformats.org/officeDocument/2006/relationships/hyperlink" Target="https://www.realitytitbit.com/dating/love-island/andrew-le-page-estate-agent" TargetMode="External"/><Relationship Id="rId72" Type="http://schemas.openxmlformats.org/officeDocument/2006/relationships/hyperlink" Target="https://menafn.com/1104294803/Dubai-Rents-To-Pick-Up-Further-In-2022" TargetMode="External"/><Relationship Id="rId75" Type="http://schemas.openxmlformats.org/officeDocument/2006/relationships/hyperlink" Target="https://www.albawaba.com/business/pr/bayut-dubizzle-wow-real-estate-fraternity-region%E2%80%99s-biggest-proptech-summit-b3dxb-2022" TargetMode="External"/><Relationship Id="rId74" Type="http://schemas.openxmlformats.org/officeDocument/2006/relationships/hyperlink" Target="https://whatson.ae/2022/05/a-dubai-real-estate-agent-is-on-the-new-series-of-love-island/" TargetMode="External"/><Relationship Id="rId77" Type="http://schemas.openxmlformats.org/officeDocument/2006/relationships/hyperlink" Target="https://www.zawya.com/en/press-release/companies-news/crc-witnessed-the-demand-for-quality-commercial-office-space-hit-its-highest-peak-since-2016-d8jtcq2t" TargetMode="External"/><Relationship Id="rId76" Type="http://schemas.openxmlformats.org/officeDocument/2006/relationships/hyperlink" Target="https://whatson.ae/2022/06/dubai-bar-the-cheeky-camel-love-island-screening-party/" TargetMode="External"/><Relationship Id="rId79" Type="http://schemas.openxmlformats.org/officeDocument/2006/relationships/hyperlink" Target="https://www.theguardian.com/world/2022/jun/11/blacklist-dubai-uae-over-russian-oligarchs-say-ukraine-campaigners" TargetMode="External"/><Relationship Id="rId78" Type="http://schemas.openxmlformats.org/officeDocument/2006/relationships/hyperlink" Target="https://meconstructionnews.com/52640/grade-a-commercial-real-estate-sees-surge-in-may-2022-says-crc" TargetMode="External"/><Relationship Id="rId71" Type="http://schemas.openxmlformats.org/officeDocument/2006/relationships/hyperlink" Target="https://www.arabianbusiness.com/opinion/the-increase-in-interest-rates-has-created-an-all-time-high-on-mortgage-applications" TargetMode="External"/><Relationship Id="rId70" Type="http://schemas.openxmlformats.org/officeDocument/2006/relationships/hyperlink" Target="https://www.khaleejtimes.com/property/dubai-rents-to-pick-up-further-in-2022" TargetMode="External"/><Relationship Id="rId62" Type="http://schemas.openxmlformats.org/officeDocument/2006/relationships/hyperlink" Target="https://www.arabnews.com/node/2076071/business-economy" TargetMode="External"/><Relationship Id="rId61" Type="http://schemas.openxmlformats.org/officeDocument/2006/relationships/hyperlink" Target="https://www.arise.tv/wealthy-russians-flee-to-dubai-to-avoid-sanctions/" TargetMode="External"/><Relationship Id="rId64" Type="http://schemas.openxmlformats.org/officeDocument/2006/relationships/hyperlink" Target="http://www.businessmole.com/ryan-mahoney-dubai-uae-crc-market-report-on-commercial-properties/" TargetMode="External"/><Relationship Id="rId63" Type="http://schemas.openxmlformats.org/officeDocument/2006/relationships/hyperlink" Target="https://www.universenewsnetwork.com/2022/05/12/ryan-mahoney-dubai-uae-crc-market-report-on-commercial-properties/" TargetMode="External"/><Relationship Id="rId66" Type="http://schemas.openxmlformats.org/officeDocument/2006/relationships/hyperlink" Target="https://leadership.ng/ukraine-war-russians-flee-to-dubai-to-avoid-sanctions/" TargetMode="External"/><Relationship Id="rId65" Type="http://schemas.openxmlformats.org/officeDocument/2006/relationships/hyperlink" Target="https://www.zawya.com/en/press-release/companies-news/crc-pulls-off-a-three-floor-office-space-deal-in-one-by-omniyat-business-bay-xgtmuzna" TargetMode="External"/><Relationship Id="rId68" Type="http://schemas.openxmlformats.org/officeDocument/2006/relationships/hyperlink" Target="https://www.thenationalnews.com/weekend/2022/05/27/nine-questions-to-ask-if-you-plan-to-rent-or-buy-a-property/" TargetMode="External"/><Relationship Id="rId67" Type="http://schemas.openxmlformats.org/officeDocument/2006/relationships/hyperlink" Target="https://cronullanews.sydney/article/46343/to-avoid-sanctions-russians-flee-to-dubai/" TargetMode="External"/><Relationship Id="rId60" Type="http://schemas.openxmlformats.org/officeDocument/2006/relationships/hyperlink" Target="https://www.internationalinvestment.net/news/4049274/thirds-surge-dubai-property-sales-russians" TargetMode="External"/><Relationship Id="rId69" Type="http://schemas.openxmlformats.org/officeDocument/2006/relationships/hyperlink" Target="https://www.thenationalnews.com/uae/2022/05/29/what-uae-families-can-do-to-keep-down-the-cost-of-living/" TargetMode="External"/><Relationship Id="rId51" Type="http://schemas.openxmlformats.org/officeDocument/2006/relationships/hyperlink" Target="https://www.zawya.com/en/press-release/companies-news/demand-and-prices-on-the-rise-for-townhouses-and-apartments-in-q1-2022-dp9dk0s7" TargetMode="External"/><Relationship Id="rId50" Type="http://schemas.openxmlformats.org/officeDocument/2006/relationships/hyperlink" Target="https://www.thenationalnews.com/weekend/2022/03/18/top-7-mistakes-to-avoid-when-selling-your-home/" TargetMode="External"/><Relationship Id="rId53" Type="http://schemas.openxmlformats.org/officeDocument/2006/relationships/hyperlink" Target="https://www.bloomberg.com/news/articles/2022-04-19/russians-climb-dubai-property-ladder-as-sanctions-imperil-wealth" TargetMode="External"/><Relationship Id="rId52" Type="http://schemas.openxmlformats.org/officeDocument/2006/relationships/hyperlink" Target="https://gulfnews.com/business/property/in-dubai-villa-owners-find-no-takers-for-sudden-price-hikes-of-10-and-more-1.1650345406229" TargetMode="External"/><Relationship Id="rId55" Type="http://schemas.openxmlformats.org/officeDocument/2006/relationships/hyperlink" Target="https://www.thenationalnews.com/weekend/2022/04/22/five-renovations-that-could-actually-lower-the-value-of-your-home/" TargetMode="External"/><Relationship Id="rId54" Type="http://schemas.openxmlformats.org/officeDocument/2006/relationships/hyperlink" Target="https://www.arabianbusiness.com/money/wealth/money-wealth-real-estate/dubais-commercial-property-market-soars-as-post-covid-confidence-leads-to-strongest-quarter-since-2016" TargetMode="External"/><Relationship Id="rId57" Type="http://schemas.openxmlformats.org/officeDocument/2006/relationships/hyperlink" Target="https://www.bloomberg.com/news/newsletters/2022-04-25/rising-oil-prices-a-boon-for-saudi-arabia-s-economy" TargetMode="External"/><Relationship Id="rId56" Type="http://schemas.openxmlformats.org/officeDocument/2006/relationships/hyperlink" Target="https://www.arabnews.com/node/2066971/business-economy" TargetMode="External"/><Relationship Id="rId59" Type="http://schemas.openxmlformats.org/officeDocument/2006/relationships/hyperlink" Target="https://www.mirror.co.uk/news/world-news/russian-firms-billionaires-flee-dubai-26885574" TargetMode="External"/><Relationship Id="rId58" Type="http://schemas.openxmlformats.org/officeDocument/2006/relationships/hyperlink" Target="https://www.bbc.com/news/business-61257448" TargetMode="External"/><Relationship Id="rId107" Type="http://schemas.openxmlformats.org/officeDocument/2006/relationships/hyperlink" Target="https://www.investor.bg/po-sveta/453/a/prodajbite-na-jilishta-v-dubai-sa-narasnali-s-60-prez-pyrvoto-polugodie-357226/" TargetMode="External"/><Relationship Id="rId228" Type="http://schemas.openxmlformats.org/officeDocument/2006/relationships/hyperlink" Target="https://www.ziarulevenimentul.ro/stiri/vanzarile-de-locuinte-au-scazut-dramatic-cu-40-fata-de-anul-trecut-de-ce-nu-scad-si-preturile/vanzarile-de-locuinte-au-scazut-dramatic-cu-40-fata-de-anul-trecut-de-ce-nu-scad-si-preturile--217534779.html" TargetMode="External"/><Relationship Id="rId349" Type="http://schemas.openxmlformats.org/officeDocument/2006/relationships/hyperlink" Target="https://www.zawya.com/en/business/real-estate/steps-to-buying-a-property-in-dubai-ym3xbfuu" TargetMode="External"/><Relationship Id="rId106" Type="http://schemas.openxmlformats.org/officeDocument/2006/relationships/hyperlink" Target="https://www.elcorreo.ae/articulo/economia/ventas-propiedades-dubai-aumentan-60-rusos-inversores/20220730094403148127.html" TargetMode="External"/><Relationship Id="rId227" Type="http://schemas.openxmlformats.org/officeDocument/2006/relationships/hyperlink" Target="https://www.hotnews.ro/stiri-esential-25901100-press-report-muncitori-din-bangladesh-acuza-felul-care-sunt-tratati-sibiu-romanii-top-zece-cumparatori-imobiliare-dubai-cele-mai-bogate-comune-din-romania-guvernul-orbilor-face-romania-daca-intra-rece.htm" TargetMode="External"/><Relationship Id="rId348" Type="http://schemas.openxmlformats.org/officeDocument/2006/relationships/hyperlink" Target="https://www.khaleejtimes.com/business/property/dubai-property-british-indian-and-russian-buyers-lead-real-estate-market-pakistanis-slip-out-of" TargetMode="External"/><Relationship Id="rId105" Type="http://schemas.openxmlformats.org/officeDocument/2006/relationships/hyperlink" Target="https://www.instagram.com/p/CgpIFINLnKe/?utm_source=ig_web_copy_link" TargetMode="External"/><Relationship Id="rId226" Type="http://schemas.openxmlformats.org/officeDocument/2006/relationships/hyperlink" Target="https://baoquocte.vn/khung-hoang-nang-luong-khong-phai-my-hay-na-uy-day-moi-la-nhung-nuoc-kiem-bon-tien-tu-xung-dot-nga-ukraine-205821.html" TargetMode="External"/><Relationship Id="rId347" Type="http://schemas.openxmlformats.org/officeDocument/2006/relationships/hyperlink" Target="https://www.zawya.com/en/business/real-estate/dubai-property-british-indian-and-russian-buyers-lead-real-estate-market-pakistanis-slip-out-of-top-10-n61n484u" TargetMode="External"/><Relationship Id="rId104" Type="http://schemas.openxmlformats.org/officeDocument/2006/relationships/hyperlink" Target="https://www.thenews.com.pk/print/978208-pakistanis-among-top-10-buyers-of-dubai-property" TargetMode="External"/><Relationship Id="rId225" Type="http://schemas.openxmlformats.org/officeDocument/2006/relationships/hyperlink" Target="https://www.zawya.com/en/business/real-estate/real-estate-trends-uae-buyers-rush-to-fix-rates-cash-deals-are-surging-ousihn3d" TargetMode="External"/><Relationship Id="rId346" Type="http://schemas.openxmlformats.org/officeDocument/2006/relationships/hyperlink" Target="https://www.forbes.ru/brandvoice/488385-emirat-vozmoznostej-osobennosti-relokacii-v-dubaj" TargetMode="External"/><Relationship Id="rId109" Type="http://schemas.openxmlformats.org/officeDocument/2006/relationships/hyperlink" Target="https://www.dawn.com/news/1702248" TargetMode="External"/><Relationship Id="rId108" Type="http://schemas.openxmlformats.org/officeDocument/2006/relationships/hyperlink" Target="https://www.moneyandbanking.co.th/article/news/estate-market-dubai-raise-290765" TargetMode="External"/><Relationship Id="rId229" Type="http://schemas.openxmlformats.org/officeDocument/2006/relationships/hyperlink" Target="https://www.washingtonpost.com/world/2022/11/17/uae-dubai-russia-ukraine-war/" TargetMode="External"/><Relationship Id="rId220" Type="http://schemas.openxmlformats.org/officeDocument/2006/relationships/hyperlink" Target="https://www.zawya.com/en/press-release/companies-news/dubais-leading-commercial-real-estate-crc-expands-with-a-new-office-in-dubai-marina-sx7jfvzz" TargetMode="External"/><Relationship Id="rId341" Type="http://schemas.openxmlformats.org/officeDocument/2006/relationships/hyperlink" Target="https://www.khaleejtimes.com/business/dubai-landlord-must-give-12-months-notice-if-property-is-to-be-vacated-for-renovation" TargetMode="External"/><Relationship Id="rId340" Type="http://schemas.openxmlformats.org/officeDocument/2006/relationships/hyperlink" Target="https://www.jordannews.jo/Section-120/All/Russia-outside-Russia-For-elite-Dubai-becomes-a-wartime-harbor-27896" TargetMode="External"/><Relationship Id="rId103" Type="http://schemas.openxmlformats.org/officeDocument/2006/relationships/hyperlink" Target="https://www.businesstimes.com.sg/real-estate/dubai-real-estate-sales-surge-60-as-investors-russians-snap-up-property" TargetMode="External"/><Relationship Id="rId224" Type="http://schemas.openxmlformats.org/officeDocument/2006/relationships/hyperlink" Target="https://www.reuters.com/world/middle-east/emaar-beats-forecasts-with-46-q3-profit-rise-dubai-rebounds-2022-11-14/" TargetMode="External"/><Relationship Id="rId345" Type="http://schemas.openxmlformats.org/officeDocument/2006/relationships/hyperlink" Target="https://www.forbes.ru/brandvoice/488403-zit-gde-solnce-i-more-12-voprosov-o-nedvizimosti-v-turcii" TargetMode="External"/><Relationship Id="rId102" Type="http://schemas.openxmlformats.org/officeDocument/2006/relationships/hyperlink" Target="https://economictimes.indiatimes.com/news/international/uae/dubai-real-estate-sales-surge-60-as-investors-russians-snap-up-property/articleshow/93194871.cms?from=mdr" TargetMode="External"/><Relationship Id="rId223" Type="http://schemas.openxmlformats.org/officeDocument/2006/relationships/hyperlink" Target="https://www.cbc.ca/news/world/russia-ukraine-war-geopolitical-winners-1.6649370" TargetMode="External"/><Relationship Id="rId344" Type="http://schemas.openxmlformats.org/officeDocument/2006/relationships/hyperlink" Target="https://ziare.com/dubai/paradisul-rusilor-emiratele-arabe-lovitura-pentru-putin-cea-mai-mare-banca-dubai-enbd-blocheaza-conturile-investitii-rusi-1799578" TargetMode="External"/><Relationship Id="rId101" Type="http://schemas.openxmlformats.org/officeDocument/2006/relationships/hyperlink" Target="https://www.constructionweekonline.com/business/betterhomes-report-h1-2022" TargetMode="External"/><Relationship Id="rId222" Type="http://schemas.openxmlformats.org/officeDocument/2006/relationships/hyperlink" Target="https://adevarul.ro/economie/romanii-in-top-zece-cumparatori-de-imobiliare-in-2219651.html" TargetMode="External"/><Relationship Id="rId343" Type="http://schemas.openxmlformats.org/officeDocument/2006/relationships/hyperlink" Target="https://www.khaleejtimes.com/business/how-to-buy-property-in-dubai-if-you-are-not-a-resident" TargetMode="External"/><Relationship Id="rId100" Type="http://schemas.openxmlformats.org/officeDocument/2006/relationships/hyperlink" Target="https://www.reuters.com/markets/europe/dubai-real-estate-sales-surge-60-investors-russians-snap-up-property-2022-07-28/" TargetMode="External"/><Relationship Id="rId221" Type="http://schemas.openxmlformats.org/officeDocument/2006/relationships/hyperlink" Target="https://www.agbi.com/articles/dubais-brick-and-mortar-retailers-hold-their-own-against-online-competition/" TargetMode="External"/><Relationship Id="rId342" Type="http://schemas.openxmlformats.org/officeDocument/2006/relationships/hyperlink" Target="https://www.zawya.com/en/business/real-estate/how-to-buy-property-in-dubai-if-you-are-not-a-resident-ly409tqq" TargetMode="External"/><Relationship Id="rId217" Type="http://schemas.openxmlformats.org/officeDocument/2006/relationships/hyperlink" Target="https://www.zawya.com/en/press-release/companies-news/new-and-progressive-property-management-software-aims-to-bridge-the-communication-gap-between-tenants-and-landlords-mztvbkhd" TargetMode="External"/><Relationship Id="rId338" Type="http://schemas.openxmlformats.org/officeDocument/2006/relationships/hyperlink" Target="https://haberglobal.com.tr/ekonomi/dubaide-tanidik-sozler-biz-tasinacagiz-cikin-241925" TargetMode="External"/><Relationship Id="rId216" Type="http://schemas.openxmlformats.org/officeDocument/2006/relationships/hyperlink" Target="https://www.reuters.com/business/dubai-developer-nakheel-secures-17-billion-dirhams-financing-2022-11-08/" TargetMode="External"/><Relationship Id="rId337" Type="http://schemas.openxmlformats.org/officeDocument/2006/relationships/hyperlink" Target="https://www.bloomberg.com/news/articles/2023-04-02/how-expensive-is-dubai-for-expats-rents-groceries-school-fees-surge" TargetMode="External"/><Relationship Id="rId215" Type="http://schemas.openxmlformats.org/officeDocument/2006/relationships/hyperlink" Target="https://www.elcorreo.ae/articulo/economia/desarrollador-palmera-dubai-obtiene-4600-millones-dolares-proyectos/20221109100432150812.html" TargetMode="External"/><Relationship Id="rId336" Type="http://schemas.openxmlformats.org/officeDocument/2006/relationships/hyperlink" Target="https://www.arabianbusiness.com/industries/real-estate/revealed-50-best-homes-in-dubai" TargetMode="External"/><Relationship Id="rId214" Type="http://schemas.openxmlformats.org/officeDocument/2006/relationships/hyperlink" Target="https://www.zf.ro/business-international/unul-dintre-cele-mai-spectaculoase-proiecte-de-infrastructura-din-21305333" TargetMode="External"/><Relationship Id="rId335" Type="http://schemas.openxmlformats.org/officeDocument/2006/relationships/hyperlink" Target="https://www.timeoutdubai.com/news/mo-vlogs-house-downtown-dubai" TargetMode="External"/><Relationship Id="rId219" Type="http://schemas.openxmlformats.org/officeDocument/2006/relationships/hyperlink" Target="https://www.arabnews.com/node/2196421/6-middle-eastern-reality-tv-shows-watch" TargetMode="External"/><Relationship Id="rId218" Type="http://schemas.openxmlformats.org/officeDocument/2006/relationships/hyperlink" Target="https://www.thenationalnews.com/business/money/2022/11/09/the-debt-panel-i-lost-my-5445-short-term-rental-deposit/" TargetMode="External"/><Relationship Id="rId339" Type="http://schemas.openxmlformats.org/officeDocument/2006/relationships/hyperlink" Target="https://www.bbc.com/hausa/articles/cqqzzd3r5nvo" TargetMode="External"/><Relationship Id="rId330" Type="http://schemas.openxmlformats.org/officeDocument/2006/relationships/hyperlink" Target="https://www.zawya.com/en/press-release/companies-news/the-inaugural-top-50-homes-competition-takes-dubai-by-storm-u1711svg" TargetMode="External"/><Relationship Id="rId451" Type="http://schemas.openxmlformats.org/officeDocument/2006/relationships/hyperlink" Target="https://vietnamnet.vn/cam-trai-xuyen-dem-xep-hang-tu-3h-sang-cho-mua-biet-thu-dao-o-dubai-2193119.html" TargetMode="External"/><Relationship Id="rId450" Type="http://schemas.openxmlformats.org/officeDocument/2006/relationships/hyperlink" Target="https://www.wam.ae/zh-CN/details/1395303200431" TargetMode="External"/><Relationship Id="rId213" Type="http://schemas.openxmlformats.org/officeDocument/2006/relationships/hyperlink" Target="https://www.arabianbusiness.com/tags/angel-eye-media" TargetMode="External"/><Relationship Id="rId334" Type="http://schemas.openxmlformats.org/officeDocument/2006/relationships/hyperlink" Target="https://www.timeoutdubai.com/news/dubai-luxury-homes-competition" TargetMode="External"/><Relationship Id="rId212" Type="http://schemas.openxmlformats.org/officeDocument/2006/relationships/hyperlink" Target="https://www.arabnews.com/node/2196036/media" TargetMode="External"/><Relationship Id="rId333" Type="http://schemas.openxmlformats.org/officeDocument/2006/relationships/hyperlink" Target="https://www.khaleejtimes.com/business/three-options-to-consider-if-you-are-selling-your-property-in-dubai-2" TargetMode="External"/><Relationship Id="rId211" Type="http://schemas.openxmlformats.org/officeDocument/2006/relationships/hyperlink" Target="https://www.thenationalnews.com/arts-culture/film-tv/2022/11/07/made-in-dubai-another-reality-tv-series-set-in-the-city-announced-by-uks-channel-4/" TargetMode="External"/><Relationship Id="rId332" Type="http://schemas.openxmlformats.org/officeDocument/2006/relationships/hyperlink" Target="https://www.bbc.com/news/business-65037061" TargetMode="External"/><Relationship Id="rId453" Type="http://schemas.openxmlformats.org/officeDocument/2006/relationships/drawing" Target="../drawings/drawing13.xml"/><Relationship Id="rId210" Type="http://schemas.openxmlformats.org/officeDocument/2006/relationships/hyperlink" Target="https://whatson.ae/2022/11/made-in-dubai-new-real-estate-reality-show-on-uks-channel-4/" TargetMode="External"/><Relationship Id="rId331" Type="http://schemas.openxmlformats.org/officeDocument/2006/relationships/hyperlink" Target="https://www.khaleejtimes.com/business/what-you-should-know-about-freehold-and-leasehold-properties" TargetMode="External"/><Relationship Id="rId452" Type="http://schemas.openxmlformats.org/officeDocument/2006/relationships/hyperlink" Target="https://wam.ae/tr/details/1395303201169" TargetMode="External"/><Relationship Id="rId370" Type="http://schemas.openxmlformats.org/officeDocument/2006/relationships/hyperlink" Target="https://panorama.ro/imobiliare-dubai-investitie-romani-piata-imobiliara/" TargetMode="External"/><Relationship Id="rId129" Type="http://schemas.openxmlformats.org/officeDocument/2006/relationships/hyperlink" Target="https://sindobatam.com/bank-terbesar-di-dubai-memberi-karyawan-kenaikan-gaji-inflasi/" TargetMode="External"/><Relationship Id="rId128" Type="http://schemas.openxmlformats.org/officeDocument/2006/relationships/hyperlink" Target="https://noticiasdelmundo.news/emiratos-arabes-unidos-el-banco-mas-grande-de-dubai-aumenta-el-sueldo-del-personal-por-la-inflacion/" TargetMode="External"/><Relationship Id="rId249" Type="http://schemas.openxmlformats.org/officeDocument/2006/relationships/hyperlink" Target="https://www.zonebourse.com/actualite-bourse/La-hausse-des-prix-de-l-immobilier-a-Dubai-devrait-encore-ralentir-en-2023-Betterhomes--42738330/?utm_medium=RSS&amp;utm_content=20230115" TargetMode="External"/><Relationship Id="rId127" Type="http://schemas.openxmlformats.org/officeDocument/2006/relationships/hyperlink" Target="https://www.reuters.com/business/finance/dubais-biggest-bank-gives-staff-pay-rise-inflation-sources-2022-08-09/" TargetMode="External"/><Relationship Id="rId248" Type="http://schemas.openxmlformats.org/officeDocument/2006/relationships/hyperlink" Target="https://www.latestly.com/socially/sports/cricket/virat-kohli-does-a-ms-dhoni-star-india-batter-hits-helicopter-shot-for-six-in-ind-vs-sl-3rd-odi-2023-watch-video-4716180.html" TargetMode="External"/><Relationship Id="rId369" Type="http://schemas.openxmlformats.org/officeDocument/2006/relationships/hyperlink" Target="https://www.thenationalnews.com/uae/2023/06/08/moving-to-abu-dhabi-best-residential-areas-for-middle-income-earners/" TargetMode="External"/><Relationship Id="rId126" Type="http://schemas.openxmlformats.org/officeDocument/2006/relationships/hyperlink" Target="https://www.zawya.com/en/business/banking-and-insurance/dubais-biggest-bank-gives-staff-a-pay-rise-for-inflation-sources-axdjmqoe" TargetMode="External"/><Relationship Id="rId247" Type="http://schemas.openxmlformats.org/officeDocument/2006/relationships/hyperlink" Target="https://www.reuters.com/world/middle-east/dubai-property-price-rises-seen-slowing-further-2023-betterhomes-2023-01-15/" TargetMode="External"/><Relationship Id="rId368" Type="http://schemas.openxmlformats.org/officeDocument/2006/relationships/hyperlink" Target="https://www.digitaljournal.com/pr/news/binary-news-network/the-uphill-trajectory-of-property-technology-within-the-middle-east" TargetMode="External"/><Relationship Id="rId121" Type="http://schemas.openxmlformats.org/officeDocument/2006/relationships/hyperlink" Target="https://www.khaleejtimes.com/business/what-are-5-questions-to-ask-before-i-buy-a-property-in-dubai" TargetMode="External"/><Relationship Id="rId242" Type="http://schemas.openxmlformats.org/officeDocument/2006/relationships/hyperlink" Target="https://www.zawya.com/en/business/real-estate/dubai-most-affordable-areas-as-rents-set-to-rise-further-in-2023-iki3ms8s" TargetMode="External"/><Relationship Id="rId363" Type="http://schemas.openxmlformats.org/officeDocument/2006/relationships/hyperlink" Target="https://www.khaleejtimes.com/business/are-rent-to-own-units-a-good-option-for-property-buyers-in-dubai" TargetMode="External"/><Relationship Id="rId120" Type="http://schemas.openxmlformats.org/officeDocument/2006/relationships/hyperlink" Target="https://menafn.com/1104648693/What-Are-5-Questions-To-Ask-Before-I-Buy-A-Property-In-Dubai" TargetMode="External"/><Relationship Id="rId241" Type="http://schemas.openxmlformats.org/officeDocument/2006/relationships/hyperlink" Target="https://www.khaleejtimes.com/business/property/dubai-most-affordable-areas-as-rents-set-to-rise-further-in-2023?_refresh=true" TargetMode="External"/><Relationship Id="rId362" Type="http://schemas.openxmlformats.org/officeDocument/2006/relationships/hyperlink" Target="https://www.zawya.com/en/business/real-estate/are-rent-to-own-units-a-good-option-for-property-buyers-in-dubai-j01bp4vu" TargetMode="External"/><Relationship Id="rId240" Type="http://schemas.openxmlformats.org/officeDocument/2006/relationships/hyperlink" Target="https://english.alarabiya.net/features/2022/12/07/DNP-Dubai-residents-forced-to-move-as-soaring-rents-far-outstrip-salary-increases-" TargetMode="External"/><Relationship Id="rId361" Type="http://schemas.openxmlformats.org/officeDocument/2006/relationships/hyperlink" Target="https://thecradle.co/article-view/25252/uae-becomes-russian-gold-trade-hub-due-to-western-sanctions" TargetMode="External"/><Relationship Id="rId360" Type="http://schemas.openxmlformats.org/officeDocument/2006/relationships/hyperlink" Target="https://www.lemonde.fr/international/article/2023/05/24/a-dubai-l-afflux-des-russes-provoque-une-crise-immobiliere_6174649_3210.html" TargetMode="External"/><Relationship Id="rId125" Type="http://schemas.openxmlformats.org/officeDocument/2006/relationships/hyperlink" Target="https://www.reuters.com/business/finance/dubais-biggest-bank-gives-staff-pay-rise-inflation-sources-2022-08-09/" TargetMode="External"/><Relationship Id="rId246" Type="http://schemas.openxmlformats.org/officeDocument/2006/relationships/hyperlink" Target="https://gulfnews.com/business/analysis/uae-corporate-tax-businesses-have-some-early-preparations-to-do-1.92961154" TargetMode="External"/><Relationship Id="rId367" Type="http://schemas.openxmlformats.org/officeDocument/2006/relationships/hyperlink" Target="https://lepetitjournal.com/dubai/logement/quartiers-populaires-dubai-nationalites-acheteurs-361117" TargetMode="External"/><Relationship Id="rId124" Type="http://schemas.openxmlformats.org/officeDocument/2006/relationships/hyperlink" Target="https://gulfnews.com/business/property/in-uae-offices-emerge-as-next-big-deal-with-aldar-making-dh43b-statement-1.1659761770792" TargetMode="External"/><Relationship Id="rId245" Type="http://schemas.openxmlformats.org/officeDocument/2006/relationships/hyperlink" Target="https://www.thenationalnews.com/weekend/2022/12/30/can-the-dubai-real-estate-market-outrun-a-global-downturn-in-2023/" TargetMode="External"/><Relationship Id="rId366" Type="http://schemas.openxmlformats.org/officeDocument/2006/relationships/hyperlink" Target="https://www.khaleejtimes.com/business/property/top-luxury-property-buyers-in-dubai-chinese-british-investors-overtake-indians" TargetMode="External"/><Relationship Id="rId123" Type="http://schemas.openxmlformats.org/officeDocument/2006/relationships/hyperlink" Target="https://www.thenationalnews.com/business/money/2022/08/05/bank-of-englands-rate-increase-makes-uk-property-more-appealing-to-middle-east-investors/" TargetMode="External"/><Relationship Id="rId244" Type="http://schemas.openxmlformats.org/officeDocument/2006/relationships/hyperlink" Target="https://www.thenationalnews.com/business/property/2022/12/28/how-will-dubai-and-abu-dhabi-property-markets-perform-in-2023/" TargetMode="External"/><Relationship Id="rId365" Type="http://schemas.openxmlformats.org/officeDocument/2006/relationships/hyperlink" Target="https://www.capital.fr/immobilier/pourquoi-la-guerre-en-ukraine-a-provoque-une-augmentation-de-36-des-loyers-a-dubai-1469893" TargetMode="External"/><Relationship Id="rId122" Type="http://schemas.openxmlformats.org/officeDocument/2006/relationships/hyperlink" Target="https://www.moneycontrol.com/news/trends/travel-trends/immigration-series-why-are-so-many-indians-buying-property-in-dubai-8964261.html" TargetMode="External"/><Relationship Id="rId243" Type="http://schemas.openxmlformats.org/officeDocument/2006/relationships/hyperlink" Target="https://www.thenationalnews.com/business/money/2022/12/30/what-would-you-do-if-you-won-dh200m/" TargetMode="External"/><Relationship Id="rId364" Type="http://schemas.openxmlformats.org/officeDocument/2006/relationships/hyperlink" Target="https://www.zawya.com/en/press-release/companies-news/property-finder-brings-together-uae-real-estate-industry-leaders-at-property-finder-connect-2023-event-x1vs7r8h" TargetMode="External"/><Relationship Id="rId95" Type="http://schemas.openxmlformats.org/officeDocument/2006/relationships/hyperlink" Target="https://gulfnews.com/business/property/in-dubai-residents-find-rent-renewals-offer-cheaper-option-in-h1-2022-1.89517839" TargetMode="External"/><Relationship Id="rId94" Type="http://schemas.openxmlformats.org/officeDocument/2006/relationships/hyperlink" Target="https://www.linkedin.com/posts/crc-property_head-of-crc-andrew-elliott-live-on-the-business-activity-6957618158002139136-Osgl?utm_source=linkedin_share&amp;utm_medium=member_desktop_web" TargetMode="External"/><Relationship Id="rId97" Type="http://schemas.openxmlformats.org/officeDocument/2006/relationships/hyperlink" Target="https://www.khaleejtimes.com/business/dubai-remains-prime-target-of-property-investors" TargetMode="External"/><Relationship Id="rId96" Type="http://schemas.openxmlformats.org/officeDocument/2006/relationships/hyperlink" Target="https://www.linkedin.com/posts/better-homes-llc_richard-waind-on-the-business-breakfast-activity-6958047289240117249-kP3m?utm_source=linkedin_share&amp;utm_medium=member_desktop_web" TargetMode="External"/><Relationship Id="rId99" Type="http://schemas.openxmlformats.org/officeDocument/2006/relationships/hyperlink" Target="https://www.zawya.com/en/business/real-estate/russians-are-fourth-largest-homebuyers-in-dubai-this-year-llwluic0" TargetMode="External"/><Relationship Id="rId98" Type="http://schemas.openxmlformats.org/officeDocument/2006/relationships/hyperlink" Target="https://www.zawya.com/en/business/real-estate/dubai-remains-prime-target-of-property-investors-rx1gcgeg" TargetMode="External"/><Relationship Id="rId91" Type="http://schemas.openxmlformats.org/officeDocument/2006/relationships/hyperlink" Target="https://gulfnews.com/business/property/planning-to-rent-a-new-home-in-dubai---then-just-do-it-fast-1.1657682956150" TargetMode="External"/><Relationship Id="rId90" Type="http://schemas.openxmlformats.org/officeDocument/2006/relationships/hyperlink" Target="https://www.kalminer.com.au/business/cnbc/villas-by-the-sea-rich-russians-fleeing-sanctions-are-pumping-up-dubais-property-sector-c-7449496" TargetMode="External"/><Relationship Id="rId93" Type="http://schemas.openxmlformats.org/officeDocument/2006/relationships/hyperlink" Target="https://www.zawya.com/en/press-release/research-and-studies/the-commercial-real-estate-market-witnessed-89-growth-in-sales-for-h1-2022-yke1ratr" TargetMode="External"/><Relationship Id="rId92" Type="http://schemas.openxmlformats.org/officeDocument/2006/relationships/hyperlink" Target="https://www.arabianbusiness.com/money/wealth/money-wealth-real-estate/dubai-commercial-real-estate-sales-value-jumps-89-percent-in-first-half-of-2022-report" TargetMode="External"/><Relationship Id="rId118" Type="http://schemas.openxmlformats.org/officeDocument/2006/relationships/hyperlink" Target="https://www.zawya.com/en/press-release/companies-news/designed-to-promote-a-family-oriented-lifestyle-california-village-is-the-new-and-secure-community-living-in-dubai-r1x26tyy" TargetMode="External"/><Relationship Id="rId239" Type="http://schemas.openxmlformats.org/officeDocument/2006/relationships/hyperlink" Target="https://ru.investing.com/analysis/article-200298866" TargetMode="External"/><Relationship Id="rId117" Type="http://schemas.openxmlformats.org/officeDocument/2006/relationships/hyperlink" Target="https://gulfnews.com/business/property/dubai-developers-are-finally-ready-with-new-villa-projects-as-there-is-no-let-up-in-demand-1.1659586803930" TargetMode="External"/><Relationship Id="rId238" Type="http://schemas.openxmlformats.org/officeDocument/2006/relationships/hyperlink" Target="https://www.dcnews.ro/programul-noua-casa-continua-si-in-2023-vesti-bune-pentru-romanii-care-vor-sa-isi-cumpere-o-locuinta-cate-garantii-s-au-dat-in-2022_897305.html" TargetMode="External"/><Relationship Id="rId359" Type="http://schemas.openxmlformats.org/officeDocument/2006/relationships/hyperlink" Target="https://www.thenationalnews.com/uae/2023/05/17/tenants-served-notice-as-palm-jumeriahs-the-pointe-tipped-for-redevelopment/" TargetMode="External"/><Relationship Id="rId116" Type="http://schemas.openxmlformats.org/officeDocument/2006/relationships/hyperlink" Target="https://www.mirchi9.com/politics/desis-topping-the-real-estate-charts-in-dubai/" TargetMode="External"/><Relationship Id="rId237" Type="http://schemas.openxmlformats.org/officeDocument/2006/relationships/hyperlink" Target="https://www.youtube.com/watch?v=Na8U_eNGIJQ" TargetMode="External"/><Relationship Id="rId358" Type="http://schemas.openxmlformats.org/officeDocument/2006/relationships/hyperlink" Target="https://www.atalayar.com/articulo/economia-y-empresas/dubai-ciudad-que-atrae-cada-vez-mas-empresarios-extranjeros/20230509162107184378.html" TargetMode="External"/><Relationship Id="rId115" Type="http://schemas.openxmlformats.org/officeDocument/2006/relationships/hyperlink" Target="https://menafn.com/1104628153/UAE-How-Much-Mortgage-Can-Dubai-Property-Buyers-Apply-For" TargetMode="External"/><Relationship Id="rId236" Type="http://schemas.openxmlformats.org/officeDocument/2006/relationships/hyperlink" Target="https://www.zawya.com/en/multimedia/videos/short-stay-rentals-heat-up-in-dubai-thanks-to-world-cup-hk0q0adz" TargetMode="External"/><Relationship Id="rId357" Type="http://schemas.openxmlformats.org/officeDocument/2006/relationships/hyperlink" Target="https://www.khaleejtimes.com/business/your-guide-to-renting-in-dubai" TargetMode="External"/><Relationship Id="rId119" Type="http://schemas.openxmlformats.org/officeDocument/2006/relationships/hyperlink" Target="https://www.zawya.com/en/business/real-estate/what-are-five-questions-to-ask-before-i-buy-a-property-in-dubai-tey1miy5" TargetMode="External"/><Relationship Id="rId110" Type="http://schemas.openxmlformats.org/officeDocument/2006/relationships/hyperlink" Target="https://www.globalvillagespace.com/insights-of-the-news-pakistanis-among-top-10-buyers-of-dubai-property/" TargetMode="External"/><Relationship Id="rId231" Type="http://schemas.openxmlformats.org/officeDocument/2006/relationships/hyperlink" Target="https://meconstructionnews.com/55507/betterhomes-purchases-full-floor-in-motor-city-office-tower" TargetMode="External"/><Relationship Id="rId352" Type="http://schemas.openxmlformats.org/officeDocument/2006/relationships/hyperlink" Target="https://www.khaleejtimes.com/business/how-much-do-i-have-to-pay-an-agent-to-buy-a-home-in-dubai" TargetMode="External"/><Relationship Id="rId230" Type="http://schemas.openxmlformats.org/officeDocument/2006/relationships/hyperlink" Target="https://gulfnews.com/business/property/in-dubai-new-1-year-rental-listings-drop-as-landlords-chase-short-term-rentals-1.1669003557826" TargetMode="External"/><Relationship Id="rId351" Type="http://schemas.openxmlformats.org/officeDocument/2006/relationships/hyperlink" Target="https://www.9news.com.au/world/dubai-island-plot-of-empty-land-sold-for-fifty-million-dollars-in-record-sale/7e7745b4-340e-47e2-be40-166b3c9b3c1f" TargetMode="External"/><Relationship Id="rId350" Type="http://schemas.openxmlformats.org/officeDocument/2006/relationships/hyperlink" Target="https://www.khaleejtimes.com/business/property/steps-to-buying-a-property-in-dubai" TargetMode="External"/><Relationship Id="rId114" Type="http://schemas.openxmlformats.org/officeDocument/2006/relationships/hyperlink" Target="https://www.khaleejtimes.com/property/uae-how-much-mortgage-can-dubai-property-buyers-apply-for" TargetMode="External"/><Relationship Id="rId235" Type="http://schemas.openxmlformats.org/officeDocument/2006/relationships/hyperlink" Target="https://gulfnews.com/business/property/dubai-home-rent-increases-could-cool-if-star-rating-for-buildings-determines-rental-index-1.1669176870570" TargetMode="External"/><Relationship Id="rId356" Type="http://schemas.openxmlformats.org/officeDocument/2006/relationships/hyperlink" Target="https://www.thenationalnews.com/uae/2023/05/07/dubais-world-islands-developer-aims-for-2026-finish-after-fresh-delays/" TargetMode="External"/><Relationship Id="rId113" Type="http://schemas.openxmlformats.org/officeDocument/2006/relationships/hyperlink" Target="https://www.propertynews.ae/uae/aed1-8-billion-worth-of-real-estate-transactions-were-recorded-in-dubai-on-wednesday/" TargetMode="External"/><Relationship Id="rId234" Type="http://schemas.openxmlformats.org/officeDocument/2006/relationships/hyperlink" Target="https://english.alarabiya.net/business/property/2022/11/23/Dubai-records-huge-short-term-rental-boom-in-months-leading-up-to-Qatar-World-Cup" TargetMode="External"/><Relationship Id="rId355" Type="http://schemas.openxmlformats.org/officeDocument/2006/relationships/hyperlink" Target="https://runews24.ru/realty/08/05/2023/2d3010790707d895bb61870f26beba78" TargetMode="External"/><Relationship Id="rId112" Type="http://schemas.openxmlformats.org/officeDocument/2006/relationships/hyperlink" Target="https://www.khaleejtimes.com/uae/dubai-villa-rents-increase-as-demand-for-bigger-homes-soars-post-covid" TargetMode="External"/><Relationship Id="rId233" Type="http://schemas.openxmlformats.org/officeDocument/2006/relationships/hyperlink" Target="https://www.zawya.com/en/press-release/companies-news/betterhomes-acquires-full-floor-office-in-control-tower-motor-city-from-emirates-nbd-tyqxw12e" TargetMode="External"/><Relationship Id="rId354" Type="http://schemas.openxmlformats.org/officeDocument/2006/relationships/hyperlink" Target="https://www.arabianbusiness.com/industries/real-estate/dubais-most-popular-residential-areas-buyer-nationalities-revealed" TargetMode="External"/><Relationship Id="rId111" Type="http://schemas.openxmlformats.org/officeDocument/2006/relationships/hyperlink" Target="https://www.brecorder.com/news/40188927/pakistanis-among-top-10-buyers-in-dubai-as-real-estate-sales-surge-in-h1-2022" TargetMode="External"/><Relationship Id="rId232" Type="http://schemas.openxmlformats.org/officeDocument/2006/relationships/hyperlink" Target="https://www.zawya.com/en/business/real-estate/betterhomes-focuses-on-dubailand-al-qudra-sales-as-population-grows-wzu2tx7x" TargetMode="External"/><Relationship Id="rId353" Type="http://schemas.openxmlformats.org/officeDocument/2006/relationships/hyperlink" Target="https://www.constructionweekonline.com/business/buying-property-in-dubai-top-buyer-nationalities-revealed" TargetMode="External"/><Relationship Id="rId305" Type="http://schemas.openxmlformats.org/officeDocument/2006/relationships/hyperlink" Target="https://economictimes.indiatimes.com/nri/invest/dubai-housing-boom-buoys-buyers-burdens-tenants/articleshow/98170301.cms" TargetMode="External"/><Relationship Id="rId426" Type="http://schemas.openxmlformats.org/officeDocument/2006/relationships/hyperlink" Target="https://www.watson.ch/fr/economie/russie/982986502-de-la-paradeplatz-a-dubai-les-riches-russes-deplacent-leur-argent" TargetMode="External"/><Relationship Id="rId304" Type="http://schemas.openxmlformats.org/officeDocument/2006/relationships/hyperlink" Target="https://www.businesstimes.com.sg/international/dubai-airport-sees-surge-arrivals-bolstered-russian-influx" TargetMode="External"/><Relationship Id="rId425" Type="http://schemas.openxmlformats.org/officeDocument/2006/relationships/hyperlink" Target="https://www.timeoutdubai.com/moving-to-dubai/real-estate-apps-in-dubai" TargetMode="External"/><Relationship Id="rId303" Type="http://schemas.openxmlformats.org/officeDocument/2006/relationships/hyperlink" Target="https://www.npr.org/2023/02/26/1152488159/ukrainian-food-dubai-yoy-restaurant" TargetMode="External"/><Relationship Id="rId424" Type="http://schemas.openxmlformats.org/officeDocument/2006/relationships/hyperlink" Target="https://www.agbi.com/articles/russians-bigger-long-term-dubai-homes/?utm_source=linkedin&amp;utm_medium=social&amp;utm_campaign=awa&amp;utm_content=russians_dubai_villas-img&amp;utm_term=feed-real_estate" TargetMode="External"/><Relationship Id="rId302" Type="http://schemas.openxmlformats.org/officeDocument/2006/relationships/hyperlink" Target="https://www.khaleejtimes.com/business/property/dubai-should-i-hire-a-property-company-to-lease-my-villa-as-i-relocate-to-my-country" TargetMode="External"/><Relationship Id="rId423" Type="http://schemas.openxmlformats.org/officeDocument/2006/relationships/hyperlink" Target="https://www.arabianbusiness.com/industries/real-estate/dubai-abu-dhabi-real-estate-markets-cash-in-as-soaring-investor-confidence-fuels-uae-off-plan-property-boom" TargetMode="External"/><Relationship Id="rId309" Type="http://schemas.openxmlformats.org/officeDocument/2006/relationships/hyperlink" Target="https://www.bfmtv.com/immobilier/international-etranger/a-dubai-les-locataires-subissent-les-fortes-hausses-des-prix-de-l-immobilier_AD-202302230202.html" TargetMode="External"/><Relationship Id="rId308" Type="http://schemas.openxmlformats.org/officeDocument/2006/relationships/hyperlink" Target="https://finance.yahoo.com/news/g-7-sanctions-target-key-100000648.html?guccounter=1&amp;guce_referrer=aHR0cHM6Ly93d3cuZ29vZ2xlLmNvbS8&amp;guce_referrer_sig=AQAAANuRxrMPOhqOn5MEnoNAKUL86axWbGapzrkoX5cCD9T9DKehlHWNel1fiG4EzF1yW4Hg4YHNnxWWMQkY1fszEhPFGiL8AHhFHfGht_dn0gPU1ZxlxqGN27BeZJfxWSZDyKPVpEln1_SZdZNR6LN_JCztuZM0eMuGXTSUSctbUfSP" TargetMode="External"/><Relationship Id="rId429" Type="http://schemas.openxmlformats.org/officeDocument/2006/relationships/hyperlink" Target="https://www.khaleejtimes.com/life-and-living/housing-in-uae/rents-in-dubai-up-to-dh20000-discount-on-fewer-cheque-payments?_refresh=true" TargetMode="External"/><Relationship Id="rId307" Type="http://schemas.openxmlformats.org/officeDocument/2006/relationships/hyperlink" Target="https://zamanbelcika.be/ekonomi/dubai-konut-patlamasi-alicilari-samandiralar-kiracilari-zorlar/93593/" TargetMode="External"/><Relationship Id="rId428" Type="http://schemas.openxmlformats.org/officeDocument/2006/relationships/hyperlink" Target="https://www.thenationalnews.com/weekend/2023/07/28/whats-next-for-the-dubai-property-market/" TargetMode="External"/><Relationship Id="rId306" Type="http://schemas.openxmlformats.org/officeDocument/2006/relationships/hyperlink" Target="https://vietnambiz.vn/dubai-chung-kien-luong-giao-dich-bat-dong-san-ky-luc-trong-nam-2022-2023223222756601.htm" TargetMode="External"/><Relationship Id="rId427" Type="http://schemas.openxmlformats.org/officeDocument/2006/relationships/hyperlink" Target="https://prian.ru/pub/samye-russkie-rayony-dubaya-gde-pokupayut-nedvizhimost-investory-iz-rf.html" TargetMode="External"/><Relationship Id="rId301" Type="http://schemas.openxmlformats.org/officeDocument/2006/relationships/hyperlink" Target="https://jordantimes.com/news/business/dubai-airport-sees-surge-arrivals-bolstered-russian-influx" TargetMode="External"/><Relationship Id="rId422" Type="http://schemas.openxmlformats.org/officeDocument/2006/relationships/hyperlink" Target="https://www.agbi.com/articles/norwegians-return-dubai-commercial-property-sector/" TargetMode="External"/><Relationship Id="rId300" Type="http://schemas.openxmlformats.org/officeDocument/2006/relationships/hyperlink" Target="https://www.elindependiente.com/internacional/2023/02/20/dubai-el-refugio-dorado-de-los-millonarios-rusos/" TargetMode="External"/><Relationship Id="rId421" Type="http://schemas.openxmlformats.org/officeDocument/2006/relationships/hyperlink" Target="https://www.zawya.com/en/business/real-estate/dubai-commercial-property-sees-high-demand-c2lxyinv" TargetMode="External"/><Relationship Id="rId420" Type="http://schemas.openxmlformats.org/officeDocument/2006/relationships/hyperlink" Target="https://www.khaleejtimes.com/business/dubai-commercial-property-sees-high-demand" TargetMode="External"/><Relationship Id="rId415" Type="http://schemas.openxmlformats.org/officeDocument/2006/relationships/hyperlink" Target="https://www.khaleejtimes.com/business/dubais-commercial-real-estate-transactions-surge-101-in-q2" TargetMode="External"/><Relationship Id="rId414" Type="http://schemas.openxmlformats.org/officeDocument/2006/relationships/hyperlink" Target="https://www.zawya.com/en/business/real-estate/what-are-the-most-promising-upcoming-neighbourhoods-in-dubai-f2cailrd" TargetMode="External"/><Relationship Id="rId413" Type="http://schemas.openxmlformats.org/officeDocument/2006/relationships/hyperlink" Target="https://www.khaleejtimes.com/business/what-are-the-most-promising-upcoming-neighbourhoods-in-dubai" TargetMode="External"/><Relationship Id="rId412" Type="http://schemas.openxmlformats.org/officeDocument/2006/relationships/hyperlink" Target="https://www.khaleejtimes.com/business/dubai-realty-posts-37-q2-growth-as-ultra-rich-rush-in" TargetMode="External"/><Relationship Id="rId419" Type="http://schemas.openxmlformats.org/officeDocument/2006/relationships/hyperlink" Target="https://gulfnews.com/business/property/as-dubai-property-market-nears-peak-ready-homes-get-buyers-full-attention-1.97161895" TargetMode="External"/><Relationship Id="rId418" Type="http://schemas.openxmlformats.org/officeDocument/2006/relationships/hyperlink" Target="https://www.arabianbusiness.com/industries/real-estate/dubai-real-estate-off-plan-property-resurgence-fuels-market-boom-amid-rising-population" TargetMode="External"/><Relationship Id="rId417" Type="http://schemas.openxmlformats.org/officeDocument/2006/relationships/hyperlink" Target="https://www.khaleejtimes.com/business/dubai-waterfront-villa-prices-set-to-rise-further-due-to-limited-supply" TargetMode="External"/><Relationship Id="rId416" Type="http://schemas.openxmlformats.org/officeDocument/2006/relationships/hyperlink" Target="https://www.zawya.com/en/business/real-estate/norwegians-second-biggest-buyers-of-dubai-commercial-real-estate-cfzxoqfu" TargetMode="External"/><Relationship Id="rId411" Type="http://schemas.openxmlformats.org/officeDocument/2006/relationships/hyperlink" Target="https://www.zawya.com/en/business/real-estate/dubai-realty-posts-37-q2-growth-as-ultra-rich-rush-in-j94zfwoo" TargetMode="External"/><Relationship Id="rId410" Type="http://schemas.openxmlformats.org/officeDocument/2006/relationships/hyperlink" Target="https://www.zawya.com/en/business/real-estate/dubais-10-best-homes-revealed-il4crxtg" TargetMode="External"/><Relationship Id="rId206" Type="http://schemas.openxmlformats.org/officeDocument/2006/relationships/hyperlink" Target="https://meconstructionnews.com/55212/dubais-commercial-market-reached-an-all-time-high-in-q3-says-crc" TargetMode="External"/><Relationship Id="rId327" Type="http://schemas.openxmlformats.org/officeDocument/2006/relationships/hyperlink" Target="https://www.demorgen.be/oorlog-in-oekraine/dit-is-een-deel-van-rusland-buiten-rusland-hoe-dubai-een-toevluchtsoord-voor-de-russische-elite-wordt~b198e9fd/?referrer=https%3A%2F%2Fwww.google.com%2F" TargetMode="External"/><Relationship Id="rId448" Type="http://schemas.openxmlformats.org/officeDocument/2006/relationships/hyperlink" Target="https://www.arabianbusiness.com/industries/real-estate/dubai-real-estate-how-much-property-does-1-million-buy" TargetMode="External"/><Relationship Id="rId205" Type="http://schemas.openxmlformats.org/officeDocument/2006/relationships/hyperlink" Target="https://www.thenationalnews.com/business/money/2022/11/03/dubai-tenants-downsize-and-move-to-cheaper-areas-as-rents-rise/" TargetMode="External"/><Relationship Id="rId326" Type="http://schemas.openxmlformats.org/officeDocument/2006/relationships/hyperlink" Target="https://gulfnews.com/business/corporate-news/bayut-and-dubizzle-hold-their-annual-awards-ceremony-1.1678870778266" TargetMode="External"/><Relationship Id="rId447" Type="http://schemas.openxmlformats.org/officeDocument/2006/relationships/hyperlink" Target="https://www.agbi.com/articles/russian-investors-dubai-real-estate-little-moscow/" TargetMode="External"/><Relationship Id="rId204" Type="http://schemas.openxmlformats.org/officeDocument/2006/relationships/hyperlink" Target="https://www.thenationalnews.com/business/property/2022/11/01/dubai-property-rents-where-they-rose-and-fell-in-q3-2022/" TargetMode="External"/><Relationship Id="rId325" Type="http://schemas.openxmlformats.org/officeDocument/2006/relationships/hyperlink" Target="https://www.khaleejtimes.com/business/why-property-buyers-pay-up-to-7-extra-of-total-value" TargetMode="External"/><Relationship Id="rId446" Type="http://schemas.openxmlformats.org/officeDocument/2006/relationships/hyperlink" Target="https://menafn.com/1107053466/What-Are-The-Best-Locations-For-An-Investor-Seeking-To-Buy-Mid-Range-Property-In-Dubai" TargetMode="External"/><Relationship Id="rId203" Type="http://schemas.openxmlformats.org/officeDocument/2006/relationships/hyperlink" Target="https://www.constructionweekonline.com/business/prime-by-betterhomes-to-rank-top-50-homes-in-dubai" TargetMode="External"/><Relationship Id="rId324" Type="http://schemas.openxmlformats.org/officeDocument/2006/relationships/hyperlink" Target="https://indianexpress.com/article/world/how-dubai-became-russia-wartime-harbour-8495299/" TargetMode="External"/><Relationship Id="rId445" Type="http://schemas.openxmlformats.org/officeDocument/2006/relationships/hyperlink" Target="https://www.khaleejtimes.com/business/what-are-the-best-locations-for-an-investor-seeking-to-buy-mid-range-property-in-dubai" TargetMode="External"/><Relationship Id="rId209" Type="http://schemas.openxmlformats.org/officeDocument/2006/relationships/hyperlink" Target="https://www.timeoutdubai.com/news/dubai-channel-4-new-real-estate-programme" TargetMode="External"/><Relationship Id="rId208" Type="http://schemas.openxmlformats.org/officeDocument/2006/relationships/hyperlink" Target="https://www.zawya.com/en/press-release/companies-news/betterhomes-to-star-in-a-brand-new-tv-show-on-uks-channel-4-x3rnmte5" TargetMode="External"/><Relationship Id="rId329" Type="http://schemas.openxmlformats.org/officeDocument/2006/relationships/hyperlink" Target="https://www.bnnbloomberg.ca/champagne-exports-to-gulf-nations-turkey-soar-as-russia-sinks-1.1898741" TargetMode="External"/><Relationship Id="rId207" Type="http://schemas.openxmlformats.org/officeDocument/2006/relationships/hyperlink" Target="https://www.issuewire.com/crc-commercial-real-estate-market-report-q3-2022-1748469199989609" TargetMode="External"/><Relationship Id="rId328" Type="http://schemas.openxmlformats.org/officeDocument/2006/relationships/hyperlink" Target="https://www.nytimes.com/es/2023/03/20/espanol/rusos-dubai.html" TargetMode="External"/><Relationship Id="rId449" Type="http://schemas.openxmlformats.org/officeDocument/2006/relationships/hyperlink" Target="https://www.khaleejtimes.com/business/why-property-buyers-pay-up-to-7-extra-of-total-value" TargetMode="External"/><Relationship Id="rId440" Type="http://schemas.openxmlformats.org/officeDocument/2006/relationships/hyperlink" Target="https://gulfnews.com/business/tax-news/uae-free-zones-take-lead-in-drawing-new-businesses-as-corporate-tax-rules-become-clear-1.1692591947595" TargetMode="External"/><Relationship Id="rId202" Type="http://schemas.openxmlformats.org/officeDocument/2006/relationships/hyperlink" Target="https://www.digitaljournal.com/pr/business-in-dubai-is-expected-to-grow-at-a-fast-pace-in-2022-and-2023" TargetMode="External"/><Relationship Id="rId323" Type="http://schemas.openxmlformats.org/officeDocument/2006/relationships/hyperlink" Target="https://menafn.com/1105778651/Why-Property-Buyers-Pay-Up-To-7-Extra-Of-Total-Value" TargetMode="External"/><Relationship Id="rId444" Type="http://schemas.openxmlformats.org/officeDocument/2006/relationships/hyperlink" Target="https://cafef.vn/suc-hap-dan-cua-vuong-quoc-sieu-giau-don-nhan-dong-tai-san-khong-lo-tu-nga-188230906093157615.chn" TargetMode="External"/><Relationship Id="rId201" Type="http://schemas.openxmlformats.org/officeDocument/2006/relationships/hyperlink" Target="https://russianemirates.com/news/uae-news/oteli-po-vsemu-dubayu-nabirayut-russkoyazychnyy-personal/" TargetMode="External"/><Relationship Id="rId322" Type="http://schemas.openxmlformats.org/officeDocument/2006/relationships/hyperlink" Target="https://www.bloomberglinea.com.br/2023/03/12/dubai-se-aproxima-de-ny-na-atracao-de-milionarios-que-buscam-casas-de-luxo/" TargetMode="External"/><Relationship Id="rId443" Type="http://schemas.openxmlformats.org/officeDocument/2006/relationships/hyperlink" Target="https://www.khaleejtimes.com/business/dubai-should-you-buy-rent-property-directly-from-the-owner-or-through-a-property-agent" TargetMode="External"/><Relationship Id="rId200" Type="http://schemas.openxmlformats.org/officeDocument/2006/relationships/hyperlink" Target="https://fd.nl/economie/1455831/vastgoedfeest-in-dubai-is-nog-in-volle-gang" TargetMode="External"/><Relationship Id="rId321" Type="http://schemas.openxmlformats.org/officeDocument/2006/relationships/hyperlink" Target="https://www.khaleejtimes.com/business/dubai-should-you-buy-rent-property-directly-from-the-owner-or-through-a-property-agent" TargetMode="External"/><Relationship Id="rId442" Type="http://schemas.openxmlformats.org/officeDocument/2006/relationships/hyperlink" Target="https://www.logicno.com/politika/ogromno-povlacenje-kapitala-iz-svicarske-na-bliski-istok.html" TargetMode="External"/><Relationship Id="rId320" Type="http://schemas.openxmlformats.org/officeDocument/2006/relationships/hyperlink" Target="https://www.zawya.com/en/business/real-estate/demand-for-dubai-properties-is-increasing-but-russian-buyers-are-not-the-main-drivers-rkqoqu4s" TargetMode="External"/><Relationship Id="rId441" Type="http://schemas.openxmlformats.org/officeDocument/2006/relationships/hyperlink" Target="https://tuoitre.vn/dan-nga-dem-tien-sang-dubai-dau-tu-bat-dong-san-20230823162821013.htm" TargetMode="External"/><Relationship Id="rId316" Type="http://schemas.openxmlformats.org/officeDocument/2006/relationships/hyperlink" Target="https://www.larepublica.co/ocio/las-casas-de-lujo-de-dubai-lideran-los-mejores-y-peores-mercados-inmobiliarios-del-mundo-3558753" TargetMode="External"/><Relationship Id="rId437" Type="http://schemas.openxmlformats.org/officeDocument/2006/relationships/hyperlink" Target="https://www.businessinsider.de/politik/international-politics/russlands-wirtschaftliche-probleme-haben-zu-flut-von-bargeld-gefuehrt-und-immobilienboom-in-den-vereinigten-arabischen-emiraten-ausgeloest/" TargetMode="External"/><Relationship Id="rId315" Type="http://schemas.openxmlformats.org/officeDocument/2006/relationships/hyperlink" Target="https://www.businesstimes.com.sg/property/dubais-luxury-property-market-closing-new-york-la" TargetMode="External"/><Relationship Id="rId436" Type="http://schemas.openxmlformats.org/officeDocument/2006/relationships/hyperlink" Target="https://www.russiamatters.org/news/russia-review/russia-review-aug-18-25-2023" TargetMode="External"/><Relationship Id="rId314" Type="http://schemas.openxmlformats.org/officeDocument/2006/relationships/hyperlink" Target="https://www.bloomberg.com/news/articles/2023-03-01/dubai-s-luxury-property-market-is-closing-in-on-new-york-london?utm_source=twitter&amp;utm_content=business&amp;utm_medium=social&amp;utm_campaign=socialflow-organic&amp;cmpid%3D=socialflow-twitter-pursuits&amp;cmpid=socialflow-twitter-business&amp;leadSource=uverify%20wall" TargetMode="External"/><Relationship Id="rId435" Type="http://schemas.openxmlformats.org/officeDocument/2006/relationships/hyperlink" Target="https://www.thenationalnews.com/uae/2023/08/24/best-area-live-dubai-family/" TargetMode="External"/><Relationship Id="rId313" Type="http://schemas.openxmlformats.org/officeDocument/2006/relationships/hyperlink" Target="https://gulfnews.com/business/property/dubais-luxury-property-market-is-closing-in-on-new-york-los-angeles-1.94169475" TargetMode="External"/><Relationship Id="rId434" Type="http://schemas.openxmlformats.org/officeDocument/2006/relationships/hyperlink" Target="https://www.khaleejtimes.com/business/the-surge-of-custom-built-villas-in-palm-jumeirah-unveiling-the-trend-and-its-motivations" TargetMode="External"/><Relationship Id="rId319" Type="http://schemas.openxmlformats.org/officeDocument/2006/relationships/hyperlink" Target="https://news.housefun.com.tw/news/article/569264367691.html" TargetMode="External"/><Relationship Id="rId318" Type="http://schemas.openxmlformats.org/officeDocument/2006/relationships/hyperlink" Target="https://www.lrytas.lt/bustas/nekilnojamasis-turtas/2023/03/08/news/is-rusijos-begantys-turciai-iskraipe-nt-rinka-dubajuje-uz-bustus-ne-nesideredami-jie-moka-beprotiskas-sumas-26342315" TargetMode="External"/><Relationship Id="rId439" Type="http://schemas.openxmlformats.org/officeDocument/2006/relationships/hyperlink" Target="https://www.newarab.com/news/uae-denies-sanctions-violations-it-deepens-russia-ties" TargetMode="External"/><Relationship Id="rId317" Type="http://schemas.openxmlformats.org/officeDocument/2006/relationships/hyperlink" Target="https://www.ft.com/content/5ccb498b-9d6c-4a67-87aa-69f7e3f17092" TargetMode="External"/><Relationship Id="rId438" Type="http://schemas.openxmlformats.org/officeDocument/2006/relationships/hyperlink" Target="https://www.wsj.com/world/russia/u-a-e-cashes-in-on-russias-economic-woes-52700157" TargetMode="External"/><Relationship Id="rId312" Type="http://schemas.openxmlformats.org/officeDocument/2006/relationships/hyperlink" Target="https://menafn.com/1105644812/Dubai-Airport-Sees-Surge-In-Arrivals-Bolstered-By-Russian-Influx" TargetMode="External"/><Relationship Id="rId433" Type="http://schemas.openxmlformats.org/officeDocument/2006/relationships/hyperlink" Target="https://menafn.com/1106880144/The-Surge-Of-Custom-Built-Villas-In-Palm-Jumeirah-Unveiling-The-Trend-And-Its-Motivations" TargetMode="External"/><Relationship Id="rId311" Type="http://schemas.openxmlformats.org/officeDocument/2006/relationships/hyperlink" Target="https://www.instagram.com/reel/CpCbCVLAlhj/?id=3045115205483911267_1544565637" TargetMode="External"/><Relationship Id="rId432" Type="http://schemas.openxmlformats.org/officeDocument/2006/relationships/hyperlink" Target="https://cnnbusinessarabic.com/real-estate-construction/34375/%D8%A3%D9%8A%D9%87%D9%85%D8%A7-%D8%A3%D9%81%D8%B6%D9%84-%D8%B4%D8%B1%D8%A7%D8%A1-%D8%A7%D9%84%D8%B9%D9%82%D8%A7%D8%B1%D8%A7%D8%AA-%D8%A3%D9%85-%D8%A7%D8%B3%D8%AA%D8%A6%D8%AC%D8%A7%D8%B1%D9%87%D8%A7%D8%9F-%D8%A7%D9%84%D8%AE%D8%A8%D8%B1%D8%A7%D8%A1-%D9%8A%D8%AC%D9%8A%D8%A8%D9%88%D9%86" TargetMode="External"/><Relationship Id="rId310" Type="http://schemas.openxmlformats.org/officeDocument/2006/relationships/hyperlink" Target="https://www.forbesindia.com/article/lifes/dubai-housing-boom-buoys-buyers-burdens-tenants/83411/1" TargetMode="External"/><Relationship Id="rId431" Type="http://schemas.openxmlformats.org/officeDocument/2006/relationships/hyperlink" Target="https://www.khaleejtimes.com/business/how-is-off-plan-investment-different-from-investing-in-ready-properties" TargetMode="External"/><Relationship Id="rId430" Type="http://schemas.openxmlformats.org/officeDocument/2006/relationships/hyperlink" Target="https://www.zawya.com/en/business/real-estate/rents-in-dubai-up-to-5-500-discount-on-fewer-cheque-payments-snyex3vu"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3Q-FdJ2IhYZ5du_NX6q0UMdh7RhMnl_N/view?usp=drive_link" TargetMode="External"/><Relationship Id="rId2" Type="http://schemas.openxmlformats.org/officeDocument/2006/relationships/hyperlink" Target="https://drive.google.com/file/d/1IqcGh67ih9FJZ9bpQUgGCK7Noj_AAG39/view?usp=drive_link" TargetMode="External"/><Relationship Id="rId3" Type="http://schemas.openxmlformats.org/officeDocument/2006/relationships/hyperlink" Target="https://docs.google.com/spreadsheets/d/1nDBMtA6JTXpzVe03PtmRyHvXKFZDQBeL/edit?usp=drive_link&amp;ouid=118253808781450587198&amp;rtpof=true&amp;sd=true" TargetMode="External"/><Relationship Id="rId4" Type="http://schemas.openxmlformats.org/officeDocument/2006/relationships/hyperlink" Target="https://drive.google.com/file/d/1IxzjaHQpyXWoedjnMMXTti3MYRuDWjpD/view?usp=drive_link" TargetMode="External"/><Relationship Id="rId5" Type="http://schemas.openxmlformats.org/officeDocument/2006/relationships/hyperlink" Target="https://drive.google.com/file/d/1xDt7ABnl2TgOJFlSWyFlGvuQPlypgP46/view?usp=drive_link" TargetMode="External"/><Relationship Id="rId6" Type="http://schemas.openxmlformats.org/officeDocument/2006/relationships/hyperlink" Target="https://drive.google.com/file/d/16hOUQBb5Xqt2Ek6HaedLZ2IuucOdxEGg/view?usp=drive_link" TargetMode="External"/><Relationship Id="rId7" Type="http://schemas.openxmlformats.org/officeDocument/2006/relationships/hyperlink" Target="https://drive.google.com/file/d/1PiKBijhjRs0Wmdlw0D1MNpL-zQcden69/view?usp=drive_link" TargetMode="Externa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khaleejtimes.com/uae/dubai-why-tenants-are-unlikely-to-see-relief-in-rents-anytime-soon" TargetMode="External"/><Relationship Id="rId2" Type="http://schemas.openxmlformats.org/officeDocument/2006/relationships/hyperlink" Target="https://www.khaleejtimes.com/life-and-living/housing-in-uae/rents-in-dubai-up-to-dh20000-discount-on-fewer-cheque-payments?_refresh=true" TargetMode="External"/><Relationship Id="rId3" Type="http://schemas.openxmlformats.org/officeDocument/2006/relationships/hyperlink" Target="https://www.khaleejtimes.com/life-and-living/housing-in-uae/rents-in-dubai-up-to-dh20000-discount-on-fewer-cheque-payments?_refresh=true" TargetMode="External"/><Relationship Id="rId4" Type="http://schemas.openxmlformats.org/officeDocument/2006/relationships/hyperlink" Target="https://www.timeoutdubai.com/things-to-do/renting-in-dubai-2023-guide" TargetMode="External"/><Relationship Id="rId9" Type="http://schemas.openxmlformats.org/officeDocument/2006/relationships/hyperlink" Target="https://www.khaleejtimes.com/business/rising-rents-spur-changes-in-dubai-realty-buyer-profiles" TargetMode="External"/><Relationship Id="rId5" Type="http://schemas.openxmlformats.org/officeDocument/2006/relationships/hyperlink" Target="https://www.timeoutdubai.com/things-to-do/renting-in-dubai-2023-guide" TargetMode="External"/><Relationship Id="rId6" Type="http://schemas.openxmlformats.org/officeDocument/2006/relationships/hyperlink" Target="https://gulfnews.com/business/property/in-dubai-residential-rentals-co-living-spaces-now-emerge-as-popular-choices-with-new-residents-1.98594038" TargetMode="External"/><Relationship Id="rId7" Type="http://schemas.openxmlformats.org/officeDocument/2006/relationships/hyperlink" Target="https://gulfnews.com/business/property/in-dubai-residential-rentals-co-living-spaces-now-emerge-as-popular-choices-with-new-residents-1.98594038" TargetMode="External"/><Relationship Id="rId8" Type="http://schemas.openxmlformats.org/officeDocument/2006/relationships/hyperlink" Target="https://www.khaleejtimes.com/business/rising-rents-spur-changes-in-dubai-realty-buyer-profiles" TargetMode="External"/><Relationship Id="rId40" Type="http://schemas.openxmlformats.org/officeDocument/2006/relationships/hyperlink" Target="https://www.zawya.com/en/press-release/people-in-the-news/betterhomes-appoints-new-director-of-leasing-wnk9aotc" TargetMode="External"/><Relationship Id="rId42" Type="http://schemas.openxmlformats.org/officeDocument/2006/relationships/hyperlink" Target="https://mea-biz.com/meet-betterhomes-freshly-appointed-director-of-leasing/" TargetMode="External"/><Relationship Id="rId41" Type="http://schemas.openxmlformats.org/officeDocument/2006/relationships/hyperlink" Target="https://gulfnews.com/business/property/many-dubai-tenants-must-decide-fast-to-renew-leases-or-not-as-reras-market-rates-come-into-play-1.1716524142232" TargetMode="External"/><Relationship Id="rId44" Type="http://schemas.openxmlformats.org/officeDocument/2006/relationships/hyperlink" Target="https://gulfnews.com/living-in-uae/housing/renting-a-home-in-dubai-how-much-is-the-security-deposit-1.1716906865349" TargetMode="External"/><Relationship Id="rId43" Type="http://schemas.openxmlformats.org/officeDocument/2006/relationships/hyperlink" Target="https://menafn.com/1108259245/Dubai-Why-More-Tenants-Will-Move-Out-From-Rented-Properties-In-The-Coming-Months" TargetMode="External"/><Relationship Id="rId46" Type="http://schemas.openxmlformats.org/officeDocument/2006/relationships/hyperlink" Target="https://enews.alwast.net/business/dubai-rent-crosses-dh1-million-per" TargetMode="External"/><Relationship Id="rId45" Type="http://schemas.openxmlformats.org/officeDocument/2006/relationships/hyperlink" Target="https://gulfnews.com/business/property/sharjahs-existing-3-year-rent-freeze-rule-proves-big-hit-with-tenants-seeking-relocations-1.1718945276737" TargetMode="External"/><Relationship Id="rId48" Type="http://schemas.openxmlformats.org/officeDocument/2006/relationships/hyperlink" Target="https://www.khaleejtimes.com/business/realty/revealed-dubai-areas-where-tenants-still-pay-less-than-rera-rental-index-rates" TargetMode="External"/><Relationship Id="rId47" Type="http://schemas.openxmlformats.org/officeDocument/2006/relationships/hyperlink" Target="https://menafn.com/1108492296/Dubai-Tenants-In-Some-Areas-Still-Pay-Less-Than-Rera-Rental-Index" TargetMode="External"/><Relationship Id="rId49" Type="http://schemas.openxmlformats.org/officeDocument/2006/relationships/hyperlink" Target="https://www.khaleejtimes.com/business/realty/dubai-why-more-landlords-asking-tenants-to-vacate-properties" TargetMode="External"/><Relationship Id="rId31" Type="http://schemas.openxmlformats.org/officeDocument/2006/relationships/hyperlink" Target="https://www.khaleejtimes.com/business/realty/dubai-some-landlords-seek-minimum-lease-duration-as-rentals-continue-upward-trend" TargetMode="External"/><Relationship Id="rId30" Type="http://schemas.openxmlformats.org/officeDocument/2006/relationships/hyperlink" Target="https://www.khaleejtimes.com/business/dubai-tenants-prefer-online-bank-payments-over-cheques-as-rents-rise" TargetMode="External"/><Relationship Id="rId33" Type="http://schemas.openxmlformats.org/officeDocument/2006/relationships/hyperlink" Target="https://www.zawya.com/en/business/real-estate/dubai-tenants-prefer-online-bank-payments-over-cheques-as-rents-rise-nhzntvtp" TargetMode="External"/><Relationship Id="rId32" Type="http://schemas.openxmlformats.org/officeDocument/2006/relationships/hyperlink" Target="https://www.zawya.com/en/business/real-estate/dubai-some-landlords-seek-minimum-lease-duration-as-rentals-continue-upward-trend-kuh2n3l1" TargetMode="External"/><Relationship Id="rId35" Type="http://schemas.openxmlformats.org/officeDocument/2006/relationships/hyperlink" Target="https://www.zawya.com/en/business/real-estate/dubai-tenants-opt-for-smaller-flats-within-city-amid-record-high-rents-growing-demand-om76s46k" TargetMode="External"/><Relationship Id="rId34" Type="http://schemas.openxmlformats.org/officeDocument/2006/relationships/hyperlink" Target="https://www.khaleejtimes.com/uae/dubai-tenants-opt-for-smaller-flats-within-city-amid-record-high-rents-growing-demand" TargetMode="External"/><Relationship Id="rId37" Type="http://schemas.openxmlformats.org/officeDocument/2006/relationships/hyperlink" Target="https://menafn.com/1108237578/Dubai-Gap-Between-Asking-And-Bid-Rates-Widens-As-Landlords-Raise-Rents" TargetMode="External"/><Relationship Id="rId36" Type="http://schemas.openxmlformats.org/officeDocument/2006/relationships/hyperlink" Target="https://menafn.com/1108232128/Dubai-Tenants-Opt-For-Smaller-Flats-Within-City-Amid-Record-High-Rents-Growing-Demand" TargetMode="External"/><Relationship Id="rId39" Type="http://schemas.openxmlformats.org/officeDocument/2006/relationships/hyperlink" Target="https://en-news.akhbrna.co/uae-news/tenants-in-dubai-are-resorting-to" TargetMode="External"/><Relationship Id="rId38" Type="http://schemas.openxmlformats.org/officeDocument/2006/relationships/hyperlink" Target="http://akhbrna.co" TargetMode="External"/><Relationship Id="rId20" Type="http://schemas.openxmlformats.org/officeDocument/2006/relationships/hyperlink" Target="https://www.businessoutreach.in/how-dubais-updated-rental-calculator" TargetMode="External"/><Relationship Id="rId22" Type="http://schemas.openxmlformats.org/officeDocument/2006/relationships/hyperlink" Target="https://www.msn.com/en-ae/news/featured/dubai-rera-calculator-updated-will-rents-rise/ar-BB1jpCXp" TargetMode="External"/><Relationship Id="rId21" Type="http://schemas.openxmlformats.org/officeDocument/2006/relationships/hyperlink" Target="https://bnnbreaking.com/bnn-newsroom/dubais-rera-index-update-signals-rent-increases-for-long-term-tenants-insights-from-industry-expert" TargetMode="External"/><Relationship Id="rId24" Type="http://schemas.openxmlformats.org/officeDocument/2006/relationships/hyperlink" Target="https://www.samaa.tv/2087310962-dubai-revised-rents-leave-landlords-happy-tenants-sad" TargetMode="External"/><Relationship Id="rId23" Type="http://schemas.openxmlformats.org/officeDocument/2006/relationships/hyperlink" Target="http://samaa.tv/" TargetMode="External"/><Relationship Id="rId26" Type="http://schemas.openxmlformats.org/officeDocument/2006/relationships/hyperlink" Target="https://www.khaleejtimes.com/uae/dubai-rent-free-months-other-incentives-dwindle-for-tenants-amid-high-occupancy" TargetMode="External"/><Relationship Id="rId25" Type="http://schemas.openxmlformats.org/officeDocument/2006/relationships/hyperlink" Target="https://www.thenationalnews.com/business/property/2024/03/09/dubai-tenants-face-higher-rents-after-rera-calculator-reset/" TargetMode="External"/><Relationship Id="rId28" Type="http://schemas.openxmlformats.org/officeDocument/2006/relationships/hyperlink" Target="https://www.khaleejtimes.com/uae/dubai-why-property-prices-rentals-will-continue-to-rise-next-year-also" TargetMode="External"/><Relationship Id="rId27" Type="http://schemas.openxmlformats.org/officeDocument/2006/relationships/hyperlink" Target="https://www.zawya.com/en/business/real-estate/dubai-why-property-prices-rentals-will-continue-to-rise-next-year-also-s7t8me42" TargetMode="External"/><Relationship Id="rId29" Type="http://schemas.openxmlformats.org/officeDocument/2006/relationships/hyperlink" Target="https://menafn.com/1108149482/Dubai-Tenants-Prefer-Online-Bank-Payments-Over-Cheques-As-Rents-Rise" TargetMode="External"/><Relationship Id="rId11" Type="http://schemas.openxmlformats.org/officeDocument/2006/relationships/hyperlink" Target="https://gulfnews.com/business/property/dubai-rents-expo-village-jumeirah-village-circle-emerge-top-choices-for-new-residents-in-city-1.1700194022967" TargetMode="External"/><Relationship Id="rId10" Type="http://schemas.openxmlformats.org/officeDocument/2006/relationships/hyperlink" Target="https://gulfnews.com/business/property/dubai-rents-expo-village-jumeirah-village-circle-emerge-top-choices-for-new-residents-in-city-1.1700194022967" TargetMode="External"/><Relationship Id="rId13" Type="http://schemas.openxmlformats.org/officeDocument/2006/relationships/hyperlink" Target="https://www.arabianbusiness.com/industries/real-estate/short-vs-long-term-rentals-which-leasing-strategy-offers-better-roi-for-dubai-landlords" TargetMode="External"/><Relationship Id="rId12" Type="http://schemas.openxmlformats.org/officeDocument/2006/relationships/hyperlink" Target="https://www.khaleejtimes.com/business/realty/dubai-tenants-increasingly-entering-multiple-year-contracts-as-rents-continue-to-rise-in-2024" TargetMode="External"/><Relationship Id="rId15" Type="http://schemas.openxmlformats.org/officeDocument/2006/relationships/hyperlink" Target="https://www.thenationalnews.com/business/property/2024/01/20/one-cheque-payments-increasingly-common-in-dubai-rental-market/" TargetMode="External"/><Relationship Id="rId14" Type="http://schemas.openxmlformats.org/officeDocument/2006/relationships/hyperlink" Target="https://www.khaleejtimes.com/business/short-term-rentals-gain-popularity-in-dubai" TargetMode="External"/><Relationship Id="rId17" Type="http://schemas.openxmlformats.org/officeDocument/2006/relationships/hyperlink" Target="https://www.khaleejtimes.com/business/realty/uae-despite-traffic-tenants-move-to-bigger-units-in-same-emirate-to-enhance-lifestyle" TargetMode="External"/><Relationship Id="rId16" Type="http://schemas.openxmlformats.org/officeDocument/2006/relationships/hyperlink" Target="https://www.thenationalnews.com/uae/2024/02/02/moving-to-a-new-home-heres-what-you-need-to-know-about-rent-and-utility-bills/" TargetMode="External"/><Relationship Id="rId19" Type="http://schemas.openxmlformats.org/officeDocument/2006/relationships/hyperlink" Target="https://www.zawya.com/en/business/real-estate/dubai-rera-calculator-updated-will-rents-rise-woe9duj0" TargetMode="External"/><Relationship Id="rId18" Type="http://schemas.openxmlformats.org/officeDocument/2006/relationships/hyperlink" Target="https://www.khaleejtimes.com/business/realty/dubai-rera-calculator-updated-will-rents-rise" TargetMode="External"/><Relationship Id="rId50"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khaleejtimes.com/business/property/dubai-islands-draws-global-buyers-with-prime-waterfront-appeal-and-capital-growth-potential" TargetMode="External"/><Relationship Id="rId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
    <col customWidth="1" min="3" max="5" width="14.13"/>
    <col customWidth="1" min="6" max="6" width="22.63"/>
    <col customWidth="1" min="7" max="7" width="6.13"/>
    <col customWidth="1" min="8" max="8" width="9.13"/>
    <col customWidth="1" min="9" max="9" width="36.63"/>
    <col customWidth="1" min="10" max="10" width="37.5"/>
    <col customWidth="1" min="11" max="11" width="23.13"/>
  </cols>
  <sheetData>
    <row r="1">
      <c r="A1" s="1" t="s">
        <v>0</v>
      </c>
      <c r="B1" s="2"/>
      <c r="C1" s="2"/>
      <c r="D1" s="2"/>
      <c r="E1" s="2"/>
      <c r="F1" s="2"/>
      <c r="I1" s="3"/>
      <c r="J1" s="3"/>
    </row>
    <row r="2">
      <c r="A2" s="2"/>
      <c r="B2" s="4" t="s">
        <v>1</v>
      </c>
      <c r="C2" s="5"/>
      <c r="D2" s="6"/>
      <c r="E2" s="7"/>
      <c r="F2" s="8" t="s">
        <v>2</v>
      </c>
      <c r="H2" s="9"/>
      <c r="I2" s="10" t="s">
        <v>3</v>
      </c>
      <c r="J2" s="10" t="s">
        <v>4</v>
      </c>
    </row>
    <row r="3">
      <c r="A3" s="2"/>
      <c r="B3" s="11" t="s">
        <v>5</v>
      </c>
      <c r="C3" s="12" t="s">
        <v>6</v>
      </c>
      <c r="D3" s="2"/>
      <c r="F3" s="13" t="s">
        <v>7</v>
      </c>
      <c r="H3" s="14" t="s">
        <v>8</v>
      </c>
      <c r="I3" s="14" t="s">
        <v>9</v>
      </c>
      <c r="J3" s="14" t="s">
        <v>10</v>
      </c>
    </row>
    <row r="4">
      <c r="A4" s="2"/>
      <c r="B4" s="11" t="s">
        <v>11</v>
      </c>
      <c r="C4" s="12" t="s">
        <v>12</v>
      </c>
      <c r="D4" s="2"/>
      <c r="F4" s="13" t="s">
        <v>13</v>
      </c>
      <c r="H4" s="14" t="s">
        <v>14</v>
      </c>
      <c r="I4" s="14" t="s">
        <v>15</v>
      </c>
      <c r="J4" s="14" t="s">
        <v>16</v>
      </c>
    </row>
    <row r="5">
      <c r="A5" s="15"/>
      <c r="B5" s="16" t="s">
        <v>17</v>
      </c>
      <c r="C5" s="17" t="s">
        <v>18</v>
      </c>
      <c r="D5" s="18"/>
      <c r="E5" s="19"/>
      <c r="F5" s="20"/>
      <c r="H5" s="14" t="s">
        <v>19</v>
      </c>
      <c r="I5" s="14" t="s">
        <v>20</v>
      </c>
      <c r="J5" s="14" t="s">
        <v>21</v>
      </c>
    </row>
    <row r="6">
      <c r="A6" s="15"/>
    </row>
    <row r="7">
      <c r="A7" s="15"/>
      <c r="I7" s="3"/>
    </row>
    <row r="8">
      <c r="A8" s="2"/>
      <c r="B8" s="21" t="s">
        <v>22</v>
      </c>
      <c r="C8" s="21" t="s">
        <v>5</v>
      </c>
      <c r="D8" s="21" t="s">
        <v>11</v>
      </c>
      <c r="E8" s="21" t="s">
        <v>17</v>
      </c>
      <c r="F8" s="21" t="s">
        <v>23</v>
      </c>
    </row>
    <row r="9">
      <c r="A9" s="2"/>
      <c r="B9" s="21">
        <v>2021.0</v>
      </c>
      <c r="C9" s="22" t="s">
        <v>24</v>
      </c>
      <c r="D9" s="22">
        <v>19.0</v>
      </c>
      <c r="E9" s="22">
        <v>12.0</v>
      </c>
      <c r="F9" s="22">
        <f t="shared" ref="F9:F10" si="1">D9+E9 </f>
        <v>31</v>
      </c>
    </row>
    <row r="10">
      <c r="A10" s="2"/>
      <c r="B10" s="21">
        <v>2022.0</v>
      </c>
      <c r="C10" s="22">
        <f>COUNTIFS('2022'!$B:$B,C$8)</f>
        <v>19</v>
      </c>
      <c r="D10" s="22">
        <f>COUNTIFS('2022'!$B:$B,D$8)</f>
        <v>121</v>
      </c>
      <c r="E10" s="22">
        <f>COUNTIFS('2022'!$B:$B,E$8)</f>
        <v>62</v>
      </c>
      <c r="F10" s="22">
        <f t="shared" si="1"/>
        <v>183</v>
      </c>
    </row>
    <row r="11">
      <c r="B11" s="21">
        <v>2023.0</v>
      </c>
      <c r="C11" s="22">
        <f>COUNTIFS('2023'!$B:$B,C$8)</f>
        <v>39</v>
      </c>
      <c r="D11" s="22">
        <f>COUNTIFS('2023'!$B:$B,D$8)</f>
        <v>139</v>
      </c>
      <c r="E11" s="22">
        <f>COUNTIFS('2023'!$B:$B,E$8)</f>
        <v>108</v>
      </c>
      <c r="F11" s="22">
        <f t="shared" ref="F11:F13" si="2">SUM(C11:E11)</f>
        <v>286</v>
      </c>
    </row>
    <row r="12">
      <c r="B12" s="21">
        <v>2024.0</v>
      </c>
      <c r="C12" s="22">
        <f>COUNTIFS('2024'!$B:$B,C$8)</f>
        <v>7</v>
      </c>
      <c r="D12" s="22">
        <f>COUNTIFS('2024'!$B:$B,D$8)</f>
        <v>125</v>
      </c>
      <c r="E12" s="22">
        <f>COUNTIFS('2024'!$B:$B,E$8)</f>
        <v>78</v>
      </c>
      <c r="F12" s="22">
        <f t="shared" si="2"/>
        <v>210</v>
      </c>
      <c r="I12" s="21" t="s">
        <v>25</v>
      </c>
      <c r="J12" s="3">
        <v>210.0</v>
      </c>
    </row>
    <row r="13">
      <c r="B13" s="21">
        <v>2025.0</v>
      </c>
      <c r="C13" s="22">
        <f>COUNTIFS('2025'!$C:$C,C$8)</f>
        <v>0</v>
      </c>
      <c r="D13" s="22">
        <f>COUNTIFS('2025'!$C:$C,D$8)</f>
        <v>77</v>
      </c>
      <c r="E13" s="22">
        <f>COUNTIFS('2025'!$C:$C,E$8)</f>
        <v>119</v>
      </c>
      <c r="F13" s="22">
        <f t="shared" si="2"/>
        <v>196</v>
      </c>
      <c r="I13" s="21" t="s">
        <v>26</v>
      </c>
    </row>
    <row r="15">
      <c r="A15" s="23"/>
    </row>
    <row r="16">
      <c r="A16" s="23"/>
      <c r="C16" s="1"/>
      <c r="D16" s="1"/>
      <c r="E16" s="1"/>
      <c r="F16" s="1"/>
      <c r="J16" s="2"/>
    </row>
    <row r="17">
      <c r="A17" s="2"/>
      <c r="C17" s="2"/>
      <c r="D17" s="2"/>
      <c r="E17" s="2"/>
      <c r="F17" s="2"/>
      <c r="G17" s="1"/>
      <c r="H17" s="2"/>
      <c r="J17" s="2"/>
    </row>
    <row r="18">
      <c r="A18" s="2"/>
      <c r="C18" s="2"/>
      <c r="D18" s="2"/>
      <c r="E18" s="2"/>
      <c r="F18" s="2"/>
      <c r="G18" s="2"/>
      <c r="H18" s="2"/>
      <c r="J18" s="2"/>
    </row>
    <row r="19">
      <c r="A19" s="2"/>
      <c r="B19" s="2"/>
      <c r="C19" s="24"/>
      <c r="D19" s="2"/>
      <c r="E19" s="2"/>
      <c r="F19" s="2"/>
      <c r="G19" s="2"/>
      <c r="H19" s="2"/>
      <c r="I19" s="2"/>
      <c r="J19" s="2"/>
    </row>
    <row r="20">
      <c r="A20" s="2"/>
      <c r="B20" s="2"/>
      <c r="C20" s="24"/>
      <c r="D20" s="2"/>
      <c r="E20" s="2"/>
      <c r="F20" s="2"/>
      <c r="G20" s="2"/>
      <c r="H20" s="2"/>
      <c r="I20" s="2"/>
      <c r="J20" s="2"/>
    </row>
    <row r="21">
      <c r="A21" s="2"/>
      <c r="B21" s="2"/>
      <c r="C21" s="2"/>
      <c r="D21" s="2"/>
      <c r="E21" s="2"/>
      <c r="F21" s="2"/>
    </row>
    <row r="22">
      <c r="A22" s="2"/>
    </row>
    <row r="23">
      <c r="A23" s="2"/>
      <c r="B23" s="2"/>
      <c r="D23" s="1"/>
      <c r="E23" s="1"/>
      <c r="F23" s="1"/>
    </row>
    <row r="24">
      <c r="A24" s="2"/>
      <c r="B24" s="2"/>
      <c r="D24" s="2"/>
      <c r="E24" s="2"/>
      <c r="F24" s="2"/>
    </row>
    <row r="25">
      <c r="A25" s="2"/>
      <c r="B25" s="2"/>
      <c r="C25" s="2"/>
      <c r="D25" s="2"/>
      <c r="E25" s="2"/>
      <c r="F25" s="2"/>
    </row>
    <row r="26">
      <c r="A26" s="2"/>
      <c r="B26" s="1"/>
      <c r="C26" s="2"/>
      <c r="D26" s="2"/>
      <c r="E26" s="2"/>
      <c r="F26" s="2"/>
    </row>
    <row r="27">
      <c r="A27" s="2"/>
      <c r="B27" s="21" t="s">
        <v>22</v>
      </c>
      <c r="C27" s="21" t="s">
        <v>5</v>
      </c>
      <c r="D27" s="21" t="s">
        <v>11</v>
      </c>
      <c r="E27" s="21" t="s">
        <v>17</v>
      </c>
      <c r="F27" s="2"/>
    </row>
    <row r="28">
      <c r="A28" s="2"/>
      <c r="B28" s="22" t="s">
        <v>27</v>
      </c>
      <c r="C28" s="22">
        <f>COUNTIFS('2022'!$B:$B,C$8,'2022'!$A:$A,"&lt;"&amp;DATE(2022,7,1))</f>
        <v>3</v>
      </c>
      <c r="D28" s="22">
        <f>COUNTIFS('2022'!$B:$B,D$8,'2022'!$A:$A,"&lt;"&amp;DATE(2022,7,1))</f>
        <v>27</v>
      </c>
      <c r="E28" s="22">
        <f>COUNTIFS('2022'!$B:$B,E$8,'2022'!$A:$A,"&lt;"&amp;DATE(2022,7,1))</f>
        <v>11</v>
      </c>
      <c r="F28" s="2"/>
    </row>
    <row r="29">
      <c r="A29" s="2"/>
      <c r="B29" s="22" t="s">
        <v>28</v>
      </c>
      <c r="C29" s="22">
        <f>COUNTIFS('2023'!$B:$B,C$8,'2023'!$A:$A,"&lt;"&amp;DATE(2023,7,1))</f>
        <v>27</v>
      </c>
      <c r="D29" s="22">
        <f>COUNTIFS('2023'!$B:$B,D$8,'2023'!$A:$A,"&lt;"&amp;DATE(2023,7,1))</f>
        <v>58</v>
      </c>
      <c r="E29" s="22">
        <f>COUNTIFS('2023'!$B:$B,E$8,'2023'!$A:$A,"&lt;"&amp;DATE(2023,7,1))</f>
        <v>65</v>
      </c>
      <c r="F29" s="2"/>
    </row>
    <row r="30">
      <c r="A30" s="2"/>
      <c r="B30" s="22" t="s">
        <v>29</v>
      </c>
      <c r="C30" s="25">
        <f t="shared" ref="C30:E30" si="3">C29/C28-1</f>
        <v>8</v>
      </c>
      <c r="D30" s="25">
        <f t="shared" si="3"/>
        <v>1.148148148</v>
      </c>
      <c r="E30" s="25">
        <f t="shared" si="3"/>
        <v>4.909090909</v>
      </c>
      <c r="F30" s="2"/>
    </row>
    <row r="31">
      <c r="A31" s="2"/>
      <c r="B31" s="1"/>
      <c r="C31" s="2"/>
      <c r="D31" s="2"/>
      <c r="E31" s="2"/>
      <c r="F31" s="2"/>
    </row>
    <row r="32">
      <c r="A32" s="2"/>
      <c r="B32" s="2"/>
      <c r="C32" s="2"/>
      <c r="D32" s="2"/>
      <c r="E32" s="2"/>
      <c r="F32" s="2"/>
    </row>
    <row r="33">
      <c r="A33" s="2"/>
      <c r="B33" s="1" t="s">
        <v>30</v>
      </c>
      <c r="C33" s="2"/>
      <c r="D33" s="2"/>
      <c r="E33" s="2"/>
      <c r="F33" s="2"/>
    </row>
    <row r="34">
      <c r="A34" s="2"/>
      <c r="B34" s="21" t="s">
        <v>22</v>
      </c>
      <c r="C34" s="21" t="s">
        <v>5</v>
      </c>
      <c r="D34" s="21" t="s">
        <v>11</v>
      </c>
      <c r="E34" s="21" t="s">
        <v>17</v>
      </c>
      <c r="F34" s="2"/>
    </row>
    <row r="35">
      <c r="A35" s="2"/>
      <c r="B35" s="22" t="s">
        <v>27</v>
      </c>
      <c r="C35" s="22">
        <f>COUNTIFS('2022'!$B:$B,C$8,'2022'!$A:$A,"&lt;"&amp;DATE(2022,7,1),'2022'!$F:$F,"Betterhomes")</f>
        <v>3</v>
      </c>
      <c r="D35" s="22">
        <f>COUNTIFS('2022'!$B:$B,D$8,'2022'!$A:$A,"&lt;"&amp;DATE(2022,7,1),'2022'!$F:$F,"Betterhomes")</f>
        <v>18</v>
      </c>
      <c r="E35" s="22">
        <f>COUNTIFS('2022'!$B:$B,E$8,'2022'!$A:$A,"&lt;"&amp;DATE(2022,7,1),'2022'!$F:$F,"Betterhomes")</f>
        <v>9</v>
      </c>
      <c r="F35" s="2"/>
    </row>
    <row r="36">
      <c r="A36" s="2"/>
      <c r="B36" s="22" t="s">
        <v>28</v>
      </c>
      <c r="C36" s="22">
        <f>COUNTIFS('2023'!$B:$B,C$8,'2023'!$A:$A,"&lt;"&amp;DATE(2023,7,1),'2023'!$F:$F,"Betterhomes")</f>
        <v>26</v>
      </c>
      <c r="D36" s="22">
        <f>COUNTIFS('2023'!$B:$B,D$8,'2023'!$A:$A,"&lt;"&amp;DATE(2023,7,1),'2023'!$F:$F,"Betterhomes")</f>
        <v>50</v>
      </c>
      <c r="E36" s="22">
        <f>COUNTIFS('2023'!$B:$B,E$8,'2023'!$A:$A,"&lt;"&amp;DATE(2023,7,1),'2023'!$F:$F,"Betterhomes")</f>
        <v>65</v>
      </c>
      <c r="F36" s="2"/>
    </row>
    <row r="37">
      <c r="A37" s="2"/>
      <c r="B37" s="22" t="s">
        <v>29</v>
      </c>
      <c r="C37" s="25">
        <f t="shared" ref="C37:E37" si="4">C36/C35-1</f>
        <v>7.666666667</v>
      </c>
      <c r="D37" s="25">
        <f t="shared" si="4"/>
        <v>1.777777778</v>
      </c>
      <c r="E37" s="25">
        <f t="shared" si="4"/>
        <v>6.222222222</v>
      </c>
      <c r="F37" s="2"/>
    </row>
    <row r="38">
      <c r="A38" s="2"/>
      <c r="B38" s="2"/>
      <c r="C38" s="2"/>
      <c r="D38" s="2"/>
      <c r="E38" s="2"/>
      <c r="F38" s="2"/>
    </row>
    <row r="39">
      <c r="A39" s="2"/>
      <c r="B39" s="2"/>
      <c r="C39" s="2"/>
      <c r="D39" s="2"/>
      <c r="E39" s="2"/>
      <c r="F39" s="2"/>
    </row>
    <row r="40">
      <c r="A40" s="2"/>
      <c r="B40" s="1" t="s">
        <v>31</v>
      </c>
      <c r="C40" s="2"/>
      <c r="D40" s="2"/>
      <c r="E40" s="2"/>
      <c r="F40" s="2"/>
    </row>
    <row r="41">
      <c r="A41" s="2"/>
      <c r="B41" s="21" t="s">
        <v>22</v>
      </c>
      <c r="C41" s="21" t="s">
        <v>5</v>
      </c>
      <c r="D41" s="21" t="s">
        <v>11</v>
      </c>
      <c r="E41" s="21" t="s">
        <v>17</v>
      </c>
      <c r="F41" s="2"/>
    </row>
    <row r="42">
      <c r="A42" s="2"/>
      <c r="B42" s="22" t="s">
        <v>27</v>
      </c>
      <c r="C42" s="22">
        <f>COUNTIFS('2022'!$B:$B,C$8,'2022'!$A:$A,"&lt;"&amp;DATE(2022,7,1),'2022'!F:F,"PRIME")</f>
        <v>0</v>
      </c>
      <c r="D42" s="22">
        <f>COUNTIFS('2022'!$B:$B,D$8,'2022'!$A:$A,"&lt;"&amp;DATE(2022,7,1),'2022'!F:F,"PRIME")</f>
        <v>0</v>
      </c>
      <c r="E42" s="22">
        <f>COUNTIFS('2022'!$B:$B,E$8,'2022'!$A:$A,"&lt;"&amp;DATE(2022,7,1),'2022'!F:F,"PRIME")</f>
        <v>0</v>
      </c>
      <c r="F42" s="2"/>
    </row>
    <row r="43">
      <c r="A43" s="2"/>
      <c r="B43" s="22" t="s">
        <v>28</v>
      </c>
      <c r="C43" s="22">
        <f>COUNTIFS('2023'!$B:$B,C$8,'2023'!$A:$A,"&lt;"&amp;DATE(2023,7,1),'2023'!$F:$F,"Prime by Betterhomes")</f>
        <v>1</v>
      </c>
      <c r="D43" s="22">
        <f>COUNTIFS('2023'!$B:$B,D$8,'2023'!$A:$A,"&lt;"&amp;DATE(2023,7,1),'2023'!$F:$F,"Prime by Betterhomes")</f>
        <v>7</v>
      </c>
      <c r="E43" s="22">
        <f>COUNTIFS('2023'!$B:$B,E$8,'2023'!$A:$A,"&lt;"&amp;DATE(2023,7,1),'2023'!$F:$F,"Prime by Betterhomes")</f>
        <v>0</v>
      </c>
      <c r="F43" s="2"/>
    </row>
    <row r="44">
      <c r="A44" s="2"/>
      <c r="B44" s="22" t="s">
        <v>29</v>
      </c>
      <c r="C44" s="25" t="str">
        <f t="shared" ref="C44:E44" si="5">C43/C42-1</f>
        <v>#DIV/0!</v>
      </c>
      <c r="D44" s="25" t="str">
        <f t="shared" si="5"/>
        <v>#DIV/0!</v>
      </c>
      <c r="E44" s="25" t="str">
        <f t="shared" si="5"/>
        <v>#DIV/0!</v>
      </c>
      <c r="F44" s="2"/>
    </row>
    <row r="45">
      <c r="A45" s="2"/>
      <c r="B45" s="2"/>
      <c r="C45" s="2"/>
      <c r="D45" s="2"/>
      <c r="E45" s="2"/>
      <c r="F45" s="2"/>
    </row>
    <row r="46">
      <c r="A46" s="2"/>
      <c r="B46" s="26" t="s">
        <v>22</v>
      </c>
      <c r="C46" s="26" t="s">
        <v>5</v>
      </c>
      <c r="D46" s="26" t="s">
        <v>11</v>
      </c>
      <c r="E46" s="26" t="s">
        <v>17</v>
      </c>
      <c r="F46" s="26" t="s">
        <v>32</v>
      </c>
    </row>
    <row r="47">
      <c r="A47" s="2"/>
      <c r="B47" s="27" t="s">
        <v>33</v>
      </c>
      <c r="C47" s="27">
        <v>5.0</v>
      </c>
      <c r="D47" s="27">
        <v>8.0</v>
      </c>
      <c r="E47" s="27">
        <v>26.0</v>
      </c>
      <c r="F47" s="27">
        <v>39.0</v>
      </c>
    </row>
    <row r="48">
      <c r="A48" s="2"/>
      <c r="B48" s="27" t="s">
        <v>34</v>
      </c>
      <c r="C48" s="27">
        <v>5.0</v>
      </c>
      <c r="D48" s="27">
        <v>8.0</v>
      </c>
      <c r="E48" s="27">
        <v>14.0</v>
      </c>
      <c r="F48" s="27">
        <v>27.0</v>
      </c>
    </row>
    <row r="49">
      <c r="A49" s="2"/>
      <c r="B49" s="27" t="s">
        <v>35</v>
      </c>
      <c r="C49" s="27">
        <v>6.0</v>
      </c>
      <c r="D49" s="27">
        <v>12.0</v>
      </c>
      <c r="E49" s="27">
        <v>5.0</v>
      </c>
      <c r="F49" s="27">
        <v>23.0</v>
      </c>
    </row>
    <row r="50">
      <c r="A50" s="2"/>
      <c r="B50" s="27" t="s">
        <v>36</v>
      </c>
      <c r="C50" s="27">
        <v>4.0</v>
      </c>
      <c r="D50" s="27">
        <v>8.0</v>
      </c>
      <c r="E50" s="27">
        <v>4.0</v>
      </c>
      <c r="F50" s="27">
        <v>16.0</v>
      </c>
    </row>
    <row r="51">
      <c r="A51" s="2"/>
      <c r="B51" s="27" t="s">
        <v>37</v>
      </c>
      <c r="C51" s="27">
        <v>0.0</v>
      </c>
      <c r="D51" s="27">
        <v>10.0</v>
      </c>
      <c r="E51" s="27">
        <v>6.0</v>
      </c>
      <c r="F51" s="27">
        <v>16.0</v>
      </c>
    </row>
    <row r="52">
      <c r="A52" s="2"/>
      <c r="B52" s="27" t="s">
        <v>38</v>
      </c>
      <c r="C52" s="27">
        <v>7.0</v>
      </c>
      <c r="D52" s="27">
        <v>12.0</v>
      </c>
      <c r="E52" s="27">
        <v>10.0</v>
      </c>
      <c r="F52" s="27">
        <v>29.0</v>
      </c>
    </row>
    <row r="53">
      <c r="A53" s="2"/>
      <c r="B53" s="27" t="s">
        <v>39</v>
      </c>
      <c r="C53" s="27">
        <v>2.0</v>
      </c>
      <c r="D53" s="27">
        <v>25.0</v>
      </c>
      <c r="E53" s="27">
        <v>5.0</v>
      </c>
      <c r="F53" s="27">
        <v>32.0</v>
      </c>
    </row>
    <row r="54">
      <c r="A54" s="2"/>
      <c r="B54" s="27" t="s">
        <v>40</v>
      </c>
      <c r="C54" s="28">
        <v>2.0</v>
      </c>
      <c r="D54" s="27">
        <v>9.0</v>
      </c>
      <c r="E54" s="27">
        <v>2.0</v>
      </c>
      <c r="F54" s="27">
        <v>13.0</v>
      </c>
    </row>
    <row r="55">
      <c r="A55" s="2"/>
      <c r="B55" s="27" t="s">
        <v>41</v>
      </c>
      <c r="C55" s="28">
        <v>0.0</v>
      </c>
      <c r="D55" s="27">
        <v>7.0</v>
      </c>
      <c r="E55" s="27">
        <v>7.0</v>
      </c>
      <c r="F55" s="27">
        <v>16.0</v>
      </c>
    </row>
    <row r="56">
      <c r="A56" s="2"/>
      <c r="B56" s="27" t="s">
        <v>42</v>
      </c>
      <c r="C56" s="28">
        <v>1.0</v>
      </c>
      <c r="D56" s="27">
        <v>18.0</v>
      </c>
      <c r="E56" s="27">
        <v>3.0</v>
      </c>
      <c r="F56" s="27">
        <v>22.0</v>
      </c>
    </row>
    <row r="57">
      <c r="A57" s="2"/>
      <c r="B57" s="27" t="s">
        <v>43</v>
      </c>
      <c r="C57" s="29">
        <v>6.0</v>
      </c>
      <c r="D57" s="27">
        <v>12.0</v>
      </c>
      <c r="E57" s="27">
        <v>14.0</v>
      </c>
      <c r="F57" s="27">
        <v>32.0</v>
      </c>
    </row>
    <row r="58">
      <c r="A58" s="2"/>
      <c r="B58" s="27" t="s">
        <v>44</v>
      </c>
      <c r="C58" s="30">
        <v>1.0</v>
      </c>
      <c r="D58" s="27">
        <v>8.0</v>
      </c>
      <c r="E58" s="27">
        <v>12.0</v>
      </c>
      <c r="F58" s="27">
        <v>21.0</v>
      </c>
    </row>
    <row r="59">
      <c r="A59" s="2"/>
      <c r="B59" s="2"/>
      <c r="C59" s="2"/>
      <c r="D59" s="2"/>
      <c r="E59" s="2"/>
      <c r="F59" s="2"/>
    </row>
    <row r="60">
      <c r="A60" s="2"/>
      <c r="B60" s="31" t="s">
        <v>45</v>
      </c>
      <c r="D60" s="2"/>
      <c r="E60" s="2"/>
      <c r="F60" s="2"/>
    </row>
    <row r="61">
      <c r="A61" s="2"/>
      <c r="B61" s="12" t="s">
        <v>46</v>
      </c>
      <c r="D61" s="2"/>
      <c r="E61" s="2"/>
      <c r="F61" s="2"/>
    </row>
    <row r="62">
      <c r="A62" s="2"/>
      <c r="B62" s="3" t="s">
        <v>47</v>
      </c>
      <c r="D62" s="2"/>
      <c r="E62" s="2"/>
      <c r="F62" s="2"/>
    </row>
    <row r="63">
      <c r="A63" s="2"/>
      <c r="B63" s="3" t="s">
        <v>48</v>
      </c>
      <c r="D63" s="2"/>
      <c r="E63" s="2"/>
      <c r="F63" s="2"/>
    </row>
    <row r="64">
      <c r="A64" s="2"/>
      <c r="B64" s="2"/>
      <c r="C64" s="2"/>
      <c r="D64" s="2"/>
      <c r="E64" s="2"/>
      <c r="F64" s="2"/>
    </row>
    <row r="65">
      <c r="A65" s="2"/>
      <c r="B65" s="2"/>
      <c r="C65" s="2"/>
      <c r="D65" s="2"/>
      <c r="E65" s="2"/>
      <c r="F65" s="2"/>
    </row>
    <row r="66">
      <c r="A66" s="2"/>
      <c r="B66" s="2"/>
      <c r="C66" s="2"/>
      <c r="D66" s="2"/>
      <c r="E66" s="2"/>
      <c r="F66" s="2"/>
    </row>
    <row r="67">
      <c r="A67" s="2"/>
      <c r="B67" s="2"/>
      <c r="C67" s="2"/>
      <c r="D67" s="2"/>
      <c r="E67" s="2"/>
      <c r="F67" s="2"/>
    </row>
    <row r="68">
      <c r="A68" s="2"/>
      <c r="B68" s="2"/>
      <c r="C68" s="2"/>
      <c r="D68" s="2"/>
      <c r="E68" s="2"/>
      <c r="F68" s="2"/>
    </row>
    <row r="69">
      <c r="A69" s="2"/>
      <c r="B69" s="2"/>
      <c r="C69" s="2"/>
      <c r="D69" s="2"/>
      <c r="E69" s="2"/>
      <c r="F69" s="2"/>
    </row>
    <row r="70">
      <c r="A70" s="2"/>
      <c r="B70" s="2"/>
      <c r="C70" s="2"/>
      <c r="D70" s="2"/>
      <c r="E70" s="2"/>
      <c r="F70" s="2"/>
    </row>
    <row r="71">
      <c r="A71" s="2"/>
      <c r="B71" s="2"/>
      <c r="C71" s="2"/>
      <c r="D71" s="2"/>
      <c r="E71" s="2"/>
      <c r="F71" s="2"/>
    </row>
    <row r="72">
      <c r="A72" s="2"/>
      <c r="B72" s="2"/>
      <c r="C72" s="2"/>
      <c r="D72" s="2"/>
      <c r="E72" s="2"/>
      <c r="F72" s="2"/>
    </row>
    <row r="73">
      <c r="A73" s="2"/>
      <c r="B73" s="2"/>
      <c r="C73" s="2"/>
      <c r="D73" s="2"/>
      <c r="E73" s="2"/>
      <c r="F73" s="2"/>
    </row>
    <row r="74">
      <c r="A74" s="2"/>
      <c r="B74" s="2"/>
      <c r="C74" s="2"/>
      <c r="D74" s="2"/>
      <c r="E74" s="2"/>
      <c r="F74" s="2"/>
    </row>
    <row r="75">
      <c r="A75" s="2"/>
      <c r="B75" s="2"/>
      <c r="C75" s="2"/>
      <c r="D75" s="2"/>
      <c r="E75" s="2"/>
      <c r="F75" s="2"/>
    </row>
    <row r="76">
      <c r="A76" s="2"/>
      <c r="B76" s="2"/>
      <c r="C76" s="2"/>
      <c r="D76" s="2"/>
      <c r="E76" s="2"/>
      <c r="F76" s="2"/>
    </row>
    <row r="77">
      <c r="A77" s="2"/>
      <c r="B77" s="2"/>
      <c r="C77" s="2"/>
      <c r="D77" s="2"/>
      <c r="E77" s="2"/>
      <c r="F77" s="2"/>
    </row>
    <row r="78">
      <c r="A78" s="2"/>
      <c r="B78" s="2"/>
      <c r="C78" s="2"/>
      <c r="D78" s="2"/>
      <c r="E78" s="2"/>
      <c r="F78" s="2"/>
    </row>
    <row r="79">
      <c r="A79" s="2"/>
      <c r="B79" s="2"/>
      <c r="C79" s="2"/>
      <c r="D79" s="2"/>
      <c r="E79" s="2"/>
      <c r="F79" s="2"/>
    </row>
    <row r="80">
      <c r="A80" s="2"/>
      <c r="B80" s="2"/>
      <c r="C80" s="2"/>
      <c r="D80" s="2"/>
      <c r="E80" s="2"/>
      <c r="F80" s="2"/>
    </row>
    <row r="81">
      <c r="A81" s="2"/>
      <c r="B81" s="2"/>
      <c r="C81" s="2"/>
      <c r="D81" s="2"/>
      <c r="E81" s="2"/>
      <c r="F81" s="2"/>
    </row>
    <row r="82">
      <c r="A82" s="2"/>
      <c r="B82" s="2"/>
      <c r="C82" s="2"/>
      <c r="D82" s="2"/>
      <c r="E82" s="2"/>
      <c r="F82" s="2"/>
    </row>
    <row r="83">
      <c r="A83" s="2"/>
      <c r="B83" s="2"/>
      <c r="C83" s="2"/>
      <c r="D83" s="2"/>
      <c r="E83" s="2"/>
      <c r="F83" s="2"/>
    </row>
    <row r="84">
      <c r="A84" s="2"/>
      <c r="B84" s="2"/>
      <c r="C84" s="2"/>
      <c r="D84" s="2"/>
      <c r="E84" s="2"/>
      <c r="F84" s="2"/>
    </row>
    <row r="85">
      <c r="A85" s="2"/>
      <c r="B85" s="2"/>
      <c r="C85" s="2"/>
      <c r="D85" s="2"/>
      <c r="E85" s="2"/>
      <c r="F85" s="2"/>
    </row>
    <row r="86">
      <c r="A86" s="2"/>
      <c r="B86" s="2"/>
      <c r="C86" s="2"/>
      <c r="D86" s="2"/>
      <c r="E86" s="2"/>
      <c r="F86" s="2"/>
    </row>
    <row r="87">
      <c r="A87" s="2"/>
      <c r="B87" s="2"/>
      <c r="C87" s="2"/>
      <c r="D87" s="2"/>
      <c r="E87" s="2"/>
      <c r="F87" s="2"/>
    </row>
    <row r="88">
      <c r="A88" s="2"/>
      <c r="B88" s="2"/>
      <c r="C88" s="2"/>
      <c r="D88" s="2"/>
      <c r="E88" s="2"/>
      <c r="F88" s="2"/>
    </row>
    <row r="89">
      <c r="A89" s="2"/>
      <c r="B89" s="2"/>
      <c r="C89" s="2"/>
      <c r="D89" s="2"/>
      <c r="E89" s="2"/>
      <c r="F89" s="2"/>
    </row>
    <row r="90">
      <c r="A90" s="2"/>
      <c r="B90" s="2"/>
      <c r="C90" s="2"/>
      <c r="D90" s="2"/>
      <c r="E90" s="2"/>
      <c r="F90" s="2"/>
    </row>
    <row r="91">
      <c r="A91" s="2"/>
      <c r="B91" s="2"/>
      <c r="C91" s="2"/>
      <c r="D91" s="2"/>
      <c r="E91" s="2"/>
      <c r="F91" s="2"/>
    </row>
    <row r="92">
      <c r="A92" s="2"/>
      <c r="B92" s="2"/>
      <c r="C92" s="2"/>
      <c r="D92" s="2"/>
      <c r="E92" s="2"/>
      <c r="F92" s="2"/>
    </row>
    <row r="93">
      <c r="A93" s="2"/>
      <c r="B93" s="2"/>
      <c r="C93" s="2"/>
      <c r="D93" s="2"/>
      <c r="E93" s="2"/>
      <c r="F93" s="2"/>
    </row>
    <row r="94">
      <c r="A94" s="2"/>
      <c r="B94" s="2"/>
      <c r="C94" s="2"/>
      <c r="D94" s="2"/>
      <c r="E94" s="2"/>
      <c r="F94" s="2"/>
    </row>
    <row r="95">
      <c r="A95" s="2"/>
      <c r="B95" s="2"/>
      <c r="C95" s="2"/>
      <c r="D95" s="2"/>
      <c r="E95" s="2"/>
      <c r="F95" s="2"/>
    </row>
    <row r="96">
      <c r="A96" s="2"/>
      <c r="B96" s="2"/>
      <c r="C96" s="2"/>
      <c r="D96" s="2"/>
      <c r="E96" s="2"/>
      <c r="F96" s="2"/>
    </row>
    <row r="97">
      <c r="A97" s="2"/>
      <c r="B97" s="2"/>
      <c r="C97" s="2"/>
      <c r="D97" s="2"/>
      <c r="E97" s="2"/>
      <c r="F97" s="2"/>
    </row>
    <row r="98">
      <c r="A98" s="2"/>
      <c r="B98" s="2"/>
      <c r="C98" s="2"/>
      <c r="D98" s="2"/>
      <c r="E98" s="2"/>
      <c r="F98" s="2"/>
    </row>
    <row r="99">
      <c r="A99" s="2"/>
      <c r="B99" s="2"/>
      <c r="C99" s="2"/>
      <c r="D99" s="2"/>
      <c r="E99" s="2"/>
      <c r="F99" s="2"/>
    </row>
    <row r="100">
      <c r="A100" s="2"/>
      <c r="B100" s="2"/>
      <c r="C100" s="2"/>
      <c r="D100" s="2"/>
      <c r="E100" s="2"/>
      <c r="F100" s="2"/>
    </row>
    <row r="101">
      <c r="A101" s="2"/>
      <c r="B101" s="2"/>
      <c r="C101" s="2"/>
      <c r="D101" s="2"/>
      <c r="E101" s="2"/>
      <c r="F101" s="2"/>
    </row>
    <row r="102">
      <c r="A102" s="2"/>
      <c r="B102" s="2"/>
      <c r="C102" s="2"/>
      <c r="D102" s="2"/>
      <c r="E102" s="2"/>
      <c r="F102" s="2"/>
    </row>
    <row r="103">
      <c r="A103" s="2"/>
      <c r="B103" s="2"/>
      <c r="C103" s="2"/>
      <c r="D103" s="2"/>
      <c r="E103" s="2"/>
      <c r="F103" s="2"/>
    </row>
    <row r="104">
      <c r="A104" s="2"/>
      <c r="B104" s="2"/>
      <c r="C104" s="2"/>
      <c r="D104" s="2"/>
      <c r="E104" s="2"/>
      <c r="F104" s="2"/>
    </row>
    <row r="105">
      <c r="A105" s="2"/>
      <c r="B105" s="2"/>
      <c r="C105" s="2"/>
      <c r="D105" s="2"/>
      <c r="E105" s="2"/>
      <c r="F105" s="2"/>
    </row>
    <row r="106">
      <c r="A106" s="2"/>
      <c r="B106" s="2"/>
      <c r="C106" s="2"/>
      <c r="D106" s="2"/>
      <c r="E106" s="2"/>
      <c r="F106" s="2"/>
    </row>
    <row r="107">
      <c r="A107" s="2"/>
      <c r="B107" s="2"/>
      <c r="C107" s="2"/>
      <c r="D107" s="2"/>
      <c r="E107" s="2"/>
      <c r="F107" s="2"/>
    </row>
    <row r="108">
      <c r="A108" s="2"/>
      <c r="B108" s="2"/>
      <c r="C108" s="2"/>
      <c r="D108" s="2"/>
      <c r="E108" s="2"/>
      <c r="F108" s="2"/>
    </row>
    <row r="109">
      <c r="A109" s="2"/>
      <c r="B109" s="2"/>
      <c r="C109" s="2"/>
      <c r="D109" s="2"/>
      <c r="E109" s="2"/>
      <c r="F109" s="2"/>
    </row>
    <row r="110">
      <c r="A110" s="2"/>
      <c r="B110" s="2"/>
      <c r="C110" s="2"/>
      <c r="D110" s="2"/>
      <c r="E110" s="2"/>
      <c r="F110" s="2"/>
    </row>
    <row r="111">
      <c r="A111" s="2"/>
      <c r="B111" s="2"/>
      <c r="C111" s="2"/>
      <c r="D111" s="2"/>
      <c r="E111" s="2"/>
      <c r="F111" s="2"/>
    </row>
    <row r="112">
      <c r="A112" s="2"/>
      <c r="B112" s="2"/>
      <c r="C112" s="2"/>
      <c r="D112" s="2"/>
      <c r="E112" s="2"/>
      <c r="F112" s="2"/>
    </row>
    <row r="113">
      <c r="A113" s="2"/>
      <c r="B113" s="2"/>
      <c r="C113" s="2"/>
      <c r="D113" s="2"/>
      <c r="E113" s="2"/>
      <c r="F113" s="2"/>
    </row>
    <row r="114">
      <c r="A114" s="2"/>
      <c r="B114" s="2"/>
      <c r="C114" s="2"/>
      <c r="D114" s="2"/>
      <c r="E114" s="2"/>
      <c r="F114" s="2"/>
    </row>
    <row r="115">
      <c r="A115" s="2"/>
      <c r="B115" s="2"/>
      <c r="C115" s="2"/>
      <c r="D115" s="2"/>
      <c r="E115" s="2"/>
      <c r="F115" s="2"/>
    </row>
    <row r="116">
      <c r="A116" s="2"/>
      <c r="B116" s="2"/>
      <c r="C116" s="2"/>
      <c r="D116" s="2"/>
      <c r="E116" s="2"/>
      <c r="F116" s="2"/>
    </row>
    <row r="117">
      <c r="A117" s="2"/>
      <c r="B117" s="2"/>
      <c r="C117" s="2"/>
      <c r="D117" s="2"/>
      <c r="E117" s="2"/>
      <c r="F117" s="2"/>
    </row>
    <row r="118">
      <c r="A118" s="2"/>
      <c r="B118" s="2"/>
      <c r="C118" s="2"/>
      <c r="D118" s="2"/>
      <c r="E118" s="2"/>
      <c r="F118" s="2"/>
    </row>
    <row r="119">
      <c r="A119" s="2"/>
      <c r="B119" s="2"/>
      <c r="C119" s="2"/>
      <c r="D119" s="2"/>
      <c r="E119" s="2"/>
      <c r="F119" s="2"/>
    </row>
    <row r="120">
      <c r="A120" s="2"/>
      <c r="B120" s="2"/>
      <c r="C120" s="2"/>
      <c r="D120" s="2"/>
      <c r="E120" s="2"/>
      <c r="F120" s="2"/>
    </row>
    <row r="121">
      <c r="A121" s="2"/>
      <c r="B121" s="2"/>
      <c r="C121" s="2"/>
      <c r="D121" s="2"/>
      <c r="E121" s="2"/>
      <c r="F121" s="2"/>
    </row>
    <row r="122">
      <c r="A122" s="2"/>
      <c r="B122" s="2"/>
      <c r="C122" s="2"/>
      <c r="D122" s="2"/>
      <c r="E122" s="2"/>
      <c r="F122" s="2"/>
    </row>
    <row r="123">
      <c r="A123" s="2"/>
      <c r="B123" s="2"/>
      <c r="C123" s="2"/>
      <c r="D123" s="2"/>
      <c r="E123" s="2"/>
      <c r="F123" s="2"/>
    </row>
    <row r="124">
      <c r="A124" s="2"/>
      <c r="B124" s="2"/>
      <c r="C124" s="2"/>
      <c r="D124" s="2"/>
      <c r="E124" s="2"/>
      <c r="F124" s="2"/>
    </row>
    <row r="125">
      <c r="A125" s="2"/>
      <c r="B125" s="2"/>
      <c r="C125" s="2"/>
      <c r="D125" s="2"/>
      <c r="E125" s="2"/>
      <c r="F125" s="2"/>
    </row>
    <row r="126">
      <c r="A126" s="2"/>
      <c r="B126" s="2"/>
      <c r="C126" s="2"/>
      <c r="D126" s="2"/>
      <c r="E126" s="2"/>
      <c r="F126" s="2"/>
    </row>
    <row r="127">
      <c r="A127" s="2"/>
      <c r="B127" s="2"/>
      <c r="C127" s="2"/>
      <c r="D127" s="2"/>
      <c r="E127" s="2"/>
      <c r="F127" s="2"/>
    </row>
    <row r="128">
      <c r="A128" s="2"/>
      <c r="B128" s="2"/>
      <c r="C128" s="2"/>
      <c r="D128" s="2"/>
      <c r="E128" s="2"/>
      <c r="F128" s="2"/>
    </row>
    <row r="129">
      <c r="A129" s="2"/>
      <c r="B129" s="2"/>
      <c r="C129" s="2"/>
      <c r="D129" s="2"/>
      <c r="E129" s="2"/>
      <c r="F129" s="2"/>
    </row>
    <row r="130">
      <c r="A130" s="2"/>
      <c r="B130" s="2"/>
      <c r="C130" s="2"/>
      <c r="D130" s="2"/>
      <c r="E130" s="2"/>
      <c r="F130" s="2"/>
    </row>
    <row r="131">
      <c r="A131" s="2"/>
      <c r="B131" s="2"/>
      <c r="C131" s="2"/>
      <c r="D131" s="2"/>
      <c r="E131" s="2"/>
      <c r="F131" s="2"/>
    </row>
    <row r="132">
      <c r="A132" s="2"/>
      <c r="B132" s="2"/>
      <c r="C132" s="2"/>
      <c r="D132" s="2"/>
      <c r="E132" s="2"/>
      <c r="F132" s="2"/>
    </row>
    <row r="133">
      <c r="A133" s="2"/>
      <c r="B133" s="2"/>
      <c r="C133" s="2"/>
      <c r="D133" s="2"/>
      <c r="E133" s="2"/>
      <c r="F133" s="2"/>
    </row>
    <row r="134">
      <c r="A134" s="2"/>
      <c r="B134" s="2"/>
      <c r="C134" s="2"/>
      <c r="D134" s="2"/>
      <c r="E134" s="2"/>
      <c r="F134" s="2"/>
    </row>
    <row r="135">
      <c r="A135" s="2"/>
      <c r="B135" s="2"/>
      <c r="C135" s="2"/>
      <c r="D135" s="2"/>
      <c r="E135" s="2"/>
      <c r="F135" s="2"/>
    </row>
    <row r="136">
      <c r="A136" s="2"/>
      <c r="B136" s="2"/>
      <c r="C136" s="2"/>
      <c r="D136" s="2"/>
      <c r="E136" s="2"/>
      <c r="F136" s="2"/>
    </row>
    <row r="137">
      <c r="A137" s="2"/>
      <c r="B137" s="2"/>
      <c r="C137" s="2"/>
      <c r="D137" s="2"/>
      <c r="E137" s="2"/>
      <c r="F137" s="2"/>
    </row>
    <row r="138">
      <c r="A138" s="2"/>
      <c r="B138" s="2"/>
      <c r="C138" s="2"/>
      <c r="D138" s="2"/>
      <c r="E138" s="2"/>
      <c r="F138" s="2"/>
    </row>
    <row r="139">
      <c r="A139" s="2"/>
      <c r="B139" s="2"/>
      <c r="C139" s="2"/>
      <c r="D139" s="2"/>
      <c r="E139" s="2"/>
      <c r="F139" s="2"/>
    </row>
    <row r="140">
      <c r="A140" s="2"/>
      <c r="B140" s="2"/>
      <c r="C140" s="2"/>
      <c r="D140" s="2"/>
      <c r="E140" s="2"/>
      <c r="F140" s="2"/>
    </row>
    <row r="141">
      <c r="A141" s="2"/>
      <c r="B141" s="2"/>
      <c r="C141" s="2"/>
      <c r="D141" s="2"/>
      <c r="E141" s="2"/>
      <c r="F141" s="2"/>
    </row>
    <row r="142">
      <c r="A142" s="2"/>
      <c r="B142" s="2"/>
      <c r="C142" s="2"/>
      <c r="D142" s="2"/>
      <c r="E142" s="2"/>
      <c r="F142" s="2"/>
    </row>
    <row r="143">
      <c r="A143" s="2"/>
      <c r="B143" s="2"/>
      <c r="C143" s="2"/>
      <c r="D143" s="2"/>
      <c r="E143" s="2"/>
      <c r="F143" s="2"/>
    </row>
    <row r="144">
      <c r="A144" s="2"/>
      <c r="B144" s="2"/>
      <c r="C144" s="2"/>
      <c r="D144" s="2"/>
      <c r="E144" s="2"/>
      <c r="F144" s="2"/>
    </row>
    <row r="145">
      <c r="A145" s="2"/>
      <c r="B145" s="2"/>
      <c r="C145" s="2"/>
      <c r="D145" s="2"/>
      <c r="E145" s="2"/>
      <c r="F145" s="2"/>
    </row>
    <row r="146">
      <c r="A146" s="2"/>
      <c r="B146" s="2"/>
      <c r="C146" s="2"/>
      <c r="D146" s="2"/>
      <c r="E146" s="2"/>
      <c r="F146" s="2"/>
    </row>
    <row r="147">
      <c r="A147" s="2"/>
      <c r="B147" s="2"/>
      <c r="C147" s="2"/>
      <c r="D147" s="2"/>
      <c r="E147" s="2"/>
      <c r="F147" s="2"/>
    </row>
    <row r="148">
      <c r="A148" s="2"/>
      <c r="B148" s="2"/>
      <c r="C148" s="2"/>
      <c r="D148" s="2"/>
      <c r="E148" s="2"/>
      <c r="F148" s="2"/>
    </row>
    <row r="149">
      <c r="A149" s="2"/>
      <c r="B149" s="2"/>
      <c r="C149" s="2"/>
      <c r="D149" s="2"/>
      <c r="E149" s="2"/>
      <c r="F149" s="2"/>
    </row>
    <row r="150">
      <c r="A150" s="2"/>
      <c r="B150" s="2"/>
      <c r="C150" s="2"/>
      <c r="D150" s="2"/>
      <c r="E150" s="2"/>
      <c r="F150" s="2"/>
    </row>
    <row r="151">
      <c r="A151" s="2"/>
      <c r="B151" s="2"/>
      <c r="C151" s="2"/>
      <c r="D151" s="2"/>
      <c r="E151" s="2"/>
      <c r="F151" s="2"/>
    </row>
    <row r="152">
      <c r="A152" s="2"/>
      <c r="B152" s="2"/>
      <c r="C152" s="2"/>
      <c r="D152" s="2"/>
      <c r="E152" s="2"/>
      <c r="F152" s="2"/>
    </row>
    <row r="153">
      <c r="A153" s="2"/>
      <c r="B153" s="2"/>
      <c r="C153" s="2"/>
      <c r="D153" s="2"/>
      <c r="E153" s="2"/>
      <c r="F153" s="2"/>
    </row>
    <row r="154">
      <c r="A154" s="2"/>
      <c r="B154" s="2"/>
      <c r="C154" s="2"/>
      <c r="D154" s="2"/>
      <c r="E154" s="2"/>
      <c r="F154" s="2"/>
    </row>
    <row r="155">
      <c r="A155" s="2"/>
      <c r="B155" s="2"/>
      <c r="C155" s="2"/>
      <c r="D155" s="2"/>
      <c r="E155" s="2"/>
      <c r="F155" s="2"/>
    </row>
    <row r="156">
      <c r="A156" s="2"/>
      <c r="B156" s="2"/>
      <c r="C156" s="2"/>
      <c r="D156" s="2"/>
      <c r="E156" s="2"/>
      <c r="F156" s="2"/>
    </row>
    <row r="157">
      <c r="A157" s="2"/>
      <c r="B157" s="2"/>
      <c r="C157" s="2"/>
      <c r="D157" s="2"/>
      <c r="E157" s="2"/>
      <c r="F157" s="2"/>
    </row>
    <row r="158">
      <c r="A158" s="2"/>
      <c r="B158" s="2"/>
      <c r="C158" s="2"/>
      <c r="D158" s="2"/>
      <c r="E158" s="2"/>
      <c r="F158" s="2"/>
    </row>
    <row r="159">
      <c r="A159" s="2"/>
      <c r="B159" s="2"/>
      <c r="C159" s="2"/>
      <c r="D159" s="2"/>
      <c r="E159" s="2"/>
      <c r="F159" s="2"/>
    </row>
    <row r="160">
      <c r="A160" s="2"/>
      <c r="B160" s="2"/>
      <c r="C160" s="2"/>
      <c r="D160" s="2"/>
      <c r="E160" s="2"/>
      <c r="F160" s="2"/>
    </row>
    <row r="161">
      <c r="A161" s="2"/>
      <c r="B161" s="2"/>
      <c r="C161" s="2"/>
      <c r="D161" s="2"/>
      <c r="E161" s="2"/>
      <c r="F161" s="2"/>
    </row>
    <row r="162">
      <c r="A162" s="2"/>
      <c r="B162" s="2"/>
      <c r="C162" s="2"/>
      <c r="D162" s="2"/>
      <c r="E162" s="2"/>
      <c r="F162" s="2"/>
    </row>
    <row r="163">
      <c r="A163" s="2"/>
      <c r="B163" s="2"/>
      <c r="C163" s="2"/>
      <c r="D163" s="2"/>
      <c r="E163" s="2"/>
      <c r="F163" s="2"/>
    </row>
    <row r="164">
      <c r="A164" s="2"/>
      <c r="B164" s="2"/>
      <c r="C164" s="2"/>
      <c r="D164" s="2"/>
      <c r="E164" s="2"/>
      <c r="F164" s="2"/>
    </row>
    <row r="165">
      <c r="A165" s="2"/>
      <c r="B165" s="2"/>
      <c r="C165" s="2"/>
      <c r="D165" s="2"/>
      <c r="E165" s="2"/>
      <c r="F165" s="2"/>
    </row>
    <row r="166">
      <c r="A166" s="2"/>
      <c r="B166" s="2"/>
      <c r="C166" s="2"/>
      <c r="D166" s="2"/>
      <c r="E166" s="2"/>
      <c r="F166" s="2"/>
    </row>
    <row r="167">
      <c r="A167" s="2"/>
      <c r="B167" s="2"/>
      <c r="C167" s="2"/>
      <c r="D167" s="2"/>
      <c r="E167" s="2"/>
      <c r="F167" s="2"/>
    </row>
    <row r="168">
      <c r="A168" s="2"/>
      <c r="B168" s="2"/>
      <c r="C168" s="2"/>
      <c r="D168" s="2"/>
      <c r="E168" s="2"/>
      <c r="F168" s="2"/>
    </row>
    <row r="169">
      <c r="A169" s="2"/>
      <c r="B169" s="2"/>
      <c r="C169" s="2"/>
      <c r="D169" s="2"/>
      <c r="E169" s="2"/>
      <c r="F169" s="2"/>
    </row>
    <row r="170">
      <c r="A170" s="2"/>
      <c r="B170" s="2"/>
      <c r="C170" s="2"/>
      <c r="D170" s="2"/>
      <c r="E170" s="2"/>
      <c r="F170" s="2"/>
    </row>
    <row r="171">
      <c r="A171" s="2"/>
      <c r="B171" s="2"/>
      <c r="C171" s="2"/>
      <c r="D171" s="2"/>
      <c r="E171" s="2"/>
      <c r="F171" s="2"/>
    </row>
    <row r="172">
      <c r="A172" s="2"/>
      <c r="B172" s="2"/>
      <c r="C172" s="2"/>
      <c r="D172" s="2"/>
      <c r="E172" s="2"/>
      <c r="F172" s="2"/>
    </row>
    <row r="173">
      <c r="A173" s="2"/>
      <c r="B173" s="2"/>
      <c r="C173" s="2"/>
      <c r="D173" s="2"/>
      <c r="E173" s="2"/>
      <c r="F173" s="2"/>
    </row>
    <row r="174">
      <c r="A174" s="2"/>
      <c r="B174" s="2"/>
      <c r="C174" s="2"/>
      <c r="D174" s="2"/>
      <c r="E174" s="2"/>
      <c r="F174" s="2"/>
    </row>
    <row r="175">
      <c r="A175" s="2"/>
      <c r="B175" s="2"/>
      <c r="C175" s="2"/>
      <c r="D175" s="2"/>
      <c r="E175" s="2"/>
      <c r="F175" s="2"/>
    </row>
    <row r="176">
      <c r="A176" s="2"/>
      <c r="B176" s="2"/>
      <c r="C176" s="2"/>
      <c r="D176" s="2"/>
      <c r="E176" s="2"/>
      <c r="F176" s="2"/>
    </row>
    <row r="177">
      <c r="A177" s="2"/>
      <c r="B177" s="2"/>
      <c r="C177" s="2"/>
      <c r="D177" s="2"/>
      <c r="E177" s="2"/>
      <c r="F177" s="2"/>
    </row>
    <row r="178">
      <c r="A178" s="2"/>
      <c r="B178" s="2"/>
      <c r="C178" s="2"/>
      <c r="D178" s="2"/>
      <c r="E178" s="2"/>
      <c r="F178" s="2"/>
    </row>
    <row r="179">
      <c r="A179" s="2"/>
      <c r="B179" s="2"/>
      <c r="C179" s="2"/>
      <c r="D179" s="2"/>
      <c r="E179" s="2"/>
      <c r="F179" s="2"/>
    </row>
    <row r="180">
      <c r="A180" s="2"/>
      <c r="B180" s="2"/>
      <c r="C180" s="2"/>
      <c r="D180" s="2"/>
      <c r="E180" s="2"/>
      <c r="F180" s="2"/>
    </row>
    <row r="181">
      <c r="A181" s="2"/>
      <c r="B181" s="2"/>
      <c r="C181" s="2"/>
      <c r="D181" s="2"/>
      <c r="E181" s="2"/>
      <c r="F181" s="2"/>
    </row>
    <row r="182">
      <c r="A182" s="2"/>
      <c r="B182" s="2"/>
      <c r="C182" s="2"/>
      <c r="D182" s="2"/>
      <c r="E182" s="2"/>
      <c r="F182" s="2"/>
    </row>
    <row r="183">
      <c r="A183" s="2"/>
      <c r="B183" s="2"/>
      <c r="C183" s="2"/>
      <c r="D183" s="2"/>
      <c r="E183" s="2"/>
      <c r="F183" s="2"/>
    </row>
    <row r="184">
      <c r="A184" s="2"/>
      <c r="B184" s="2"/>
      <c r="C184" s="2"/>
      <c r="D184" s="2"/>
      <c r="E184" s="2"/>
      <c r="F184" s="2"/>
    </row>
    <row r="185">
      <c r="A185" s="2"/>
      <c r="B185" s="2"/>
      <c r="C185" s="2"/>
      <c r="D185" s="2"/>
      <c r="E185" s="2"/>
      <c r="F185" s="2"/>
    </row>
    <row r="186">
      <c r="A186" s="2"/>
      <c r="B186" s="2"/>
      <c r="C186" s="2"/>
      <c r="D186" s="2"/>
      <c r="E186" s="2"/>
      <c r="F186" s="2"/>
    </row>
    <row r="187">
      <c r="A187" s="2"/>
      <c r="B187" s="2"/>
      <c r="C187" s="2"/>
      <c r="D187" s="2"/>
      <c r="E187" s="2"/>
      <c r="F187" s="2"/>
    </row>
    <row r="188">
      <c r="A188" s="2"/>
      <c r="B188" s="2"/>
      <c r="C188" s="2"/>
      <c r="D188" s="2"/>
      <c r="E188" s="2"/>
      <c r="F188" s="2"/>
    </row>
    <row r="189">
      <c r="A189" s="2"/>
      <c r="B189" s="2"/>
      <c r="C189" s="2"/>
      <c r="D189" s="2"/>
      <c r="E189" s="2"/>
      <c r="F189" s="2"/>
    </row>
    <row r="190">
      <c r="A190" s="2"/>
      <c r="B190" s="2"/>
      <c r="C190" s="2"/>
      <c r="D190" s="2"/>
      <c r="E190" s="2"/>
      <c r="F190" s="2"/>
    </row>
    <row r="191">
      <c r="A191" s="2"/>
      <c r="B191" s="2"/>
      <c r="C191" s="2"/>
      <c r="D191" s="2"/>
      <c r="E191" s="2"/>
      <c r="F191" s="2"/>
    </row>
    <row r="192">
      <c r="A192" s="2"/>
      <c r="B192" s="2"/>
      <c r="C192" s="2"/>
      <c r="D192" s="2"/>
      <c r="E192" s="2"/>
      <c r="F192" s="2"/>
    </row>
    <row r="193">
      <c r="A193" s="2"/>
      <c r="B193" s="2"/>
      <c r="C193" s="2"/>
      <c r="D193" s="2"/>
      <c r="E193" s="2"/>
      <c r="F193" s="2"/>
    </row>
    <row r="194">
      <c r="A194" s="2"/>
      <c r="B194" s="2"/>
      <c r="C194" s="2"/>
      <c r="D194" s="2"/>
      <c r="E194" s="2"/>
      <c r="F194" s="2"/>
    </row>
    <row r="195">
      <c r="A195" s="2"/>
      <c r="B195" s="2"/>
      <c r="C195" s="2"/>
      <c r="D195" s="2"/>
      <c r="E195" s="2"/>
      <c r="F195" s="2"/>
    </row>
    <row r="196">
      <c r="A196" s="2"/>
      <c r="B196" s="2"/>
      <c r="C196" s="2"/>
      <c r="D196" s="2"/>
      <c r="E196" s="2"/>
      <c r="F196" s="2"/>
    </row>
    <row r="197">
      <c r="A197" s="2"/>
      <c r="B197" s="2"/>
      <c r="C197" s="2"/>
      <c r="D197" s="2"/>
      <c r="E197" s="2"/>
      <c r="F197" s="2"/>
    </row>
    <row r="198">
      <c r="A198" s="2"/>
      <c r="B198" s="2"/>
      <c r="C198" s="2"/>
      <c r="D198" s="2"/>
      <c r="E198" s="2"/>
      <c r="F198" s="2"/>
    </row>
    <row r="199">
      <c r="A199" s="2"/>
      <c r="B199" s="2"/>
      <c r="C199" s="2"/>
      <c r="D199" s="2"/>
      <c r="E199" s="2"/>
      <c r="F199" s="2"/>
    </row>
    <row r="200">
      <c r="A200" s="2"/>
      <c r="B200" s="2"/>
      <c r="C200" s="2"/>
      <c r="D200" s="2"/>
      <c r="E200" s="2"/>
      <c r="F200" s="2"/>
    </row>
    <row r="201">
      <c r="A201" s="2"/>
      <c r="B201" s="2"/>
      <c r="C201" s="2"/>
      <c r="D201" s="2"/>
      <c r="E201" s="2"/>
      <c r="F201" s="2"/>
    </row>
    <row r="202">
      <c r="A202" s="2"/>
      <c r="B202" s="2"/>
      <c r="C202" s="2"/>
      <c r="D202" s="2"/>
      <c r="E202" s="2"/>
      <c r="F202" s="2"/>
    </row>
    <row r="203">
      <c r="A203" s="2"/>
      <c r="B203" s="2"/>
      <c r="C203" s="2"/>
      <c r="D203" s="2"/>
      <c r="E203" s="2"/>
      <c r="F203" s="2"/>
    </row>
    <row r="204">
      <c r="A204" s="2"/>
      <c r="B204" s="2"/>
      <c r="C204" s="2"/>
      <c r="D204" s="2"/>
      <c r="E204" s="2"/>
      <c r="F204" s="2"/>
    </row>
    <row r="205">
      <c r="A205" s="2"/>
      <c r="B205" s="2"/>
      <c r="C205" s="2"/>
      <c r="D205" s="2"/>
      <c r="E205" s="2"/>
      <c r="F205" s="2"/>
    </row>
    <row r="206">
      <c r="A206" s="2"/>
      <c r="B206" s="2"/>
      <c r="C206" s="2"/>
      <c r="D206" s="2"/>
      <c r="E206" s="2"/>
      <c r="F206" s="2"/>
    </row>
    <row r="207">
      <c r="A207" s="2"/>
      <c r="B207" s="2"/>
      <c r="C207" s="2"/>
      <c r="D207" s="2"/>
      <c r="E207" s="2"/>
      <c r="F207" s="2"/>
    </row>
    <row r="208">
      <c r="A208" s="2"/>
      <c r="B208" s="2"/>
      <c r="C208" s="2"/>
      <c r="D208" s="2"/>
      <c r="E208" s="2"/>
      <c r="F208" s="2"/>
    </row>
    <row r="209">
      <c r="A209" s="2"/>
      <c r="B209" s="2"/>
      <c r="C209" s="2"/>
      <c r="D209" s="2"/>
      <c r="E209" s="2"/>
      <c r="F209" s="2"/>
    </row>
    <row r="210">
      <c r="A210" s="2"/>
      <c r="B210" s="2"/>
      <c r="C210" s="2"/>
      <c r="D210" s="2"/>
      <c r="E210" s="2"/>
      <c r="F210" s="2"/>
    </row>
    <row r="211">
      <c r="A211" s="2"/>
      <c r="B211" s="2"/>
      <c r="C211" s="2"/>
      <c r="D211" s="2"/>
      <c r="E211" s="2"/>
      <c r="F211" s="2"/>
    </row>
    <row r="212">
      <c r="A212" s="2"/>
      <c r="B212" s="2"/>
      <c r="C212" s="2"/>
      <c r="D212" s="2"/>
      <c r="E212" s="2"/>
      <c r="F212" s="2"/>
    </row>
    <row r="213">
      <c r="A213" s="2"/>
      <c r="B213" s="2"/>
      <c r="C213" s="2"/>
      <c r="D213" s="2"/>
      <c r="E213" s="2"/>
      <c r="F213" s="2"/>
    </row>
    <row r="214">
      <c r="A214" s="2"/>
      <c r="B214" s="2"/>
      <c r="C214" s="2"/>
      <c r="D214" s="2"/>
      <c r="E214" s="2"/>
      <c r="F214" s="2"/>
    </row>
    <row r="215">
      <c r="A215" s="2"/>
      <c r="B215" s="2"/>
      <c r="C215" s="2"/>
      <c r="D215" s="2"/>
      <c r="E215" s="2"/>
      <c r="F215" s="2"/>
    </row>
    <row r="216">
      <c r="A216" s="2"/>
      <c r="B216" s="2"/>
      <c r="C216" s="2"/>
      <c r="D216" s="2"/>
      <c r="E216" s="2"/>
      <c r="F216" s="2"/>
    </row>
    <row r="217">
      <c r="A217" s="2"/>
      <c r="B217" s="2"/>
      <c r="C217" s="2"/>
      <c r="D217" s="2"/>
      <c r="E217" s="2"/>
      <c r="F217" s="2"/>
    </row>
    <row r="218">
      <c r="A218" s="2"/>
      <c r="B218" s="2"/>
      <c r="C218" s="2"/>
      <c r="D218" s="2"/>
      <c r="E218" s="2"/>
      <c r="F218" s="2"/>
    </row>
    <row r="219">
      <c r="A219" s="2"/>
      <c r="B219" s="2"/>
      <c r="C219" s="2"/>
      <c r="D219" s="2"/>
      <c r="E219" s="2"/>
      <c r="F219" s="2"/>
    </row>
    <row r="220">
      <c r="A220" s="2"/>
      <c r="B220" s="2"/>
      <c r="C220" s="2"/>
      <c r="D220" s="2"/>
      <c r="E220" s="2"/>
      <c r="F220" s="2"/>
    </row>
    <row r="221">
      <c r="A221" s="2"/>
      <c r="B221" s="2"/>
      <c r="C221" s="2"/>
      <c r="D221" s="2"/>
      <c r="E221" s="2"/>
      <c r="F221" s="2"/>
    </row>
    <row r="222">
      <c r="A222" s="2"/>
      <c r="B222" s="2"/>
      <c r="C222" s="2"/>
      <c r="D222" s="2"/>
      <c r="E222" s="2"/>
      <c r="F222" s="2"/>
    </row>
    <row r="223">
      <c r="A223" s="2"/>
      <c r="B223" s="2"/>
      <c r="C223" s="2"/>
      <c r="D223" s="2"/>
      <c r="E223" s="2"/>
      <c r="F223" s="2"/>
    </row>
    <row r="224">
      <c r="A224" s="2"/>
      <c r="B224" s="2"/>
      <c r="C224" s="2"/>
      <c r="D224" s="2"/>
      <c r="E224" s="2"/>
      <c r="F224" s="2"/>
    </row>
    <row r="225">
      <c r="A225" s="2"/>
      <c r="B225" s="2"/>
      <c r="C225" s="2"/>
      <c r="D225" s="2"/>
      <c r="E225" s="2"/>
      <c r="F225" s="2"/>
    </row>
    <row r="226">
      <c r="A226" s="2"/>
      <c r="B226" s="2"/>
      <c r="C226" s="2"/>
      <c r="D226" s="2"/>
      <c r="E226" s="2"/>
      <c r="F226" s="2"/>
    </row>
    <row r="227">
      <c r="A227" s="2"/>
      <c r="B227" s="2"/>
      <c r="C227" s="2"/>
      <c r="D227" s="2"/>
      <c r="E227" s="2"/>
      <c r="F227" s="2"/>
    </row>
    <row r="228">
      <c r="A228" s="2"/>
      <c r="B228" s="2"/>
      <c r="C228" s="2"/>
      <c r="D228" s="2"/>
      <c r="E228" s="2"/>
      <c r="F228" s="2"/>
    </row>
    <row r="229">
      <c r="A229" s="2"/>
      <c r="B229" s="2"/>
      <c r="C229" s="2"/>
      <c r="D229" s="2"/>
      <c r="E229" s="2"/>
      <c r="F229" s="2"/>
    </row>
    <row r="230">
      <c r="A230" s="2"/>
      <c r="B230" s="2"/>
      <c r="C230" s="2"/>
      <c r="D230" s="2"/>
      <c r="E230" s="2"/>
      <c r="F230" s="2"/>
    </row>
    <row r="231">
      <c r="A231" s="2"/>
      <c r="B231" s="2"/>
      <c r="C231" s="2"/>
      <c r="D231" s="2"/>
      <c r="E231" s="2"/>
      <c r="F231" s="2"/>
    </row>
    <row r="232">
      <c r="A232" s="2"/>
      <c r="B232" s="2"/>
      <c r="C232" s="2"/>
      <c r="D232" s="2"/>
      <c r="E232" s="2"/>
      <c r="F232" s="2"/>
    </row>
    <row r="233">
      <c r="A233" s="2"/>
      <c r="B233" s="2"/>
      <c r="C233" s="2"/>
      <c r="D233" s="2"/>
      <c r="E233" s="2"/>
      <c r="F233" s="2"/>
    </row>
    <row r="234">
      <c r="A234" s="2"/>
      <c r="B234" s="2"/>
      <c r="C234" s="2"/>
      <c r="D234" s="2"/>
      <c r="E234" s="2"/>
      <c r="F234" s="2"/>
    </row>
    <row r="235">
      <c r="A235" s="2"/>
      <c r="B235" s="2"/>
      <c r="C235" s="2"/>
      <c r="D235" s="2"/>
      <c r="E235" s="2"/>
      <c r="F235" s="2"/>
    </row>
    <row r="236">
      <c r="A236" s="2"/>
      <c r="B236" s="2"/>
      <c r="C236" s="2"/>
      <c r="D236" s="2"/>
      <c r="E236" s="2"/>
      <c r="F236" s="2"/>
    </row>
    <row r="237">
      <c r="A237" s="2"/>
      <c r="B237" s="2"/>
      <c r="C237" s="2"/>
      <c r="D237" s="2"/>
      <c r="E237" s="2"/>
      <c r="F237" s="2"/>
    </row>
    <row r="238">
      <c r="A238" s="2"/>
      <c r="B238" s="2"/>
      <c r="C238" s="2"/>
      <c r="D238" s="2"/>
      <c r="E238" s="2"/>
      <c r="F238" s="2"/>
    </row>
    <row r="239">
      <c r="A239" s="2"/>
      <c r="B239" s="2"/>
      <c r="C239" s="2"/>
      <c r="D239" s="2"/>
      <c r="E239" s="2"/>
      <c r="F239" s="2"/>
    </row>
    <row r="240">
      <c r="A240" s="2"/>
      <c r="B240" s="2"/>
      <c r="C240" s="2"/>
      <c r="D240" s="2"/>
      <c r="E240" s="2"/>
      <c r="F240" s="2"/>
    </row>
    <row r="241">
      <c r="A241" s="2"/>
      <c r="B241" s="2"/>
      <c r="C241" s="2"/>
      <c r="D241" s="2"/>
      <c r="E241" s="2"/>
      <c r="F241" s="2"/>
    </row>
    <row r="242">
      <c r="A242" s="2"/>
      <c r="B242" s="2"/>
      <c r="C242" s="2"/>
      <c r="D242" s="2"/>
      <c r="E242" s="2"/>
      <c r="F242" s="2"/>
    </row>
    <row r="243">
      <c r="A243" s="2"/>
      <c r="B243" s="2"/>
      <c r="C243" s="2"/>
      <c r="D243" s="2"/>
      <c r="E243" s="2"/>
      <c r="F243" s="2"/>
    </row>
    <row r="244">
      <c r="A244" s="2"/>
      <c r="B244" s="2"/>
      <c r="C244" s="2"/>
      <c r="D244" s="2"/>
      <c r="E244" s="2"/>
      <c r="F244" s="2"/>
    </row>
    <row r="245">
      <c r="A245" s="2"/>
      <c r="B245" s="2"/>
      <c r="C245" s="2"/>
      <c r="D245" s="2"/>
      <c r="E245" s="2"/>
      <c r="F245" s="2"/>
    </row>
    <row r="246">
      <c r="A246" s="2"/>
      <c r="B246" s="2"/>
      <c r="C246" s="2"/>
      <c r="D246" s="2"/>
      <c r="E246" s="2"/>
      <c r="F246" s="2"/>
    </row>
    <row r="247">
      <c r="A247" s="2"/>
      <c r="B247" s="2"/>
      <c r="C247" s="2"/>
      <c r="D247" s="2"/>
      <c r="E247" s="2"/>
      <c r="F247" s="2"/>
    </row>
    <row r="248">
      <c r="A248" s="2"/>
      <c r="B248" s="2"/>
      <c r="C248" s="2"/>
      <c r="D248" s="2"/>
      <c r="E248" s="2"/>
      <c r="F248" s="2"/>
    </row>
    <row r="249">
      <c r="A249" s="2"/>
      <c r="B249" s="2"/>
      <c r="C249" s="2"/>
      <c r="D249" s="2"/>
      <c r="E249" s="2"/>
      <c r="F249" s="2"/>
    </row>
    <row r="250">
      <c r="A250" s="2"/>
      <c r="B250" s="2"/>
      <c r="C250" s="2"/>
      <c r="D250" s="2"/>
      <c r="E250" s="2"/>
      <c r="F250" s="2"/>
    </row>
    <row r="251">
      <c r="A251" s="2"/>
      <c r="B251" s="2"/>
      <c r="C251" s="2"/>
      <c r="D251" s="2"/>
      <c r="E251" s="2"/>
      <c r="F251" s="2"/>
    </row>
    <row r="252">
      <c r="A252" s="2"/>
      <c r="B252" s="2"/>
      <c r="C252" s="2"/>
      <c r="D252" s="2"/>
      <c r="E252" s="2"/>
      <c r="F252" s="2"/>
    </row>
    <row r="253">
      <c r="A253" s="2"/>
      <c r="B253" s="2"/>
      <c r="C253" s="2"/>
      <c r="D253" s="2"/>
      <c r="E253" s="2"/>
      <c r="F253" s="2"/>
    </row>
    <row r="254">
      <c r="A254" s="2"/>
      <c r="B254" s="2"/>
      <c r="C254" s="2"/>
      <c r="D254" s="2"/>
      <c r="E254" s="2"/>
      <c r="F254" s="2"/>
    </row>
    <row r="255">
      <c r="A255" s="2"/>
      <c r="B255" s="2"/>
      <c r="C255" s="2"/>
      <c r="D255" s="2"/>
      <c r="E255" s="2"/>
      <c r="F255" s="2"/>
    </row>
    <row r="256">
      <c r="A256" s="2"/>
      <c r="B256" s="2"/>
      <c r="C256" s="2"/>
      <c r="D256" s="2"/>
      <c r="E256" s="2"/>
      <c r="F256" s="2"/>
    </row>
    <row r="257">
      <c r="A257" s="2"/>
      <c r="B257" s="2"/>
      <c r="C257" s="2"/>
      <c r="D257" s="2"/>
      <c r="E257" s="2"/>
      <c r="F257" s="2"/>
    </row>
    <row r="258">
      <c r="A258" s="2"/>
      <c r="B258" s="2"/>
      <c r="C258" s="2"/>
      <c r="D258" s="2"/>
      <c r="E258" s="2"/>
      <c r="F258" s="2"/>
    </row>
    <row r="259">
      <c r="A259" s="2"/>
      <c r="B259" s="2"/>
      <c r="C259" s="2"/>
      <c r="D259" s="2"/>
      <c r="E259" s="2"/>
      <c r="F259" s="2"/>
    </row>
    <row r="260">
      <c r="A260" s="2"/>
      <c r="B260" s="2"/>
      <c r="C260" s="2"/>
      <c r="D260" s="2"/>
      <c r="E260" s="2"/>
      <c r="F260" s="2"/>
    </row>
    <row r="261">
      <c r="A261" s="2"/>
      <c r="B261" s="2"/>
      <c r="C261" s="2"/>
      <c r="D261" s="2"/>
      <c r="E261" s="2"/>
      <c r="F261" s="2"/>
    </row>
    <row r="262">
      <c r="A262" s="2"/>
      <c r="B262" s="2"/>
      <c r="C262" s="2"/>
      <c r="D262" s="2"/>
      <c r="E262" s="2"/>
      <c r="F262" s="2"/>
    </row>
    <row r="263">
      <c r="A263" s="2"/>
      <c r="B263" s="2"/>
      <c r="C263" s="2"/>
      <c r="D263" s="2"/>
      <c r="E263" s="2"/>
      <c r="F263" s="2"/>
    </row>
    <row r="264">
      <c r="A264" s="2"/>
      <c r="B264" s="2"/>
      <c r="C264" s="2"/>
      <c r="D264" s="2"/>
      <c r="E264" s="2"/>
      <c r="F264" s="2"/>
    </row>
    <row r="265">
      <c r="A265" s="2"/>
      <c r="B265" s="2"/>
      <c r="C265" s="2"/>
      <c r="D265" s="2"/>
      <c r="E265" s="2"/>
      <c r="F265" s="2"/>
    </row>
    <row r="266">
      <c r="A266" s="2"/>
      <c r="B266" s="2"/>
      <c r="C266" s="2"/>
      <c r="D266" s="2"/>
      <c r="E266" s="2"/>
      <c r="F266" s="2"/>
    </row>
    <row r="267">
      <c r="A267" s="2"/>
      <c r="B267" s="2"/>
      <c r="C267" s="2"/>
      <c r="D267" s="2"/>
      <c r="E267" s="2"/>
      <c r="F267" s="2"/>
    </row>
    <row r="268">
      <c r="A268" s="2"/>
      <c r="B268" s="2"/>
      <c r="C268" s="2"/>
      <c r="D268" s="2"/>
      <c r="E268" s="2"/>
      <c r="F268" s="2"/>
    </row>
    <row r="269">
      <c r="A269" s="2"/>
      <c r="B269" s="2"/>
      <c r="C269" s="2"/>
      <c r="D269" s="2"/>
      <c r="E269" s="2"/>
      <c r="F269" s="2"/>
    </row>
    <row r="270">
      <c r="A270" s="2"/>
      <c r="B270" s="2"/>
      <c r="C270" s="2"/>
      <c r="D270" s="2"/>
      <c r="E270" s="2"/>
      <c r="F270" s="2"/>
    </row>
    <row r="271">
      <c r="A271" s="2"/>
      <c r="B271" s="2"/>
      <c r="C271" s="2"/>
      <c r="D271" s="2"/>
      <c r="E271" s="2"/>
      <c r="F271" s="2"/>
    </row>
    <row r="272">
      <c r="A272" s="2"/>
      <c r="B272" s="2"/>
      <c r="C272" s="2"/>
      <c r="D272" s="2"/>
      <c r="E272" s="2"/>
      <c r="F272" s="2"/>
    </row>
    <row r="273">
      <c r="A273" s="2"/>
      <c r="B273" s="2"/>
      <c r="C273" s="2"/>
      <c r="D273" s="2"/>
      <c r="E273" s="2"/>
      <c r="F273" s="2"/>
    </row>
    <row r="274">
      <c r="A274" s="2"/>
      <c r="B274" s="2"/>
      <c r="C274" s="2"/>
      <c r="D274" s="2"/>
      <c r="E274" s="2"/>
      <c r="F274" s="2"/>
    </row>
    <row r="275">
      <c r="A275" s="2"/>
      <c r="B275" s="2"/>
      <c r="C275" s="2"/>
      <c r="D275" s="2"/>
      <c r="E275" s="2"/>
      <c r="F275" s="2"/>
    </row>
    <row r="276">
      <c r="A276" s="2"/>
      <c r="B276" s="2"/>
      <c r="C276" s="2"/>
      <c r="D276" s="2"/>
      <c r="E276" s="2"/>
      <c r="F276" s="2"/>
    </row>
    <row r="277">
      <c r="A277" s="2"/>
      <c r="B277" s="2"/>
      <c r="C277" s="2"/>
      <c r="D277" s="2"/>
      <c r="E277" s="2"/>
      <c r="F277" s="2"/>
    </row>
    <row r="278">
      <c r="A278" s="2"/>
      <c r="B278" s="2"/>
      <c r="C278" s="2"/>
      <c r="D278" s="2"/>
      <c r="E278" s="2"/>
      <c r="F278" s="2"/>
    </row>
    <row r="279">
      <c r="A279" s="2"/>
      <c r="B279" s="2"/>
      <c r="C279" s="2"/>
      <c r="D279" s="2"/>
      <c r="E279" s="2"/>
      <c r="F279" s="2"/>
    </row>
    <row r="280">
      <c r="A280" s="2"/>
      <c r="B280" s="2"/>
      <c r="C280" s="2"/>
      <c r="D280" s="2"/>
      <c r="E280" s="2"/>
      <c r="F280" s="2"/>
    </row>
    <row r="281">
      <c r="A281" s="2"/>
      <c r="B281" s="2"/>
      <c r="C281" s="2"/>
      <c r="D281" s="2"/>
      <c r="E281" s="2"/>
      <c r="F281" s="2"/>
    </row>
    <row r="282">
      <c r="A282" s="2"/>
      <c r="B282" s="2"/>
      <c r="C282" s="2"/>
      <c r="D282" s="2"/>
      <c r="E282" s="2"/>
      <c r="F282" s="2"/>
    </row>
    <row r="283">
      <c r="A283" s="2"/>
      <c r="B283" s="2"/>
      <c r="C283" s="2"/>
      <c r="D283" s="2"/>
      <c r="E283" s="2"/>
      <c r="F283" s="2"/>
    </row>
    <row r="284">
      <c r="A284" s="2"/>
      <c r="B284" s="2"/>
      <c r="C284" s="2"/>
      <c r="D284" s="2"/>
      <c r="E284" s="2"/>
      <c r="F284" s="2"/>
    </row>
    <row r="285">
      <c r="A285" s="2"/>
      <c r="B285" s="2"/>
      <c r="C285" s="2"/>
      <c r="D285" s="2"/>
      <c r="E285" s="2"/>
      <c r="F285" s="2"/>
    </row>
    <row r="286">
      <c r="A286" s="2"/>
      <c r="B286" s="2"/>
      <c r="C286" s="2"/>
      <c r="D286" s="2"/>
      <c r="E286" s="2"/>
      <c r="F286" s="2"/>
    </row>
    <row r="287">
      <c r="A287" s="2"/>
      <c r="B287" s="2"/>
      <c r="C287" s="2"/>
      <c r="D287" s="2"/>
      <c r="E287" s="2"/>
      <c r="F287" s="2"/>
    </row>
    <row r="288">
      <c r="A288" s="2"/>
      <c r="B288" s="2"/>
      <c r="C288" s="2"/>
      <c r="D288" s="2"/>
      <c r="E288" s="2"/>
      <c r="F288" s="2"/>
    </row>
    <row r="289">
      <c r="A289" s="2"/>
      <c r="B289" s="2"/>
      <c r="C289" s="2"/>
      <c r="D289" s="2"/>
      <c r="E289" s="2"/>
      <c r="F289" s="2"/>
    </row>
    <row r="290">
      <c r="A290" s="2"/>
      <c r="B290" s="2"/>
      <c r="C290" s="2"/>
      <c r="D290" s="2"/>
      <c r="E290" s="2"/>
      <c r="F290" s="2"/>
    </row>
    <row r="291">
      <c r="A291" s="2"/>
      <c r="B291" s="2"/>
      <c r="C291" s="2"/>
      <c r="D291" s="2"/>
      <c r="E291" s="2"/>
      <c r="F291" s="2"/>
    </row>
    <row r="292">
      <c r="A292" s="2"/>
      <c r="B292" s="2"/>
      <c r="C292" s="2"/>
      <c r="D292" s="2"/>
      <c r="E292" s="2"/>
      <c r="F292" s="2"/>
    </row>
    <row r="293">
      <c r="A293" s="2"/>
      <c r="B293" s="2"/>
      <c r="C293" s="2"/>
      <c r="D293" s="2"/>
      <c r="E293" s="2"/>
      <c r="F293" s="2"/>
    </row>
    <row r="294">
      <c r="A294" s="2"/>
      <c r="B294" s="2"/>
      <c r="C294" s="2"/>
      <c r="D294" s="2"/>
      <c r="E294" s="2"/>
      <c r="F294" s="2"/>
    </row>
    <row r="295">
      <c r="A295" s="2"/>
      <c r="B295" s="2"/>
      <c r="C295" s="2"/>
      <c r="D295" s="2"/>
      <c r="E295" s="2"/>
      <c r="F295" s="2"/>
    </row>
    <row r="296">
      <c r="A296" s="2"/>
      <c r="B296" s="2"/>
      <c r="C296" s="2"/>
      <c r="D296" s="2"/>
      <c r="E296" s="2"/>
      <c r="F296" s="2"/>
    </row>
    <row r="297">
      <c r="A297" s="2"/>
      <c r="B297" s="2"/>
      <c r="C297" s="2"/>
      <c r="D297" s="2"/>
      <c r="E297" s="2"/>
      <c r="F297" s="2"/>
    </row>
    <row r="298">
      <c r="A298" s="2"/>
      <c r="B298" s="2"/>
      <c r="C298" s="2"/>
      <c r="D298" s="2"/>
      <c r="E298" s="2"/>
      <c r="F298" s="2"/>
    </row>
    <row r="299">
      <c r="A299" s="2"/>
      <c r="B299" s="2"/>
      <c r="C299" s="2"/>
      <c r="D299" s="2"/>
      <c r="E299" s="2"/>
      <c r="F299" s="2"/>
    </row>
    <row r="300">
      <c r="A300" s="2"/>
      <c r="B300" s="2"/>
      <c r="C300" s="2"/>
      <c r="D300" s="2"/>
      <c r="E300" s="2"/>
      <c r="F300" s="2"/>
    </row>
    <row r="301">
      <c r="A301" s="2"/>
      <c r="B301" s="2"/>
      <c r="C301" s="2"/>
      <c r="D301" s="2"/>
      <c r="E301" s="2"/>
      <c r="F301" s="2"/>
    </row>
    <row r="302">
      <c r="A302" s="2"/>
      <c r="B302" s="2"/>
      <c r="C302" s="2"/>
      <c r="D302" s="2"/>
      <c r="E302" s="2"/>
      <c r="F302" s="2"/>
    </row>
    <row r="303">
      <c r="A303" s="2"/>
      <c r="B303" s="2"/>
      <c r="C303" s="2"/>
      <c r="D303" s="2"/>
      <c r="E303" s="2"/>
      <c r="F303" s="2"/>
    </row>
    <row r="304">
      <c r="A304" s="2"/>
      <c r="B304" s="2"/>
      <c r="C304" s="2"/>
      <c r="D304" s="2"/>
      <c r="E304" s="2"/>
      <c r="F304" s="2"/>
    </row>
    <row r="305">
      <c r="A305" s="2"/>
      <c r="B305" s="2"/>
      <c r="C305" s="2"/>
      <c r="D305" s="2"/>
      <c r="E305" s="2"/>
      <c r="F305" s="2"/>
    </row>
    <row r="306">
      <c r="A306" s="2"/>
      <c r="B306" s="2"/>
      <c r="C306" s="2"/>
      <c r="D306" s="2"/>
      <c r="E306" s="2"/>
      <c r="F306" s="2"/>
    </row>
    <row r="307">
      <c r="A307" s="2"/>
      <c r="B307" s="2"/>
      <c r="C307" s="2"/>
      <c r="D307" s="2"/>
      <c r="E307" s="2"/>
      <c r="F307" s="2"/>
    </row>
    <row r="308">
      <c r="A308" s="2"/>
      <c r="B308" s="2"/>
      <c r="C308" s="2"/>
      <c r="D308" s="2"/>
      <c r="E308" s="2"/>
      <c r="F308" s="2"/>
    </row>
    <row r="309">
      <c r="A309" s="2"/>
      <c r="B309" s="2"/>
      <c r="C309" s="2"/>
      <c r="D309" s="2"/>
      <c r="E309" s="2"/>
      <c r="F309" s="2"/>
    </row>
    <row r="310">
      <c r="A310" s="2"/>
      <c r="B310" s="2"/>
      <c r="C310" s="2"/>
      <c r="D310" s="2"/>
      <c r="E310" s="2"/>
      <c r="F310" s="2"/>
    </row>
    <row r="311">
      <c r="A311" s="2"/>
      <c r="B311" s="2"/>
      <c r="C311" s="2"/>
      <c r="D311" s="2"/>
      <c r="E311" s="2"/>
      <c r="F311" s="2"/>
    </row>
    <row r="312">
      <c r="A312" s="2"/>
      <c r="B312" s="2"/>
      <c r="C312" s="2"/>
      <c r="D312" s="2"/>
      <c r="E312" s="2"/>
      <c r="F312" s="2"/>
    </row>
    <row r="313">
      <c r="A313" s="2"/>
      <c r="B313" s="2"/>
      <c r="C313" s="2"/>
      <c r="D313" s="2"/>
      <c r="E313" s="2"/>
      <c r="F313" s="2"/>
    </row>
    <row r="314">
      <c r="A314" s="2"/>
      <c r="B314" s="2"/>
      <c r="C314" s="2"/>
      <c r="D314" s="2"/>
      <c r="E314" s="2"/>
      <c r="F314" s="2"/>
    </row>
    <row r="315">
      <c r="A315" s="2"/>
      <c r="B315" s="2"/>
      <c r="C315" s="2"/>
      <c r="D315" s="2"/>
      <c r="E315" s="2"/>
      <c r="F315" s="2"/>
    </row>
    <row r="316">
      <c r="A316" s="2"/>
      <c r="B316" s="2"/>
      <c r="C316" s="2"/>
      <c r="D316" s="2"/>
      <c r="E316" s="2"/>
      <c r="F316" s="2"/>
    </row>
    <row r="317">
      <c r="A317" s="2"/>
      <c r="B317" s="2"/>
      <c r="C317" s="2"/>
      <c r="D317" s="2"/>
      <c r="E317" s="2"/>
      <c r="F317" s="2"/>
    </row>
    <row r="318">
      <c r="A318" s="2"/>
      <c r="B318" s="2"/>
      <c r="C318" s="2"/>
      <c r="D318" s="2"/>
      <c r="E318" s="2"/>
      <c r="F318" s="2"/>
    </row>
    <row r="319">
      <c r="A319" s="2"/>
      <c r="B319" s="2"/>
      <c r="C319" s="2"/>
      <c r="D319" s="2"/>
      <c r="E319" s="2"/>
      <c r="F319" s="2"/>
    </row>
    <row r="320">
      <c r="A320" s="2"/>
      <c r="B320" s="2"/>
      <c r="C320" s="2"/>
      <c r="D320" s="2"/>
      <c r="E320" s="2"/>
      <c r="F320" s="2"/>
    </row>
    <row r="321">
      <c r="A321" s="2"/>
      <c r="B321" s="2"/>
      <c r="C321" s="2"/>
      <c r="D321" s="2"/>
      <c r="E321" s="2"/>
      <c r="F321" s="2"/>
    </row>
    <row r="322">
      <c r="A322" s="2"/>
      <c r="B322" s="2"/>
      <c r="C322" s="2"/>
      <c r="D322" s="2"/>
      <c r="E322" s="2"/>
      <c r="F322" s="2"/>
    </row>
    <row r="323">
      <c r="A323" s="2"/>
      <c r="B323" s="2"/>
      <c r="C323" s="2"/>
      <c r="D323" s="2"/>
      <c r="E323" s="2"/>
      <c r="F323" s="2"/>
    </row>
    <row r="324">
      <c r="A324" s="2"/>
      <c r="B324" s="2"/>
      <c r="C324" s="2"/>
      <c r="D324" s="2"/>
      <c r="E324" s="2"/>
      <c r="F324" s="2"/>
    </row>
    <row r="325">
      <c r="A325" s="2"/>
      <c r="B325" s="2"/>
      <c r="C325" s="2"/>
      <c r="D325" s="2"/>
      <c r="E325" s="2"/>
      <c r="F325" s="2"/>
    </row>
    <row r="326">
      <c r="A326" s="2"/>
      <c r="B326" s="2"/>
      <c r="C326" s="2"/>
      <c r="D326" s="2"/>
      <c r="E326" s="2"/>
      <c r="F326" s="2"/>
    </row>
    <row r="327">
      <c r="A327" s="2"/>
      <c r="B327" s="2"/>
      <c r="C327" s="2"/>
      <c r="D327" s="2"/>
      <c r="E327" s="2"/>
      <c r="F327" s="2"/>
    </row>
    <row r="328">
      <c r="A328" s="2"/>
      <c r="B328" s="2"/>
      <c r="C328" s="2"/>
      <c r="D328" s="2"/>
      <c r="E328" s="2"/>
      <c r="F328" s="2"/>
    </row>
    <row r="329">
      <c r="A329" s="2"/>
      <c r="B329" s="2"/>
      <c r="C329" s="2"/>
      <c r="D329" s="2"/>
      <c r="E329" s="2"/>
      <c r="F329" s="2"/>
    </row>
    <row r="330">
      <c r="A330" s="2"/>
      <c r="B330" s="2"/>
      <c r="C330" s="2"/>
      <c r="D330" s="2"/>
      <c r="E330" s="2"/>
      <c r="F330" s="2"/>
    </row>
    <row r="331">
      <c r="A331" s="2"/>
      <c r="B331" s="2"/>
      <c r="C331" s="2"/>
      <c r="D331" s="2"/>
      <c r="E331" s="2"/>
      <c r="F331" s="2"/>
    </row>
    <row r="332">
      <c r="A332" s="2"/>
      <c r="B332" s="2"/>
      <c r="C332" s="2"/>
      <c r="D332" s="2"/>
      <c r="E332" s="2"/>
      <c r="F332" s="2"/>
    </row>
    <row r="333">
      <c r="A333" s="2"/>
      <c r="B333" s="2"/>
      <c r="C333" s="2"/>
      <c r="D333" s="2"/>
      <c r="E333" s="2"/>
      <c r="F333" s="2"/>
    </row>
    <row r="334">
      <c r="A334" s="2"/>
      <c r="B334" s="2"/>
      <c r="C334" s="2"/>
      <c r="D334" s="2"/>
      <c r="E334" s="2"/>
      <c r="F334" s="2"/>
    </row>
    <row r="335">
      <c r="A335" s="2"/>
      <c r="B335" s="2"/>
      <c r="C335" s="2"/>
      <c r="D335" s="2"/>
      <c r="E335" s="2"/>
      <c r="F335" s="2"/>
    </row>
    <row r="336">
      <c r="A336" s="2"/>
      <c r="B336" s="2"/>
      <c r="C336" s="2"/>
      <c r="D336" s="2"/>
      <c r="E336" s="2"/>
      <c r="F336" s="2"/>
    </row>
    <row r="337">
      <c r="A337" s="2"/>
      <c r="B337" s="2"/>
      <c r="C337" s="2"/>
      <c r="D337" s="2"/>
      <c r="E337" s="2"/>
      <c r="F337" s="2"/>
    </row>
    <row r="338">
      <c r="A338" s="2"/>
      <c r="B338" s="2"/>
      <c r="C338" s="2"/>
      <c r="D338" s="2"/>
      <c r="E338" s="2"/>
      <c r="F338" s="2"/>
    </row>
    <row r="339">
      <c r="A339" s="2"/>
      <c r="B339" s="2"/>
      <c r="C339" s="2"/>
      <c r="D339" s="2"/>
      <c r="E339" s="2"/>
      <c r="F339" s="2"/>
    </row>
    <row r="340">
      <c r="A340" s="2"/>
      <c r="B340" s="2"/>
      <c r="C340" s="2"/>
      <c r="D340" s="2"/>
      <c r="E340" s="2"/>
      <c r="F340" s="2"/>
    </row>
    <row r="341">
      <c r="A341" s="2"/>
      <c r="B341" s="2"/>
      <c r="C341" s="2"/>
      <c r="D341" s="2"/>
      <c r="E341" s="2"/>
      <c r="F341" s="2"/>
    </row>
    <row r="342">
      <c r="A342" s="2"/>
      <c r="B342" s="2"/>
      <c r="C342" s="2"/>
      <c r="D342" s="2"/>
      <c r="E342" s="2"/>
      <c r="F342" s="2"/>
    </row>
    <row r="343">
      <c r="A343" s="2"/>
      <c r="B343" s="2"/>
      <c r="C343" s="2"/>
      <c r="D343" s="2"/>
      <c r="E343" s="2"/>
      <c r="F343" s="2"/>
    </row>
    <row r="344">
      <c r="A344" s="2"/>
      <c r="B344" s="2"/>
      <c r="C344" s="2"/>
      <c r="D344" s="2"/>
      <c r="E344" s="2"/>
      <c r="F344" s="2"/>
    </row>
    <row r="345">
      <c r="A345" s="2"/>
      <c r="B345" s="2"/>
      <c r="C345" s="2"/>
      <c r="D345" s="2"/>
      <c r="E345" s="2"/>
      <c r="F345" s="2"/>
    </row>
    <row r="346">
      <c r="A346" s="2"/>
      <c r="B346" s="2"/>
      <c r="C346" s="2"/>
      <c r="D346" s="2"/>
      <c r="E346" s="2"/>
      <c r="F346" s="2"/>
    </row>
    <row r="347">
      <c r="A347" s="2"/>
      <c r="B347" s="2"/>
      <c r="C347" s="2"/>
      <c r="D347" s="2"/>
      <c r="E347" s="2"/>
      <c r="F347" s="2"/>
    </row>
    <row r="348">
      <c r="A348" s="2"/>
      <c r="B348" s="2"/>
      <c r="C348" s="2"/>
      <c r="D348" s="2"/>
      <c r="E348" s="2"/>
      <c r="F348" s="2"/>
    </row>
    <row r="349">
      <c r="A349" s="2"/>
      <c r="B349" s="2"/>
      <c r="C349" s="2"/>
      <c r="D349" s="2"/>
      <c r="E349" s="2"/>
      <c r="F349" s="2"/>
    </row>
    <row r="350">
      <c r="A350" s="2"/>
      <c r="B350" s="2"/>
      <c r="C350" s="2"/>
      <c r="D350" s="2"/>
      <c r="E350" s="2"/>
      <c r="F350" s="2"/>
    </row>
    <row r="351">
      <c r="A351" s="2"/>
      <c r="B351" s="2"/>
      <c r="C351" s="2"/>
      <c r="D351" s="2"/>
      <c r="E351" s="2"/>
      <c r="F351" s="2"/>
    </row>
    <row r="352">
      <c r="A352" s="2"/>
      <c r="B352" s="2"/>
      <c r="C352" s="2"/>
      <c r="D352" s="2"/>
      <c r="E352" s="2"/>
      <c r="F352" s="2"/>
    </row>
    <row r="353">
      <c r="A353" s="2"/>
      <c r="B353" s="2"/>
      <c r="C353" s="2"/>
      <c r="D353" s="2"/>
      <c r="E353" s="2"/>
      <c r="F353" s="2"/>
    </row>
    <row r="354">
      <c r="A354" s="2"/>
      <c r="B354" s="2"/>
      <c r="C354" s="2"/>
      <c r="D354" s="2"/>
      <c r="E354" s="2"/>
      <c r="F354" s="2"/>
    </row>
    <row r="355">
      <c r="A355" s="2"/>
      <c r="B355" s="2"/>
      <c r="C355" s="2"/>
      <c r="D355" s="2"/>
      <c r="E355" s="2"/>
      <c r="F355" s="2"/>
    </row>
    <row r="356">
      <c r="A356" s="2"/>
      <c r="B356" s="2"/>
      <c r="C356" s="2"/>
      <c r="D356" s="2"/>
      <c r="E356" s="2"/>
      <c r="F356" s="2"/>
    </row>
    <row r="357">
      <c r="A357" s="2"/>
      <c r="B357" s="2"/>
      <c r="C357" s="2"/>
      <c r="D357" s="2"/>
      <c r="E357" s="2"/>
      <c r="F357" s="2"/>
    </row>
    <row r="358">
      <c r="A358" s="2"/>
      <c r="B358" s="2"/>
      <c r="C358" s="2"/>
      <c r="D358" s="2"/>
      <c r="E358" s="2"/>
      <c r="F358" s="2"/>
    </row>
    <row r="359">
      <c r="A359" s="2"/>
      <c r="B359" s="2"/>
      <c r="C359" s="2"/>
      <c r="D359" s="2"/>
      <c r="E359" s="2"/>
      <c r="F359" s="2"/>
    </row>
    <row r="360">
      <c r="A360" s="2"/>
      <c r="B360" s="2"/>
      <c r="C360" s="2"/>
      <c r="D360" s="2"/>
      <c r="E360" s="2"/>
      <c r="F360" s="2"/>
    </row>
    <row r="361">
      <c r="A361" s="2"/>
      <c r="B361" s="2"/>
      <c r="C361" s="2"/>
      <c r="D361" s="2"/>
      <c r="E361" s="2"/>
      <c r="F361" s="2"/>
    </row>
    <row r="362">
      <c r="A362" s="2"/>
      <c r="B362" s="2"/>
      <c r="C362" s="2"/>
      <c r="D362" s="2"/>
      <c r="E362" s="2"/>
      <c r="F362" s="2"/>
    </row>
    <row r="363">
      <c r="A363" s="2"/>
      <c r="B363" s="2"/>
      <c r="C363" s="2"/>
      <c r="D363" s="2"/>
      <c r="E363" s="2"/>
      <c r="F363" s="2"/>
    </row>
    <row r="364">
      <c r="A364" s="2"/>
      <c r="B364" s="2"/>
      <c r="C364" s="2"/>
      <c r="D364" s="2"/>
      <c r="E364" s="2"/>
      <c r="F364" s="2"/>
    </row>
    <row r="365">
      <c r="A365" s="2"/>
      <c r="B365" s="2"/>
      <c r="C365" s="2"/>
      <c r="D365" s="2"/>
      <c r="E365" s="2"/>
      <c r="F365" s="2"/>
    </row>
    <row r="366">
      <c r="A366" s="2"/>
      <c r="B366" s="2"/>
      <c r="C366" s="2"/>
      <c r="D366" s="2"/>
      <c r="E366" s="2"/>
      <c r="F366" s="2"/>
    </row>
    <row r="367">
      <c r="A367" s="2"/>
      <c r="B367" s="2"/>
      <c r="C367" s="2"/>
      <c r="D367" s="2"/>
      <c r="E367" s="2"/>
      <c r="F367" s="2"/>
    </row>
    <row r="368">
      <c r="A368" s="2"/>
      <c r="B368" s="2"/>
      <c r="C368" s="2"/>
      <c r="D368" s="2"/>
      <c r="E368" s="2"/>
      <c r="F368" s="2"/>
    </row>
    <row r="369">
      <c r="A369" s="2"/>
      <c r="B369" s="2"/>
      <c r="C369" s="2"/>
      <c r="D369" s="2"/>
      <c r="E369" s="2"/>
      <c r="F369" s="2"/>
    </row>
    <row r="370">
      <c r="A370" s="2"/>
      <c r="B370" s="2"/>
      <c r="C370" s="2"/>
      <c r="D370" s="2"/>
      <c r="E370" s="2"/>
      <c r="F370" s="2"/>
    </row>
    <row r="371">
      <c r="A371" s="2"/>
      <c r="B371" s="2"/>
      <c r="C371" s="2"/>
      <c r="D371" s="2"/>
      <c r="E371" s="2"/>
      <c r="F371" s="2"/>
    </row>
    <row r="372">
      <c r="A372" s="2"/>
      <c r="B372" s="2"/>
      <c r="C372" s="2"/>
      <c r="D372" s="2"/>
      <c r="E372" s="2"/>
      <c r="F372" s="2"/>
    </row>
    <row r="373">
      <c r="A373" s="2"/>
      <c r="B373" s="2"/>
      <c r="C373" s="2"/>
      <c r="D373" s="2"/>
      <c r="E373" s="2"/>
      <c r="F373" s="2"/>
    </row>
    <row r="374">
      <c r="A374" s="2"/>
      <c r="B374" s="2"/>
      <c r="C374" s="2"/>
      <c r="D374" s="2"/>
      <c r="E374" s="2"/>
      <c r="F374" s="2"/>
    </row>
    <row r="375">
      <c r="A375" s="2"/>
      <c r="B375" s="2"/>
      <c r="C375" s="2"/>
      <c r="D375" s="2"/>
      <c r="E375" s="2"/>
      <c r="F375" s="2"/>
    </row>
    <row r="376">
      <c r="A376" s="2"/>
      <c r="B376" s="2"/>
      <c r="C376" s="2"/>
      <c r="D376" s="2"/>
      <c r="E376" s="2"/>
      <c r="F376" s="2"/>
    </row>
    <row r="377">
      <c r="A377" s="2"/>
      <c r="B377" s="2"/>
      <c r="C377" s="2"/>
      <c r="D377" s="2"/>
      <c r="E377" s="2"/>
      <c r="F377" s="2"/>
    </row>
    <row r="378">
      <c r="A378" s="2"/>
      <c r="B378" s="2"/>
      <c r="C378" s="2"/>
      <c r="D378" s="2"/>
      <c r="E378" s="2"/>
      <c r="F378" s="2"/>
    </row>
    <row r="379">
      <c r="A379" s="2"/>
      <c r="B379" s="2"/>
      <c r="C379" s="2"/>
      <c r="D379" s="2"/>
      <c r="E379" s="2"/>
      <c r="F379" s="2"/>
    </row>
    <row r="380">
      <c r="A380" s="2"/>
      <c r="B380" s="2"/>
      <c r="C380" s="2"/>
      <c r="D380" s="2"/>
      <c r="E380" s="2"/>
      <c r="F380" s="2"/>
    </row>
    <row r="381">
      <c r="A381" s="2"/>
      <c r="B381" s="2"/>
      <c r="C381" s="2"/>
      <c r="D381" s="2"/>
      <c r="E381" s="2"/>
      <c r="F381" s="2"/>
    </row>
    <row r="382">
      <c r="A382" s="2"/>
      <c r="B382" s="2"/>
      <c r="C382" s="2"/>
      <c r="D382" s="2"/>
      <c r="E382" s="2"/>
      <c r="F382" s="2"/>
    </row>
    <row r="383">
      <c r="A383" s="2"/>
      <c r="B383" s="2"/>
      <c r="C383" s="2"/>
      <c r="D383" s="2"/>
      <c r="E383" s="2"/>
      <c r="F383" s="2"/>
    </row>
    <row r="384">
      <c r="A384" s="2"/>
      <c r="B384" s="2"/>
      <c r="C384" s="2"/>
      <c r="D384" s="2"/>
      <c r="E384" s="2"/>
      <c r="F384" s="2"/>
    </row>
    <row r="385">
      <c r="A385" s="2"/>
      <c r="B385" s="2"/>
      <c r="C385" s="2"/>
      <c r="D385" s="2"/>
      <c r="E385" s="2"/>
      <c r="F385" s="2"/>
    </row>
    <row r="386">
      <c r="A386" s="2"/>
      <c r="B386" s="2"/>
      <c r="C386" s="2"/>
      <c r="D386" s="2"/>
      <c r="E386" s="2"/>
      <c r="F386" s="2"/>
    </row>
    <row r="387">
      <c r="A387" s="2"/>
      <c r="B387" s="2"/>
      <c r="C387" s="2"/>
      <c r="D387" s="2"/>
      <c r="E387" s="2"/>
      <c r="F387" s="2"/>
    </row>
    <row r="388">
      <c r="A388" s="2"/>
      <c r="B388" s="2"/>
      <c r="C388" s="2"/>
      <c r="D388" s="2"/>
      <c r="E388" s="2"/>
      <c r="F388" s="2"/>
    </row>
    <row r="389">
      <c r="A389" s="2"/>
      <c r="B389" s="2"/>
      <c r="C389" s="2"/>
      <c r="D389" s="2"/>
      <c r="E389" s="2"/>
      <c r="F389" s="2"/>
    </row>
    <row r="390">
      <c r="A390" s="2"/>
      <c r="B390" s="2"/>
      <c r="C390" s="2"/>
      <c r="D390" s="2"/>
      <c r="E390" s="2"/>
      <c r="F390" s="2"/>
    </row>
    <row r="391">
      <c r="A391" s="2"/>
      <c r="B391" s="2"/>
      <c r="C391" s="2"/>
      <c r="D391" s="2"/>
      <c r="E391" s="2"/>
      <c r="F391" s="2"/>
    </row>
    <row r="392">
      <c r="A392" s="2"/>
      <c r="B392" s="2"/>
      <c r="C392" s="2"/>
      <c r="D392" s="2"/>
      <c r="E392" s="2"/>
      <c r="F392" s="2"/>
    </row>
    <row r="393">
      <c r="A393" s="2"/>
      <c r="B393" s="2"/>
      <c r="C393" s="2"/>
      <c r="D393" s="2"/>
      <c r="E393" s="2"/>
      <c r="F393" s="2"/>
    </row>
    <row r="394">
      <c r="A394" s="2"/>
      <c r="B394" s="2"/>
      <c r="C394" s="2"/>
      <c r="D394" s="2"/>
      <c r="E394" s="2"/>
      <c r="F394" s="2"/>
    </row>
    <row r="395">
      <c r="A395" s="2"/>
      <c r="B395" s="2"/>
      <c r="C395" s="2"/>
      <c r="D395" s="2"/>
      <c r="E395" s="2"/>
      <c r="F395" s="2"/>
    </row>
    <row r="396">
      <c r="A396" s="2"/>
      <c r="B396" s="2"/>
      <c r="C396" s="2"/>
      <c r="D396" s="2"/>
      <c r="E396" s="2"/>
      <c r="F396" s="2"/>
    </row>
    <row r="397">
      <c r="A397" s="2"/>
      <c r="B397" s="2"/>
      <c r="C397" s="2"/>
      <c r="D397" s="2"/>
      <c r="E397" s="2"/>
      <c r="F397" s="2"/>
    </row>
    <row r="398">
      <c r="A398" s="2"/>
      <c r="B398" s="2"/>
      <c r="C398" s="2"/>
      <c r="D398" s="2"/>
      <c r="E398" s="2"/>
      <c r="F398" s="2"/>
    </row>
    <row r="399">
      <c r="A399" s="2"/>
      <c r="B399" s="2"/>
      <c r="C399" s="2"/>
      <c r="D399" s="2"/>
      <c r="E399" s="2"/>
      <c r="F399" s="2"/>
    </row>
    <row r="400">
      <c r="A400" s="2"/>
      <c r="B400" s="2"/>
      <c r="C400" s="2"/>
      <c r="D400" s="2"/>
      <c r="E400" s="2"/>
      <c r="F400" s="2"/>
    </row>
    <row r="401">
      <c r="A401" s="2"/>
      <c r="B401" s="2"/>
      <c r="C401" s="2"/>
      <c r="D401" s="2"/>
      <c r="E401" s="2"/>
      <c r="F401" s="2"/>
    </row>
    <row r="402">
      <c r="A402" s="2"/>
      <c r="B402" s="2"/>
      <c r="C402" s="2"/>
      <c r="D402" s="2"/>
      <c r="E402" s="2"/>
      <c r="F402" s="2"/>
    </row>
    <row r="403">
      <c r="A403" s="2"/>
      <c r="B403" s="2"/>
      <c r="C403" s="2"/>
      <c r="D403" s="2"/>
      <c r="E403" s="2"/>
      <c r="F403" s="2"/>
    </row>
    <row r="404">
      <c r="A404" s="2"/>
      <c r="B404" s="2"/>
      <c r="C404" s="2"/>
      <c r="D404" s="2"/>
      <c r="E404" s="2"/>
      <c r="F404" s="2"/>
    </row>
    <row r="405">
      <c r="A405" s="2"/>
      <c r="B405" s="2"/>
      <c r="C405" s="2"/>
      <c r="D405" s="2"/>
      <c r="E405" s="2"/>
      <c r="F405" s="2"/>
    </row>
    <row r="406">
      <c r="A406" s="2"/>
      <c r="B406" s="2"/>
      <c r="C406" s="2"/>
      <c r="D406" s="2"/>
      <c r="E406" s="2"/>
      <c r="F406" s="2"/>
    </row>
    <row r="407">
      <c r="A407" s="2"/>
      <c r="B407" s="2"/>
      <c r="C407" s="2"/>
      <c r="D407" s="2"/>
      <c r="E407" s="2"/>
      <c r="F407" s="2"/>
    </row>
    <row r="408">
      <c r="A408" s="2"/>
      <c r="B408" s="2"/>
      <c r="C408" s="2"/>
      <c r="D408" s="2"/>
      <c r="E408" s="2"/>
      <c r="F408" s="2"/>
    </row>
    <row r="409">
      <c r="A409" s="2"/>
      <c r="B409" s="2"/>
      <c r="C409" s="2"/>
      <c r="D409" s="2"/>
      <c r="E409" s="2"/>
      <c r="F409" s="2"/>
    </row>
    <row r="410">
      <c r="A410" s="2"/>
      <c r="B410" s="2"/>
      <c r="C410" s="2"/>
      <c r="D410" s="2"/>
      <c r="E410" s="2"/>
      <c r="F410" s="2"/>
    </row>
    <row r="411">
      <c r="A411" s="2"/>
      <c r="B411" s="2"/>
      <c r="C411" s="2"/>
      <c r="D411" s="2"/>
      <c r="E411" s="2"/>
      <c r="F411" s="2"/>
    </row>
    <row r="412">
      <c r="A412" s="2"/>
      <c r="B412" s="2"/>
      <c r="C412" s="2"/>
      <c r="D412" s="2"/>
      <c r="E412" s="2"/>
      <c r="F412" s="2"/>
    </row>
    <row r="413">
      <c r="A413" s="2"/>
      <c r="B413" s="2"/>
      <c r="C413" s="2"/>
      <c r="D413" s="2"/>
      <c r="E413" s="2"/>
      <c r="F413" s="2"/>
    </row>
    <row r="414">
      <c r="A414" s="2"/>
      <c r="B414" s="2"/>
      <c r="C414" s="2"/>
      <c r="D414" s="2"/>
      <c r="E414" s="2"/>
      <c r="F414" s="2"/>
    </row>
    <row r="415">
      <c r="A415" s="2"/>
      <c r="B415" s="2"/>
      <c r="C415" s="2"/>
      <c r="D415" s="2"/>
      <c r="E415" s="2"/>
      <c r="F415" s="2"/>
    </row>
    <row r="416">
      <c r="A416" s="2"/>
      <c r="B416" s="2"/>
      <c r="C416" s="2"/>
      <c r="D416" s="2"/>
      <c r="E416" s="2"/>
      <c r="F416" s="2"/>
    </row>
    <row r="417">
      <c r="A417" s="2"/>
      <c r="B417" s="2"/>
      <c r="C417" s="2"/>
      <c r="D417" s="2"/>
      <c r="E417" s="2"/>
      <c r="F417" s="2"/>
    </row>
    <row r="418">
      <c r="A418" s="2"/>
      <c r="B418" s="2"/>
      <c r="C418" s="2"/>
      <c r="D418" s="2"/>
      <c r="E418" s="2"/>
      <c r="F418" s="2"/>
    </row>
    <row r="419">
      <c r="A419" s="2"/>
      <c r="B419" s="2"/>
      <c r="C419" s="2"/>
      <c r="D419" s="2"/>
      <c r="E419" s="2"/>
      <c r="F419" s="2"/>
    </row>
    <row r="420">
      <c r="A420" s="2"/>
      <c r="B420" s="2"/>
      <c r="C420" s="2"/>
      <c r="D420" s="2"/>
      <c r="E420" s="2"/>
      <c r="F420" s="2"/>
    </row>
    <row r="421">
      <c r="A421" s="2"/>
      <c r="B421" s="2"/>
      <c r="C421" s="2"/>
      <c r="D421" s="2"/>
      <c r="E421" s="2"/>
      <c r="F421" s="2"/>
    </row>
    <row r="422">
      <c r="A422" s="2"/>
      <c r="B422" s="2"/>
      <c r="C422" s="2"/>
      <c r="D422" s="2"/>
      <c r="E422" s="2"/>
      <c r="F422" s="2"/>
    </row>
    <row r="423">
      <c r="A423" s="2"/>
      <c r="B423" s="2"/>
      <c r="C423" s="2"/>
      <c r="D423" s="2"/>
      <c r="E423" s="2"/>
      <c r="F423" s="2"/>
    </row>
    <row r="424">
      <c r="A424" s="2"/>
      <c r="B424" s="2"/>
      <c r="C424" s="2"/>
      <c r="D424" s="2"/>
      <c r="E424" s="2"/>
      <c r="F424" s="2"/>
    </row>
    <row r="425">
      <c r="A425" s="2"/>
      <c r="B425" s="2"/>
      <c r="C425" s="2"/>
      <c r="D425" s="2"/>
      <c r="E425" s="2"/>
      <c r="F425" s="2"/>
    </row>
    <row r="426">
      <c r="A426" s="2"/>
      <c r="B426" s="2"/>
      <c r="C426" s="2"/>
      <c r="D426" s="2"/>
      <c r="E426" s="2"/>
      <c r="F426" s="2"/>
    </row>
    <row r="427">
      <c r="A427" s="2"/>
      <c r="B427" s="2"/>
      <c r="C427" s="2"/>
      <c r="D427" s="2"/>
      <c r="E427" s="2"/>
      <c r="F427" s="2"/>
    </row>
    <row r="428">
      <c r="A428" s="2"/>
      <c r="B428" s="2"/>
      <c r="C428" s="2"/>
      <c r="D428" s="2"/>
      <c r="E428" s="2"/>
      <c r="F428" s="2"/>
    </row>
    <row r="429">
      <c r="A429" s="2"/>
      <c r="B429" s="2"/>
      <c r="C429" s="2"/>
      <c r="D429" s="2"/>
      <c r="E429" s="2"/>
      <c r="F429" s="2"/>
    </row>
    <row r="430">
      <c r="A430" s="2"/>
      <c r="B430" s="2"/>
      <c r="C430" s="2"/>
      <c r="D430" s="2"/>
      <c r="E430" s="2"/>
      <c r="F430" s="2"/>
    </row>
    <row r="431">
      <c r="A431" s="2"/>
      <c r="B431" s="2"/>
      <c r="C431" s="2"/>
      <c r="D431" s="2"/>
      <c r="E431" s="2"/>
      <c r="F431" s="2"/>
    </row>
    <row r="432">
      <c r="A432" s="2"/>
      <c r="B432" s="2"/>
      <c r="C432" s="2"/>
      <c r="D432" s="2"/>
      <c r="E432" s="2"/>
      <c r="F432" s="2"/>
    </row>
    <row r="433">
      <c r="A433" s="2"/>
      <c r="B433" s="2"/>
      <c r="C433" s="2"/>
      <c r="D433" s="2"/>
      <c r="E433" s="2"/>
      <c r="F433" s="2"/>
    </row>
    <row r="434">
      <c r="A434" s="2"/>
      <c r="B434" s="2"/>
      <c r="C434" s="2"/>
      <c r="D434" s="2"/>
      <c r="E434" s="2"/>
      <c r="F434" s="2"/>
    </row>
    <row r="435">
      <c r="A435" s="2"/>
      <c r="B435" s="2"/>
      <c r="C435" s="2"/>
      <c r="D435" s="2"/>
      <c r="E435" s="2"/>
      <c r="F435" s="2"/>
    </row>
    <row r="436">
      <c r="A436" s="2"/>
      <c r="B436" s="2"/>
      <c r="C436" s="2"/>
      <c r="D436" s="2"/>
      <c r="E436" s="2"/>
      <c r="F436" s="2"/>
    </row>
    <row r="437">
      <c r="A437" s="2"/>
      <c r="B437" s="2"/>
      <c r="C437" s="2"/>
      <c r="D437" s="2"/>
      <c r="E437" s="2"/>
      <c r="F437" s="2"/>
    </row>
    <row r="438">
      <c r="A438" s="2"/>
      <c r="B438" s="2"/>
      <c r="C438" s="2"/>
      <c r="D438" s="2"/>
      <c r="E438" s="2"/>
      <c r="F438" s="2"/>
    </row>
    <row r="439">
      <c r="A439" s="2"/>
      <c r="B439" s="2"/>
      <c r="C439" s="2"/>
      <c r="D439" s="2"/>
      <c r="E439" s="2"/>
      <c r="F439" s="2"/>
    </row>
    <row r="440">
      <c r="A440" s="2"/>
      <c r="B440" s="2"/>
      <c r="C440" s="2"/>
      <c r="D440" s="2"/>
      <c r="E440" s="2"/>
      <c r="F440" s="2"/>
    </row>
    <row r="441">
      <c r="A441" s="2"/>
      <c r="B441" s="2"/>
      <c r="C441" s="2"/>
      <c r="D441" s="2"/>
      <c r="E441" s="2"/>
      <c r="F441" s="2"/>
    </row>
    <row r="442">
      <c r="A442" s="2"/>
      <c r="B442" s="2"/>
      <c r="C442" s="2"/>
      <c r="D442" s="2"/>
      <c r="E442" s="2"/>
      <c r="F442" s="2"/>
    </row>
    <row r="443">
      <c r="A443" s="2"/>
      <c r="B443" s="2"/>
      <c r="C443" s="2"/>
      <c r="D443" s="2"/>
      <c r="E443" s="2"/>
      <c r="F443" s="2"/>
    </row>
    <row r="444">
      <c r="A444" s="2"/>
      <c r="B444" s="2"/>
      <c r="C444" s="2"/>
      <c r="D444" s="2"/>
      <c r="E444" s="2"/>
      <c r="F444" s="2"/>
    </row>
    <row r="445">
      <c r="A445" s="2"/>
      <c r="B445" s="2"/>
      <c r="C445" s="2"/>
      <c r="D445" s="2"/>
      <c r="E445" s="2"/>
      <c r="F445" s="2"/>
    </row>
    <row r="446">
      <c r="A446" s="2"/>
      <c r="B446" s="2"/>
      <c r="C446" s="2"/>
      <c r="D446" s="2"/>
      <c r="E446" s="2"/>
      <c r="F446" s="2"/>
    </row>
    <row r="447">
      <c r="A447" s="2"/>
      <c r="B447" s="2"/>
      <c r="C447" s="2"/>
      <c r="D447" s="2"/>
      <c r="E447" s="2"/>
      <c r="F447" s="2"/>
    </row>
    <row r="448">
      <c r="A448" s="2"/>
      <c r="B448" s="2"/>
      <c r="C448" s="2"/>
      <c r="D448" s="2"/>
      <c r="E448" s="2"/>
      <c r="F448" s="2"/>
    </row>
    <row r="449">
      <c r="A449" s="2"/>
      <c r="B449" s="2"/>
      <c r="C449" s="2"/>
      <c r="D449" s="2"/>
      <c r="E449" s="2"/>
      <c r="F449" s="2"/>
    </row>
    <row r="450">
      <c r="A450" s="2"/>
      <c r="B450" s="2"/>
      <c r="C450" s="2"/>
      <c r="D450" s="2"/>
      <c r="E450" s="2"/>
      <c r="F450" s="2"/>
    </row>
    <row r="451">
      <c r="A451" s="2"/>
      <c r="B451" s="2"/>
      <c r="C451" s="2"/>
      <c r="D451" s="2"/>
      <c r="E451" s="2"/>
      <c r="F451" s="2"/>
    </row>
    <row r="452">
      <c r="A452" s="2"/>
      <c r="B452" s="2"/>
      <c r="C452" s="2"/>
      <c r="D452" s="2"/>
      <c r="E452" s="2"/>
      <c r="F452" s="2"/>
    </row>
    <row r="453">
      <c r="A453" s="2"/>
      <c r="B453" s="2"/>
      <c r="C453" s="2"/>
      <c r="D453" s="2"/>
      <c r="E453" s="2"/>
      <c r="F453" s="2"/>
    </row>
    <row r="454">
      <c r="A454" s="2"/>
      <c r="B454" s="2"/>
      <c r="C454" s="2"/>
      <c r="D454" s="2"/>
      <c r="E454" s="2"/>
      <c r="F454" s="2"/>
    </row>
    <row r="455">
      <c r="A455" s="2"/>
      <c r="B455" s="2"/>
      <c r="C455" s="2"/>
      <c r="D455" s="2"/>
      <c r="E455" s="2"/>
      <c r="F455" s="2"/>
    </row>
    <row r="456">
      <c r="A456" s="2"/>
      <c r="B456" s="2"/>
      <c r="C456" s="2"/>
      <c r="D456" s="2"/>
      <c r="E456" s="2"/>
      <c r="F456" s="2"/>
    </row>
    <row r="457">
      <c r="A457" s="2"/>
      <c r="B457" s="2"/>
      <c r="C457" s="2"/>
      <c r="D457" s="2"/>
      <c r="E457" s="2"/>
      <c r="F457" s="2"/>
    </row>
    <row r="458">
      <c r="A458" s="2"/>
      <c r="B458" s="2"/>
      <c r="C458" s="2"/>
      <c r="D458" s="2"/>
      <c r="E458" s="2"/>
      <c r="F458" s="2"/>
    </row>
    <row r="459">
      <c r="A459" s="2"/>
      <c r="B459" s="2"/>
      <c r="C459" s="2"/>
      <c r="D459" s="2"/>
      <c r="E459" s="2"/>
      <c r="F459" s="2"/>
    </row>
    <row r="460">
      <c r="A460" s="2"/>
      <c r="B460" s="2"/>
      <c r="C460" s="2"/>
      <c r="D460" s="2"/>
      <c r="E460" s="2"/>
      <c r="F460" s="2"/>
    </row>
    <row r="461">
      <c r="A461" s="2"/>
      <c r="B461" s="2"/>
      <c r="C461" s="2"/>
      <c r="D461" s="2"/>
      <c r="E461" s="2"/>
      <c r="F461" s="2"/>
    </row>
    <row r="462">
      <c r="A462" s="2"/>
      <c r="B462" s="2"/>
      <c r="C462" s="2"/>
      <c r="D462" s="2"/>
      <c r="E462" s="2"/>
      <c r="F462" s="2"/>
    </row>
    <row r="463">
      <c r="A463" s="2"/>
      <c r="B463" s="2"/>
      <c r="C463" s="2"/>
      <c r="D463" s="2"/>
      <c r="E463" s="2"/>
      <c r="F463" s="2"/>
    </row>
    <row r="464">
      <c r="A464" s="2"/>
      <c r="B464" s="2"/>
      <c r="C464" s="2"/>
      <c r="D464" s="2"/>
      <c r="E464" s="2"/>
      <c r="F464" s="2"/>
    </row>
    <row r="465">
      <c r="A465" s="2"/>
      <c r="B465" s="2"/>
      <c r="C465" s="2"/>
      <c r="D465" s="2"/>
      <c r="E465" s="2"/>
      <c r="F465" s="2"/>
    </row>
    <row r="466">
      <c r="A466" s="2"/>
      <c r="B466" s="2"/>
      <c r="C466" s="2"/>
      <c r="D466" s="2"/>
      <c r="E466" s="2"/>
      <c r="F466" s="2"/>
    </row>
    <row r="467">
      <c r="A467" s="2"/>
      <c r="B467" s="2"/>
      <c r="C467" s="2"/>
      <c r="D467" s="2"/>
      <c r="E467" s="2"/>
      <c r="F467" s="2"/>
    </row>
    <row r="468">
      <c r="A468" s="2"/>
      <c r="B468" s="2"/>
      <c r="C468" s="2"/>
      <c r="D468" s="2"/>
      <c r="E468" s="2"/>
      <c r="F468" s="2"/>
    </row>
    <row r="469">
      <c r="A469" s="2"/>
      <c r="B469" s="2"/>
      <c r="C469" s="2"/>
      <c r="D469" s="2"/>
      <c r="E469" s="2"/>
      <c r="F469" s="2"/>
    </row>
    <row r="470">
      <c r="A470" s="2"/>
      <c r="B470" s="2"/>
      <c r="C470" s="2"/>
      <c r="D470" s="2"/>
      <c r="E470" s="2"/>
      <c r="F470" s="2"/>
    </row>
    <row r="471">
      <c r="A471" s="2"/>
      <c r="B471" s="2"/>
      <c r="C471" s="2"/>
      <c r="D471" s="2"/>
      <c r="E471" s="2"/>
      <c r="F471" s="2"/>
    </row>
    <row r="472">
      <c r="A472" s="2"/>
      <c r="B472" s="2"/>
      <c r="C472" s="2"/>
      <c r="D472" s="2"/>
      <c r="E472" s="2"/>
      <c r="F472" s="2"/>
    </row>
    <row r="473">
      <c r="A473" s="2"/>
      <c r="B473" s="2"/>
      <c r="C473" s="2"/>
      <c r="D473" s="2"/>
      <c r="E473" s="2"/>
      <c r="F473" s="2"/>
    </row>
    <row r="474">
      <c r="A474" s="2"/>
      <c r="B474" s="2"/>
      <c r="C474" s="2"/>
      <c r="D474" s="2"/>
      <c r="E474" s="2"/>
      <c r="F474" s="2"/>
    </row>
    <row r="475">
      <c r="A475" s="2"/>
      <c r="B475" s="2"/>
      <c r="C475" s="2"/>
      <c r="D475" s="2"/>
      <c r="E475" s="2"/>
      <c r="F475" s="2"/>
    </row>
    <row r="476">
      <c r="A476" s="2"/>
      <c r="B476" s="2"/>
      <c r="C476" s="2"/>
      <c r="D476" s="2"/>
      <c r="E476" s="2"/>
      <c r="F476" s="2"/>
    </row>
    <row r="477">
      <c r="A477" s="2"/>
      <c r="B477" s="2"/>
      <c r="C477" s="2"/>
      <c r="D477" s="2"/>
      <c r="E477" s="2"/>
      <c r="F477" s="2"/>
    </row>
    <row r="478">
      <c r="A478" s="2"/>
      <c r="B478" s="2"/>
      <c r="C478" s="2"/>
      <c r="D478" s="2"/>
      <c r="E478" s="2"/>
      <c r="F478" s="2"/>
    </row>
    <row r="479">
      <c r="A479" s="2"/>
      <c r="B479" s="2"/>
      <c r="C479" s="2"/>
      <c r="D479" s="2"/>
      <c r="E479" s="2"/>
      <c r="F479" s="2"/>
    </row>
    <row r="480">
      <c r="A480" s="2"/>
      <c r="B480" s="2"/>
      <c r="C480" s="2"/>
      <c r="D480" s="2"/>
      <c r="E480" s="2"/>
      <c r="F480" s="2"/>
    </row>
    <row r="481">
      <c r="A481" s="2"/>
      <c r="B481" s="2"/>
      <c r="C481" s="2"/>
      <c r="D481" s="2"/>
      <c r="E481" s="2"/>
      <c r="F481" s="2"/>
    </row>
    <row r="482">
      <c r="A482" s="2"/>
      <c r="B482" s="2"/>
      <c r="C482" s="2"/>
      <c r="D482" s="2"/>
      <c r="E482" s="2"/>
      <c r="F482" s="2"/>
    </row>
    <row r="483">
      <c r="A483" s="2"/>
      <c r="B483" s="2"/>
      <c r="C483" s="2"/>
      <c r="D483" s="2"/>
      <c r="E483" s="2"/>
      <c r="F483" s="2"/>
    </row>
    <row r="484">
      <c r="A484" s="2"/>
      <c r="B484" s="2"/>
      <c r="C484" s="2"/>
      <c r="D484" s="2"/>
      <c r="E484" s="2"/>
      <c r="F484" s="2"/>
    </row>
    <row r="485">
      <c r="A485" s="2"/>
      <c r="B485" s="2"/>
      <c r="C485" s="2"/>
      <c r="D485" s="2"/>
      <c r="E485" s="2"/>
      <c r="F485" s="2"/>
    </row>
    <row r="486">
      <c r="A486" s="2"/>
      <c r="B486" s="2"/>
      <c r="C486" s="2"/>
      <c r="D486" s="2"/>
      <c r="E486" s="2"/>
      <c r="F486" s="2"/>
    </row>
    <row r="487">
      <c r="A487" s="2"/>
      <c r="B487" s="2"/>
      <c r="C487" s="2"/>
      <c r="D487" s="2"/>
      <c r="E487" s="2"/>
      <c r="F487" s="2"/>
    </row>
    <row r="488">
      <c r="A488" s="2"/>
      <c r="B488" s="2"/>
      <c r="C488" s="2"/>
      <c r="D488" s="2"/>
      <c r="E488" s="2"/>
      <c r="F488" s="2"/>
    </row>
    <row r="489">
      <c r="A489" s="2"/>
      <c r="B489" s="2"/>
      <c r="C489" s="2"/>
      <c r="D489" s="2"/>
      <c r="E489" s="2"/>
      <c r="F489" s="2"/>
    </row>
    <row r="490">
      <c r="A490" s="2"/>
      <c r="B490" s="2"/>
      <c r="C490" s="2"/>
      <c r="D490" s="2"/>
      <c r="E490" s="2"/>
      <c r="F490" s="2"/>
    </row>
    <row r="491">
      <c r="A491" s="2"/>
      <c r="B491" s="2"/>
      <c r="C491" s="2"/>
      <c r="D491" s="2"/>
      <c r="E491" s="2"/>
      <c r="F491" s="2"/>
    </row>
    <row r="492">
      <c r="A492" s="2"/>
      <c r="B492" s="2"/>
      <c r="C492" s="2"/>
      <c r="D492" s="2"/>
      <c r="E492" s="2"/>
      <c r="F492" s="2"/>
    </row>
    <row r="493">
      <c r="A493" s="2"/>
      <c r="B493" s="2"/>
      <c r="C493" s="2"/>
      <c r="D493" s="2"/>
      <c r="E493" s="2"/>
      <c r="F493" s="2"/>
    </row>
    <row r="494">
      <c r="A494" s="2"/>
      <c r="B494" s="2"/>
      <c r="C494" s="2"/>
      <c r="D494" s="2"/>
      <c r="E494" s="2"/>
      <c r="F494" s="2"/>
    </row>
    <row r="495">
      <c r="A495" s="2"/>
      <c r="B495" s="2"/>
      <c r="C495" s="2"/>
      <c r="D495" s="2"/>
      <c r="E495" s="2"/>
      <c r="F495" s="2"/>
    </row>
    <row r="496">
      <c r="A496" s="2"/>
      <c r="B496" s="2"/>
      <c r="C496" s="2"/>
      <c r="D496" s="2"/>
      <c r="E496" s="2"/>
      <c r="F496" s="2"/>
    </row>
    <row r="497">
      <c r="A497" s="2"/>
      <c r="B497" s="2"/>
      <c r="C497" s="2"/>
      <c r="D497" s="2"/>
      <c r="E497" s="2"/>
      <c r="F497" s="2"/>
    </row>
    <row r="498">
      <c r="A498" s="2"/>
      <c r="B498" s="2"/>
      <c r="C498" s="2"/>
      <c r="D498" s="2"/>
      <c r="E498" s="2"/>
      <c r="F498" s="2"/>
    </row>
    <row r="499">
      <c r="A499" s="2"/>
      <c r="B499" s="2"/>
      <c r="C499" s="2"/>
      <c r="D499" s="2"/>
      <c r="E499" s="2"/>
      <c r="F499" s="2"/>
    </row>
    <row r="500">
      <c r="A500" s="2"/>
      <c r="B500" s="2"/>
      <c r="C500" s="2"/>
      <c r="D500" s="2"/>
      <c r="E500" s="2"/>
      <c r="F500" s="2"/>
    </row>
    <row r="501">
      <c r="A501" s="2"/>
      <c r="B501" s="2"/>
      <c r="C501" s="2"/>
      <c r="D501" s="2"/>
      <c r="E501" s="2"/>
      <c r="F501" s="2"/>
    </row>
    <row r="502">
      <c r="A502" s="2"/>
      <c r="B502" s="2"/>
      <c r="C502" s="2"/>
      <c r="D502" s="2"/>
      <c r="E502" s="2"/>
      <c r="F502" s="2"/>
    </row>
    <row r="503">
      <c r="A503" s="2"/>
      <c r="B503" s="2"/>
      <c r="C503" s="2"/>
      <c r="D503" s="2"/>
      <c r="E503" s="2"/>
      <c r="F503" s="2"/>
    </row>
    <row r="504">
      <c r="A504" s="2"/>
      <c r="B504" s="2"/>
      <c r="C504" s="2"/>
      <c r="D504" s="2"/>
      <c r="E504" s="2"/>
      <c r="F504" s="2"/>
    </row>
    <row r="505">
      <c r="A505" s="2"/>
      <c r="B505" s="2"/>
      <c r="C505" s="2"/>
      <c r="D505" s="2"/>
      <c r="E505" s="2"/>
      <c r="F505" s="2"/>
    </row>
    <row r="506">
      <c r="A506" s="2"/>
      <c r="B506" s="2"/>
      <c r="C506" s="2"/>
      <c r="D506" s="2"/>
      <c r="E506" s="2"/>
      <c r="F506" s="2"/>
    </row>
    <row r="507">
      <c r="A507" s="2"/>
      <c r="B507" s="2"/>
      <c r="C507" s="2"/>
      <c r="D507" s="2"/>
      <c r="E507" s="2"/>
      <c r="F507" s="2"/>
    </row>
    <row r="508">
      <c r="A508" s="2"/>
      <c r="B508" s="2"/>
      <c r="C508" s="2"/>
      <c r="D508" s="2"/>
      <c r="E508" s="2"/>
      <c r="F508" s="2"/>
    </row>
    <row r="509">
      <c r="A509" s="2"/>
      <c r="B509" s="2"/>
      <c r="C509" s="2"/>
      <c r="D509" s="2"/>
      <c r="E509" s="2"/>
      <c r="F509" s="2"/>
    </row>
    <row r="510">
      <c r="A510" s="2"/>
      <c r="B510" s="2"/>
      <c r="C510" s="2"/>
      <c r="D510" s="2"/>
      <c r="E510" s="2"/>
      <c r="F510" s="2"/>
    </row>
    <row r="511">
      <c r="A511" s="2"/>
      <c r="B511" s="2"/>
      <c r="C511" s="2"/>
      <c r="D511" s="2"/>
      <c r="E511" s="2"/>
      <c r="F511" s="2"/>
    </row>
    <row r="512">
      <c r="A512" s="2"/>
      <c r="B512" s="2"/>
      <c r="C512" s="2"/>
      <c r="D512" s="2"/>
      <c r="E512" s="2"/>
      <c r="F512" s="2"/>
    </row>
    <row r="513">
      <c r="A513" s="2"/>
      <c r="B513" s="2"/>
      <c r="C513" s="2"/>
      <c r="D513" s="2"/>
      <c r="E513" s="2"/>
      <c r="F513" s="2"/>
    </row>
    <row r="514">
      <c r="A514" s="2"/>
      <c r="B514" s="2"/>
      <c r="C514" s="2"/>
      <c r="D514" s="2"/>
      <c r="E514" s="2"/>
      <c r="F514" s="2"/>
    </row>
    <row r="515">
      <c r="A515" s="2"/>
      <c r="B515" s="2"/>
      <c r="C515" s="2"/>
      <c r="D515" s="2"/>
      <c r="E515" s="2"/>
      <c r="F515" s="2"/>
    </row>
    <row r="516">
      <c r="A516" s="2"/>
      <c r="B516" s="2"/>
      <c r="C516" s="2"/>
      <c r="D516" s="2"/>
      <c r="E516" s="2"/>
      <c r="F516" s="2"/>
    </row>
    <row r="517">
      <c r="A517" s="2"/>
      <c r="B517" s="2"/>
      <c r="C517" s="2"/>
      <c r="D517" s="2"/>
      <c r="E517" s="2"/>
      <c r="F517" s="2"/>
    </row>
    <row r="518">
      <c r="A518" s="2"/>
      <c r="B518" s="2"/>
      <c r="C518" s="2"/>
      <c r="D518" s="2"/>
      <c r="E518" s="2"/>
      <c r="F518" s="2"/>
    </row>
    <row r="519">
      <c r="A519" s="2"/>
      <c r="B519" s="2"/>
      <c r="C519" s="2"/>
      <c r="D519" s="2"/>
      <c r="E519" s="2"/>
      <c r="F519" s="2"/>
    </row>
    <row r="520">
      <c r="A520" s="2"/>
      <c r="B520" s="2"/>
      <c r="C520" s="2"/>
      <c r="D520" s="2"/>
      <c r="E520" s="2"/>
      <c r="F520" s="2"/>
    </row>
    <row r="521">
      <c r="A521" s="2"/>
      <c r="B521" s="2"/>
      <c r="C521" s="2"/>
      <c r="D521" s="2"/>
      <c r="E521" s="2"/>
      <c r="F521" s="2"/>
    </row>
    <row r="522">
      <c r="A522" s="2"/>
      <c r="B522" s="2"/>
      <c r="C522" s="2"/>
      <c r="D522" s="2"/>
      <c r="E522" s="2"/>
      <c r="F522" s="2"/>
    </row>
    <row r="523">
      <c r="A523" s="2"/>
      <c r="B523" s="2"/>
      <c r="C523" s="2"/>
      <c r="D523" s="2"/>
      <c r="E523" s="2"/>
      <c r="F523" s="2"/>
    </row>
    <row r="524">
      <c r="A524" s="2"/>
      <c r="B524" s="2"/>
      <c r="C524" s="2"/>
      <c r="D524" s="2"/>
      <c r="E524" s="2"/>
      <c r="F524" s="2"/>
    </row>
    <row r="525">
      <c r="A525" s="2"/>
      <c r="B525" s="2"/>
      <c r="C525" s="2"/>
      <c r="D525" s="2"/>
      <c r="E525" s="2"/>
      <c r="F525" s="2"/>
    </row>
    <row r="526">
      <c r="A526" s="2"/>
      <c r="B526" s="2"/>
      <c r="C526" s="2"/>
      <c r="D526" s="2"/>
      <c r="E526" s="2"/>
      <c r="F526" s="2"/>
    </row>
    <row r="527">
      <c r="A527" s="2"/>
      <c r="B527" s="2"/>
      <c r="C527" s="2"/>
      <c r="D527" s="2"/>
      <c r="E527" s="2"/>
      <c r="F527" s="2"/>
    </row>
    <row r="528">
      <c r="A528" s="2"/>
      <c r="B528" s="2"/>
      <c r="C528" s="2"/>
      <c r="D528" s="2"/>
      <c r="E528" s="2"/>
      <c r="F528" s="2"/>
    </row>
    <row r="529">
      <c r="A529" s="2"/>
      <c r="B529" s="2"/>
      <c r="C529" s="2"/>
      <c r="D529" s="2"/>
      <c r="E529" s="2"/>
      <c r="F529" s="2"/>
    </row>
    <row r="530">
      <c r="A530" s="2"/>
      <c r="B530" s="2"/>
      <c r="C530" s="2"/>
      <c r="D530" s="2"/>
      <c r="E530" s="2"/>
      <c r="F530" s="2"/>
    </row>
    <row r="531">
      <c r="A531" s="2"/>
      <c r="B531" s="2"/>
      <c r="C531" s="2"/>
      <c r="D531" s="2"/>
      <c r="E531" s="2"/>
      <c r="F531" s="2"/>
    </row>
    <row r="532">
      <c r="A532" s="2"/>
      <c r="B532" s="2"/>
      <c r="C532" s="2"/>
      <c r="D532" s="2"/>
      <c r="E532" s="2"/>
      <c r="F532" s="2"/>
    </row>
    <row r="533">
      <c r="A533" s="2"/>
      <c r="B533" s="2"/>
      <c r="C533" s="2"/>
      <c r="D533" s="2"/>
      <c r="E533" s="2"/>
      <c r="F533" s="2"/>
    </row>
    <row r="534">
      <c r="A534" s="2"/>
      <c r="B534" s="2"/>
      <c r="C534" s="2"/>
      <c r="D534" s="2"/>
      <c r="E534" s="2"/>
      <c r="F534" s="2"/>
    </row>
    <row r="535">
      <c r="A535" s="2"/>
      <c r="B535" s="2"/>
      <c r="C535" s="2"/>
      <c r="D535" s="2"/>
      <c r="E535" s="2"/>
      <c r="F535" s="2"/>
    </row>
    <row r="536">
      <c r="A536" s="2"/>
      <c r="B536" s="2"/>
      <c r="C536" s="2"/>
      <c r="D536" s="2"/>
      <c r="E536" s="2"/>
      <c r="F536" s="2"/>
    </row>
    <row r="537">
      <c r="A537" s="2"/>
      <c r="B537" s="2"/>
      <c r="C537" s="2"/>
      <c r="D537" s="2"/>
      <c r="E537" s="2"/>
      <c r="F537" s="2"/>
    </row>
    <row r="538">
      <c r="A538" s="2"/>
      <c r="B538" s="2"/>
      <c r="C538" s="2"/>
      <c r="D538" s="2"/>
      <c r="E538" s="2"/>
      <c r="F538" s="2"/>
    </row>
    <row r="539">
      <c r="A539" s="2"/>
      <c r="B539" s="2"/>
      <c r="C539" s="2"/>
      <c r="D539" s="2"/>
      <c r="E539" s="2"/>
      <c r="F539" s="2"/>
    </row>
    <row r="540">
      <c r="A540" s="2"/>
      <c r="B540" s="2"/>
      <c r="C540" s="2"/>
      <c r="D540" s="2"/>
      <c r="E540" s="2"/>
      <c r="F540" s="2"/>
    </row>
    <row r="541">
      <c r="A541" s="2"/>
      <c r="B541" s="2"/>
      <c r="C541" s="2"/>
      <c r="D541" s="2"/>
      <c r="E541" s="2"/>
      <c r="F541" s="2"/>
    </row>
    <row r="542">
      <c r="A542" s="2"/>
      <c r="B542" s="2"/>
      <c r="C542" s="2"/>
      <c r="D542" s="2"/>
      <c r="E542" s="2"/>
      <c r="F542" s="2"/>
    </row>
    <row r="543">
      <c r="A543" s="2"/>
      <c r="B543" s="2"/>
      <c r="C543" s="2"/>
      <c r="D543" s="2"/>
      <c r="E543" s="2"/>
      <c r="F543" s="2"/>
    </row>
    <row r="544">
      <c r="A544" s="2"/>
      <c r="B544" s="2"/>
      <c r="C544" s="2"/>
      <c r="D544" s="2"/>
      <c r="E544" s="2"/>
      <c r="F544" s="2"/>
    </row>
    <row r="545">
      <c r="A545" s="2"/>
      <c r="B545" s="2"/>
      <c r="C545" s="2"/>
      <c r="D545" s="2"/>
      <c r="E545" s="2"/>
      <c r="F545" s="2"/>
    </row>
    <row r="546">
      <c r="A546" s="2"/>
      <c r="B546" s="2"/>
      <c r="C546" s="2"/>
      <c r="D546" s="2"/>
      <c r="E546" s="2"/>
      <c r="F546" s="2"/>
    </row>
    <row r="547">
      <c r="A547" s="2"/>
      <c r="B547" s="2"/>
      <c r="C547" s="2"/>
      <c r="D547" s="2"/>
      <c r="E547" s="2"/>
      <c r="F547" s="2"/>
    </row>
    <row r="548">
      <c r="A548" s="2"/>
      <c r="B548" s="2"/>
      <c r="C548" s="2"/>
      <c r="D548" s="2"/>
      <c r="E548" s="2"/>
      <c r="F548" s="2"/>
    </row>
    <row r="549">
      <c r="A549" s="2"/>
      <c r="B549" s="2"/>
      <c r="C549" s="2"/>
      <c r="D549" s="2"/>
      <c r="E549" s="2"/>
      <c r="F549" s="2"/>
    </row>
    <row r="550">
      <c r="A550" s="2"/>
      <c r="B550" s="2"/>
      <c r="C550" s="2"/>
      <c r="D550" s="2"/>
      <c r="E550" s="2"/>
      <c r="F550" s="2"/>
    </row>
    <row r="551">
      <c r="A551" s="2"/>
      <c r="B551" s="2"/>
      <c r="C551" s="2"/>
      <c r="D551" s="2"/>
      <c r="E551" s="2"/>
      <c r="F551" s="2"/>
    </row>
    <row r="552">
      <c r="A552" s="2"/>
      <c r="B552" s="2"/>
      <c r="C552" s="2"/>
      <c r="D552" s="2"/>
      <c r="E552" s="2"/>
      <c r="F552" s="2"/>
    </row>
    <row r="553">
      <c r="A553" s="2"/>
      <c r="B553" s="2"/>
      <c r="C553" s="2"/>
      <c r="D553" s="2"/>
      <c r="E553" s="2"/>
      <c r="F553" s="2"/>
    </row>
    <row r="554">
      <c r="A554" s="2"/>
      <c r="B554" s="2"/>
      <c r="C554" s="2"/>
      <c r="D554" s="2"/>
      <c r="E554" s="2"/>
      <c r="F554" s="2"/>
    </row>
    <row r="555">
      <c r="A555" s="2"/>
      <c r="B555" s="2"/>
      <c r="C555" s="2"/>
      <c r="D555" s="2"/>
      <c r="E555" s="2"/>
      <c r="F555" s="2"/>
    </row>
    <row r="556">
      <c r="A556" s="2"/>
      <c r="B556" s="2"/>
      <c r="C556" s="2"/>
      <c r="D556" s="2"/>
      <c r="E556" s="2"/>
      <c r="F556" s="2"/>
    </row>
    <row r="557">
      <c r="A557" s="2"/>
      <c r="B557" s="2"/>
      <c r="C557" s="2"/>
      <c r="D557" s="2"/>
      <c r="E557" s="2"/>
      <c r="F557" s="2"/>
    </row>
    <row r="558">
      <c r="A558" s="2"/>
      <c r="B558" s="2"/>
      <c r="C558" s="2"/>
      <c r="D558" s="2"/>
      <c r="E558" s="2"/>
      <c r="F558" s="2"/>
    </row>
    <row r="559">
      <c r="A559" s="2"/>
      <c r="B559" s="2"/>
      <c r="C559" s="2"/>
      <c r="D559" s="2"/>
      <c r="E559" s="2"/>
      <c r="F559" s="2"/>
    </row>
    <row r="560">
      <c r="A560" s="2"/>
      <c r="B560" s="2"/>
      <c r="C560" s="2"/>
      <c r="D560" s="2"/>
      <c r="E560" s="2"/>
      <c r="F560" s="2"/>
    </row>
    <row r="561">
      <c r="A561" s="2"/>
      <c r="B561" s="2"/>
      <c r="C561" s="2"/>
      <c r="D561" s="2"/>
      <c r="E561" s="2"/>
      <c r="F561" s="2"/>
    </row>
    <row r="562">
      <c r="A562" s="2"/>
      <c r="B562" s="2"/>
      <c r="C562" s="2"/>
      <c r="D562" s="2"/>
      <c r="E562" s="2"/>
      <c r="F562" s="2"/>
    </row>
    <row r="563">
      <c r="A563" s="2"/>
      <c r="B563" s="2"/>
      <c r="C563" s="2"/>
      <c r="D563" s="2"/>
      <c r="E563" s="2"/>
      <c r="F563" s="2"/>
    </row>
    <row r="564">
      <c r="A564" s="2"/>
      <c r="B564" s="2"/>
      <c r="C564" s="2"/>
      <c r="D564" s="2"/>
      <c r="E564" s="2"/>
      <c r="F564" s="2"/>
    </row>
    <row r="565">
      <c r="A565" s="2"/>
      <c r="B565" s="2"/>
      <c r="C565" s="2"/>
      <c r="D565" s="2"/>
      <c r="E565" s="2"/>
      <c r="F565" s="2"/>
    </row>
    <row r="566">
      <c r="A566" s="2"/>
      <c r="B566" s="2"/>
      <c r="C566" s="2"/>
      <c r="D566" s="2"/>
      <c r="E566" s="2"/>
      <c r="F566" s="2"/>
    </row>
    <row r="567">
      <c r="A567" s="2"/>
      <c r="B567" s="2"/>
      <c r="C567" s="2"/>
      <c r="D567" s="2"/>
      <c r="E567" s="2"/>
      <c r="F567" s="2"/>
    </row>
    <row r="568">
      <c r="A568" s="2"/>
      <c r="B568" s="2"/>
      <c r="C568" s="2"/>
      <c r="D568" s="2"/>
      <c r="E568" s="2"/>
      <c r="F568" s="2"/>
    </row>
    <row r="569">
      <c r="A569" s="2"/>
      <c r="B569" s="2"/>
      <c r="C569" s="2"/>
      <c r="D569" s="2"/>
      <c r="E569" s="2"/>
      <c r="F569" s="2"/>
    </row>
    <row r="570">
      <c r="A570" s="2"/>
      <c r="B570" s="2"/>
      <c r="C570" s="2"/>
      <c r="D570" s="2"/>
      <c r="E570" s="2"/>
      <c r="F570" s="2"/>
    </row>
    <row r="571">
      <c r="A571" s="2"/>
      <c r="B571" s="2"/>
      <c r="C571" s="2"/>
      <c r="D571" s="2"/>
      <c r="E571" s="2"/>
      <c r="F571" s="2"/>
    </row>
    <row r="572">
      <c r="A572" s="2"/>
      <c r="B572" s="2"/>
      <c r="C572" s="2"/>
      <c r="D572" s="2"/>
      <c r="E572" s="2"/>
      <c r="F572" s="2"/>
    </row>
    <row r="573">
      <c r="A573" s="2"/>
      <c r="B573" s="2"/>
      <c r="C573" s="2"/>
      <c r="D573" s="2"/>
      <c r="E573" s="2"/>
      <c r="F573" s="2"/>
    </row>
    <row r="574">
      <c r="A574" s="2"/>
      <c r="B574" s="2"/>
      <c r="C574" s="2"/>
      <c r="D574" s="2"/>
      <c r="E574" s="2"/>
      <c r="F574" s="2"/>
    </row>
    <row r="575">
      <c r="A575" s="2"/>
      <c r="B575" s="2"/>
      <c r="C575" s="2"/>
      <c r="D575" s="2"/>
      <c r="E575" s="2"/>
      <c r="F575" s="2"/>
    </row>
    <row r="576">
      <c r="A576" s="2"/>
      <c r="B576" s="2"/>
      <c r="C576" s="2"/>
      <c r="D576" s="2"/>
      <c r="E576" s="2"/>
      <c r="F576" s="2"/>
    </row>
    <row r="577">
      <c r="A577" s="2"/>
      <c r="B577" s="2"/>
      <c r="C577" s="2"/>
      <c r="D577" s="2"/>
      <c r="E577" s="2"/>
      <c r="F577" s="2"/>
    </row>
    <row r="578">
      <c r="A578" s="2"/>
      <c r="B578" s="2"/>
      <c r="C578" s="2"/>
      <c r="D578" s="2"/>
      <c r="E578" s="2"/>
      <c r="F578" s="2"/>
    </row>
    <row r="579">
      <c r="A579" s="2"/>
      <c r="B579" s="2"/>
      <c r="C579" s="2"/>
      <c r="D579" s="2"/>
      <c r="E579" s="2"/>
      <c r="F579" s="2"/>
    </row>
    <row r="580">
      <c r="A580" s="2"/>
      <c r="B580" s="2"/>
      <c r="C580" s="2"/>
      <c r="D580" s="2"/>
      <c r="E580" s="2"/>
      <c r="F580" s="2"/>
    </row>
    <row r="581">
      <c r="A581" s="2"/>
      <c r="B581" s="2"/>
      <c r="C581" s="2"/>
      <c r="D581" s="2"/>
      <c r="E581" s="2"/>
      <c r="F581" s="2"/>
    </row>
    <row r="582">
      <c r="A582" s="2"/>
      <c r="B582" s="2"/>
      <c r="C582" s="2"/>
      <c r="D582" s="2"/>
      <c r="E582" s="2"/>
      <c r="F582" s="2"/>
    </row>
    <row r="583">
      <c r="A583" s="2"/>
      <c r="B583" s="2"/>
      <c r="C583" s="2"/>
      <c r="D583" s="2"/>
      <c r="E583" s="2"/>
      <c r="F583" s="2"/>
    </row>
    <row r="584">
      <c r="A584" s="2"/>
      <c r="B584" s="2"/>
      <c r="C584" s="2"/>
      <c r="D584" s="2"/>
      <c r="E584" s="2"/>
      <c r="F584" s="2"/>
    </row>
    <row r="585">
      <c r="A585" s="2"/>
      <c r="B585" s="2"/>
      <c r="C585" s="2"/>
      <c r="D585" s="2"/>
      <c r="E585" s="2"/>
      <c r="F585" s="2"/>
    </row>
    <row r="586">
      <c r="A586" s="2"/>
      <c r="B586" s="2"/>
      <c r="C586" s="2"/>
      <c r="D586" s="2"/>
      <c r="E586" s="2"/>
      <c r="F586" s="2"/>
    </row>
    <row r="587">
      <c r="A587" s="2"/>
      <c r="B587" s="2"/>
      <c r="C587" s="2"/>
      <c r="D587" s="2"/>
      <c r="E587" s="2"/>
      <c r="F587" s="2"/>
    </row>
    <row r="588">
      <c r="A588" s="2"/>
      <c r="B588" s="2"/>
      <c r="C588" s="2"/>
      <c r="D588" s="2"/>
      <c r="E588" s="2"/>
      <c r="F588" s="2"/>
    </row>
    <row r="589">
      <c r="A589" s="2"/>
      <c r="B589" s="2"/>
      <c r="C589" s="2"/>
      <c r="D589" s="2"/>
      <c r="E589" s="2"/>
      <c r="F589" s="2"/>
    </row>
    <row r="590">
      <c r="A590" s="2"/>
      <c r="B590" s="2"/>
      <c r="C590" s="2"/>
      <c r="D590" s="2"/>
      <c r="E590" s="2"/>
      <c r="F590" s="2"/>
    </row>
    <row r="591">
      <c r="A591" s="2"/>
      <c r="B591" s="2"/>
      <c r="C591" s="2"/>
      <c r="D591" s="2"/>
      <c r="E591" s="2"/>
      <c r="F591" s="2"/>
    </row>
    <row r="592">
      <c r="A592" s="2"/>
      <c r="B592" s="2"/>
      <c r="C592" s="2"/>
      <c r="D592" s="2"/>
      <c r="E592" s="2"/>
      <c r="F592" s="2"/>
    </row>
    <row r="593">
      <c r="A593" s="2"/>
      <c r="B593" s="2"/>
      <c r="C593" s="2"/>
      <c r="D593" s="2"/>
      <c r="E593" s="2"/>
      <c r="F593" s="2"/>
    </row>
    <row r="594">
      <c r="A594" s="2"/>
      <c r="B594" s="2"/>
      <c r="C594" s="2"/>
      <c r="D594" s="2"/>
      <c r="E594" s="2"/>
      <c r="F594" s="2"/>
    </row>
    <row r="595">
      <c r="A595" s="2"/>
      <c r="B595" s="2"/>
      <c r="C595" s="2"/>
      <c r="D595" s="2"/>
      <c r="E595" s="2"/>
      <c r="F595" s="2"/>
    </row>
    <row r="596">
      <c r="A596" s="2"/>
      <c r="B596" s="2"/>
      <c r="C596" s="2"/>
      <c r="D596" s="2"/>
      <c r="E596" s="2"/>
      <c r="F596" s="2"/>
    </row>
    <row r="597">
      <c r="A597" s="2"/>
      <c r="B597" s="2"/>
      <c r="C597" s="2"/>
      <c r="D597" s="2"/>
      <c r="E597" s="2"/>
      <c r="F597" s="2"/>
    </row>
    <row r="598">
      <c r="A598" s="2"/>
      <c r="B598" s="2"/>
      <c r="C598" s="2"/>
      <c r="D598" s="2"/>
      <c r="E598" s="2"/>
      <c r="F598" s="2"/>
    </row>
    <row r="599">
      <c r="A599" s="2"/>
      <c r="B599" s="2"/>
      <c r="C599" s="2"/>
      <c r="D599" s="2"/>
      <c r="E599" s="2"/>
      <c r="F599" s="2"/>
    </row>
    <row r="600">
      <c r="A600" s="2"/>
      <c r="B600" s="2"/>
      <c r="C600" s="2"/>
      <c r="D600" s="2"/>
      <c r="E600" s="2"/>
      <c r="F600" s="2"/>
    </row>
    <row r="601">
      <c r="A601" s="2"/>
      <c r="B601" s="2"/>
      <c r="C601" s="2"/>
      <c r="D601" s="2"/>
      <c r="E601" s="2"/>
      <c r="F601" s="2"/>
    </row>
    <row r="602">
      <c r="A602" s="2"/>
      <c r="B602" s="2"/>
      <c r="C602" s="2"/>
      <c r="D602" s="2"/>
      <c r="E602" s="2"/>
      <c r="F602" s="2"/>
    </row>
    <row r="603">
      <c r="A603" s="2"/>
      <c r="B603" s="2"/>
      <c r="C603" s="2"/>
      <c r="D603" s="2"/>
      <c r="E603" s="2"/>
      <c r="F603" s="2"/>
    </row>
    <row r="604">
      <c r="A604" s="2"/>
      <c r="B604" s="2"/>
      <c r="C604" s="2"/>
      <c r="D604" s="2"/>
      <c r="E604" s="2"/>
      <c r="F604" s="2"/>
    </row>
    <row r="605">
      <c r="A605" s="2"/>
      <c r="B605" s="2"/>
      <c r="C605" s="2"/>
      <c r="D605" s="2"/>
      <c r="E605" s="2"/>
      <c r="F605" s="2"/>
    </row>
    <row r="606">
      <c r="A606" s="2"/>
      <c r="B606" s="2"/>
      <c r="C606" s="2"/>
      <c r="D606" s="2"/>
      <c r="E606" s="2"/>
      <c r="F606" s="2"/>
    </row>
    <row r="607">
      <c r="A607" s="2"/>
      <c r="B607" s="2"/>
      <c r="C607" s="2"/>
      <c r="D607" s="2"/>
      <c r="E607" s="2"/>
      <c r="F607" s="2"/>
    </row>
    <row r="608">
      <c r="A608" s="2"/>
      <c r="B608" s="2"/>
      <c r="C608" s="2"/>
      <c r="D608" s="2"/>
      <c r="E608" s="2"/>
      <c r="F608" s="2"/>
    </row>
    <row r="609">
      <c r="A609" s="2"/>
      <c r="B609" s="2"/>
      <c r="C609" s="2"/>
      <c r="D609" s="2"/>
      <c r="E609" s="2"/>
      <c r="F609" s="2"/>
    </row>
    <row r="610">
      <c r="A610" s="2"/>
      <c r="B610" s="2"/>
      <c r="C610" s="2"/>
      <c r="D610" s="2"/>
      <c r="E610" s="2"/>
      <c r="F610" s="2"/>
    </row>
    <row r="611">
      <c r="A611" s="2"/>
      <c r="B611" s="2"/>
      <c r="C611" s="2"/>
      <c r="D611" s="2"/>
      <c r="E611" s="2"/>
      <c r="F611" s="2"/>
    </row>
    <row r="612">
      <c r="A612" s="2"/>
      <c r="B612" s="2"/>
      <c r="C612" s="2"/>
      <c r="D612" s="2"/>
      <c r="E612" s="2"/>
      <c r="F612" s="2"/>
    </row>
    <row r="613">
      <c r="A613" s="2"/>
      <c r="B613" s="2"/>
      <c r="C613" s="2"/>
      <c r="D613" s="2"/>
      <c r="E613" s="2"/>
      <c r="F613" s="2"/>
    </row>
    <row r="614">
      <c r="A614" s="2"/>
      <c r="B614" s="2"/>
      <c r="C614" s="2"/>
      <c r="D614" s="2"/>
      <c r="E614" s="2"/>
      <c r="F614" s="2"/>
    </row>
    <row r="615">
      <c r="A615" s="2"/>
      <c r="B615" s="2"/>
      <c r="C615" s="2"/>
      <c r="D615" s="2"/>
      <c r="E615" s="2"/>
      <c r="F615" s="2"/>
    </row>
    <row r="616">
      <c r="A616" s="2"/>
      <c r="B616" s="2"/>
      <c r="C616" s="2"/>
      <c r="D616" s="2"/>
      <c r="E616" s="2"/>
      <c r="F616" s="2"/>
    </row>
    <row r="617">
      <c r="A617" s="2"/>
      <c r="B617" s="2"/>
      <c r="C617" s="2"/>
      <c r="D617" s="2"/>
      <c r="E617" s="2"/>
      <c r="F617" s="2"/>
    </row>
    <row r="618">
      <c r="A618" s="2"/>
      <c r="B618" s="2"/>
      <c r="C618" s="2"/>
      <c r="D618" s="2"/>
      <c r="E618" s="2"/>
      <c r="F618" s="2"/>
    </row>
    <row r="619">
      <c r="A619" s="2"/>
      <c r="B619" s="2"/>
      <c r="C619" s="2"/>
      <c r="D619" s="2"/>
      <c r="E619" s="2"/>
      <c r="F619" s="2"/>
    </row>
    <row r="620">
      <c r="A620" s="2"/>
      <c r="B620" s="2"/>
      <c r="C620" s="2"/>
      <c r="D620" s="2"/>
      <c r="E620" s="2"/>
      <c r="F620" s="2"/>
    </row>
    <row r="621">
      <c r="A621" s="2"/>
      <c r="B621" s="2"/>
      <c r="C621" s="2"/>
      <c r="D621" s="2"/>
      <c r="E621" s="2"/>
      <c r="F621" s="2"/>
    </row>
    <row r="622">
      <c r="A622" s="2"/>
      <c r="B622" s="2"/>
      <c r="C622" s="2"/>
      <c r="D622" s="2"/>
      <c r="E622" s="2"/>
      <c r="F622" s="2"/>
    </row>
    <row r="623">
      <c r="A623" s="2"/>
      <c r="B623" s="2"/>
      <c r="C623" s="2"/>
      <c r="D623" s="2"/>
      <c r="E623" s="2"/>
      <c r="F623" s="2"/>
    </row>
    <row r="624">
      <c r="A624" s="2"/>
      <c r="B624" s="2"/>
      <c r="C624" s="2"/>
      <c r="D624" s="2"/>
      <c r="E624" s="2"/>
      <c r="F624" s="2"/>
    </row>
    <row r="625">
      <c r="A625" s="2"/>
      <c r="B625" s="2"/>
      <c r="C625" s="2"/>
      <c r="D625" s="2"/>
      <c r="E625" s="2"/>
      <c r="F625" s="2"/>
    </row>
    <row r="626">
      <c r="A626" s="2"/>
      <c r="B626" s="2"/>
      <c r="C626" s="2"/>
      <c r="D626" s="2"/>
      <c r="E626" s="2"/>
      <c r="F626" s="2"/>
    </row>
    <row r="627">
      <c r="A627" s="2"/>
      <c r="B627" s="2"/>
      <c r="C627" s="2"/>
      <c r="D627" s="2"/>
      <c r="E627" s="2"/>
      <c r="F627" s="2"/>
    </row>
    <row r="628">
      <c r="A628" s="2"/>
      <c r="B628" s="2"/>
      <c r="C628" s="2"/>
      <c r="D628" s="2"/>
      <c r="E628" s="2"/>
      <c r="F628" s="2"/>
    </row>
    <row r="629">
      <c r="A629" s="2"/>
      <c r="B629" s="2"/>
      <c r="C629" s="2"/>
      <c r="D629" s="2"/>
      <c r="E629" s="2"/>
      <c r="F629" s="2"/>
    </row>
    <row r="630">
      <c r="A630" s="2"/>
      <c r="B630" s="2"/>
      <c r="C630" s="2"/>
      <c r="D630" s="2"/>
      <c r="E630" s="2"/>
      <c r="F630" s="2"/>
    </row>
    <row r="631">
      <c r="A631" s="2"/>
      <c r="B631" s="2"/>
      <c r="C631" s="2"/>
      <c r="D631" s="2"/>
      <c r="E631" s="2"/>
      <c r="F631" s="2"/>
    </row>
    <row r="632">
      <c r="A632" s="2"/>
      <c r="B632" s="2"/>
      <c r="C632" s="2"/>
      <c r="D632" s="2"/>
      <c r="E632" s="2"/>
      <c r="F632" s="2"/>
    </row>
    <row r="633">
      <c r="A633" s="2"/>
      <c r="B633" s="2"/>
      <c r="C633" s="2"/>
      <c r="D633" s="2"/>
      <c r="E633" s="2"/>
      <c r="F633" s="2"/>
    </row>
    <row r="634">
      <c r="A634" s="2"/>
      <c r="B634" s="2"/>
      <c r="C634" s="2"/>
      <c r="D634" s="2"/>
      <c r="E634" s="2"/>
      <c r="F634" s="2"/>
    </row>
    <row r="635">
      <c r="A635" s="2"/>
      <c r="B635" s="2"/>
      <c r="C635" s="2"/>
      <c r="D635" s="2"/>
      <c r="E635" s="2"/>
      <c r="F635" s="2"/>
    </row>
    <row r="636">
      <c r="A636" s="2"/>
      <c r="B636" s="2"/>
      <c r="C636" s="2"/>
      <c r="D636" s="2"/>
      <c r="E636" s="2"/>
      <c r="F636" s="2"/>
    </row>
    <row r="637">
      <c r="A637" s="2"/>
      <c r="B637" s="2"/>
      <c r="C637" s="2"/>
      <c r="D637" s="2"/>
      <c r="E637" s="2"/>
      <c r="F637" s="2"/>
    </row>
    <row r="638">
      <c r="A638" s="2"/>
      <c r="B638" s="2"/>
      <c r="C638" s="2"/>
      <c r="D638" s="2"/>
      <c r="E638" s="2"/>
      <c r="F638" s="2"/>
    </row>
    <row r="639">
      <c r="A639" s="2"/>
      <c r="B639" s="2"/>
      <c r="C639" s="2"/>
      <c r="D639" s="2"/>
      <c r="E639" s="2"/>
      <c r="F639" s="2"/>
    </row>
    <row r="640">
      <c r="A640" s="2"/>
      <c r="B640" s="2"/>
      <c r="C640" s="2"/>
      <c r="D640" s="2"/>
      <c r="E640" s="2"/>
      <c r="F640" s="2"/>
    </row>
    <row r="641">
      <c r="A641" s="2"/>
      <c r="B641" s="2"/>
      <c r="C641" s="2"/>
      <c r="D641" s="2"/>
      <c r="E641" s="2"/>
      <c r="F641" s="2"/>
    </row>
    <row r="642">
      <c r="A642" s="2"/>
      <c r="B642" s="2"/>
      <c r="C642" s="2"/>
      <c r="D642" s="2"/>
      <c r="E642" s="2"/>
      <c r="F642" s="2"/>
    </row>
    <row r="643">
      <c r="A643" s="2"/>
      <c r="B643" s="2"/>
      <c r="C643" s="2"/>
      <c r="D643" s="2"/>
      <c r="E643" s="2"/>
      <c r="F643" s="2"/>
    </row>
    <row r="644">
      <c r="A644" s="2"/>
      <c r="B644" s="2"/>
      <c r="C644" s="2"/>
      <c r="D644" s="2"/>
      <c r="E644" s="2"/>
      <c r="F644" s="2"/>
    </row>
    <row r="645">
      <c r="A645" s="2"/>
      <c r="B645" s="2"/>
      <c r="C645" s="2"/>
      <c r="D645" s="2"/>
      <c r="E645" s="2"/>
      <c r="F645" s="2"/>
    </row>
    <row r="646">
      <c r="A646" s="2"/>
      <c r="B646" s="2"/>
      <c r="C646" s="2"/>
      <c r="D646" s="2"/>
      <c r="E646" s="2"/>
      <c r="F646" s="2"/>
    </row>
    <row r="647">
      <c r="A647" s="2"/>
      <c r="B647" s="2"/>
      <c r="C647" s="2"/>
      <c r="D647" s="2"/>
      <c r="E647" s="2"/>
      <c r="F647" s="2"/>
    </row>
    <row r="648">
      <c r="A648" s="2"/>
      <c r="B648" s="2"/>
      <c r="C648" s="2"/>
      <c r="D648" s="2"/>
      <c r="E648" s="2"/>
      <c r="F648" s="2"/>
    </row>
    <row r="649">
      <c r="A649" s="2"/>
      <c r="B649" s="2"/>
      <c r="C649" s="2"/>
      <c r="D649" s="2"/>
      <c r="E649" s="2"/>
      <c r="F649" s="2"/>
    </row>
    <row r="650">
      <c r="A650" s="2"/>
      <c r="B650" s="2"/>
      <c r="C650" s="2"/>
      <c r="D650" s="2"/>
      <c r="E650" s="2"/>
      <c r="F650" s="2"/>
    </row>
    <row r="651">
      <c r="A651" s="2"/>
      <c r="B651" s="2"/>
      <c r="C651" s="2"/>
      <c r="D651" s="2"/>
      <c r="E651" s="2"/>
      <c r="F651" s="2"/>
    </row>
    <row r="652">
      <c r="A652" s="2"/>
      <c r="B652" s="2"/>
      <c r="C652" s="2"/>
      <c r="D652" s="2"/>
      <c r="E652" s="2"/>
      <c r="F652" s="2"/>
    </row>
    <row r="653">
      <c r="A653" s="2"/>
      <c r="B653" s="2"/>
      <c r="C653" s="2"/>
      <c r="D653" s="2"/>
      <c r="E653" s="2"/>
      <c r="F653" s="2"/>
    </row>
    <row r="654">
      <c r="A654" s="2"/>
      <c r="B654" s="2"/>
      <c r="C654" s="2"/>
      <c r="D654" s="2"/>
      <c r="E654" s="2"/>
      <c r="F654" s="2"/>
    </row>
    <row r="655">
      <c r="A655" s="2"/>
      <c r="B655" s="2"/>
      <c r="C655" s="2"/>
      <c r="D655" s="2"/>
      <c r="E655" s="2"/>
      <c r="F655" s="2"/>
    </row>
    <row r="656">
      <c r="A656" s="2"/>
      <c r="B656" s="2"/>
      <c r="C656" s="2"/>
      <c r="D656" s="2"/>
      <c r="E656" s="2"/>
      <c r="F656" s="2"/>
    </row>
    <row r="657">
      <c r="A657" s="2"/>
      <c r="B657" s="2"/>
      <c r="C657" s="2"/>
      <c r="D657" s="2"/>
      <c r="E657" s="2"/>
      <c r="F657" s="2"/>
    </row>
    <row r="658">
      <c r="A658" s="2"/>
      <c r="B658" s="2"/>
      <c r="C658" s="2"/>
      <c r="D658" s="2"/>
      <c r="E658" s="2"/>
      <c r="F658" s="2"/>
    </row>
    <row r="659">
      <c r="A659" s="2"/>
      <c r="B659" s="2"/>
      <c r="C659" s="2"/>
      <c r="D659" s="2"/>
      <c r="E659" s="2"/>
      <c r="F659" s="2"/>
    </row>
    <row r="660">
      <c r="A660" s="2"/>
      <c r="B660" s="2"/>
      <c r="C660" s="2"/>
      <c r="D660" s="2"/>
      <c r="E660" s="2"/>
      <c r="F660" s="2"/>
    </row>
    <row r="661">
      <c r="A661" s="2"/>
      <c r="B661" s="2"/>
      <c r="C661" s="2"/>
      <c r="D661" s="2"/>
      <c r="E661" s="2"/>
      <c r="F661" s="2"/>
    </row>
    <row r="662">
      <c r="A662" s="2"/>
      <c r="B662" s="2"/>
      <c r="C662" s="2"/>
      <c r="D662" s="2"/>
      <c r="E662" s="2"/>
      <c r="F662" s="2"/>
    </row>
    <row r="663">
      <c r="A663" s="2"/>
      <c r="B663" s="2"/>
      <c r="C663" s="2"/>
      <c r="D663" s="2"/>
      <c r="E663" s="2"/>
      <c r="F663" s="2"/>
    </row>
    <row r="664">
      <c r="A664" s="2"/>
      <c r="B664" s="2"/>
      <c r="C664" s="2"/>
      <c r="D664" s="2"/>
      <c r="E664" s="2"/>
      <c r="F664" s="2"/>
    </row>
    <row r="665">
      <c r="A665" s="2"/>
      <c r="B665" s="2"/>
      <c r="C665" s="2"/>
      <c r="D665" s="2"/>
      <c r="E665" s="2"/>
      <c r="F665" s="2"/>
    </row>
    <row r="666">
      <c r="A666" s="2"/>
      <c r="B666" s="2"/>
      <c r="C666" s="2"/>
      <c r="D666" s="2"/>
      <c r="E666" s="2"/>
      <c r="F666" s="2"/>
    </row>
    <row r="667">
      <c r="A667" s="2"/>
      <c r="B667" s="2"/>
      <c r="C667" s="2"/>
      <c r="D667" s="2"/>
      <c r="E667" s="2"/>
      <c r="F667" s="2"/>
    </row>
    <row r="668">
      <c r="A668" s="2"/>
      <c r="B668" s="2"/>
      <c r="C668" s="2"/>
      <c r="D668" s="2"/>
      <c r="E668" s="2"/>
      <c r="F668" s="2"/>
    </row>
    <row r="669">
      <c r="A669" s="2"/>
      <c r="B669" s="2"/>
      <c r="C669" s="2"/>
      <c r="D669" s="2"/>
      <c r="E669" s="2"/>
      <c r="F669" s="2"/>
    </row>
    <row r="670">
      <c r="A670" s="2"/>
      <c r="B670" s="2"/>
      <c r="C670" s="2"/>
      <c r="D670" s="2"/>
      <c r="E670" s="2"/>
      <c r="F670" s="2"/>
    </row>
    <row r="671">
      <c r="A671" s="2"/>
      <c r="B671" s="2"/>
      <c r="C671" s="2"/>
      <c r="D671" s="2"/>
      <c r="E671" s="2"/>
      <c r="F671" s="2"/>
    </row>
    <row r="672">
      <c r="A672" s="2"/>
      <c r="B672" s="2"/>
      <c r="C672" s="2"/>
      <c r="D672" s="2"/>
      <c r="E672" s="2"/>
      <c r="F672" s="2"/>
    </row>
    <row r="673">
      <c r="A673" s="2"/>
      <c r="B673" s="2"/>
      <c r="C673" s="2"/>
      <c r="D673" s="2"/>
      <c r="E673" s="2"/>
      <c r="F673" s="2"/>
    </row>
    <row r="674">
      <c r="A674" s="2"/>
      <c r="B674" s="2"/>
      <c r="C674" s="2"/>
      <c r="D674" s="2"/>
      <c r="E674" s="2"/>
      <c r="F674" s="2"/>
    </row>
    <row r="675">
      <c r="A675" s="2"/>
      <c r="B675" s="2"/>
      <c r="C675" s="2"/>
      <c r="D675" s="2"/>
      <c r="E675" s="2"/>
      <c r="F675" s="2"/>
    </row>
    <row r="676">
      <c r="A676" s="2"/>
      <c r="B676" s="2"/>
      <c r="C676" s="2"/>
      <c r="D676" s="2"/>
      <c r="E676" s="2"/>
      <c r="F676" s="2"/>
    </row>
    <row r="677">
      <c r="A677" s="2"/>
      <c r="B677" s="2"/>
      <c r="C677" s="2"/>
      <c r="D677" s="2"/>
      <c r="E677" s="2"/>
      <c r="F677" s="2"/>
    </row>
    <row r="678">
      <c r="A678" s="2"/>
      <c r="B678" s="2"/>
      <c r="C678" s="2"/>
      <c r="D678" s="2"/>
      <c r="E678" s="2"/>
      <c r="F678" s="2"/>
    </row>
    <row r="679">
      <c r="A679" s="2"/>
      <c r="B679" s="2"/>
      <c r="C679" s="2"/>
      <c r="D679" s="2"/>
      <c r="E679" s="2"/>
      <c r="F679" s="2"/>
    </row>
    <row r="680">
      <c r="A680" s="2"/>
      <c r="B680" s="2"/>
      <c r="C680" s="2"/>
      <c r="D680" s="2"/>
      <c r="E680" s="2"/>
      <c r="F680" s="2"/>
    </row>
    <row r="681">
      <c r="A681" s="2"/>
      <c r="B681" s="2"/>
      <c r="C681" s="2"/>
      <c r="D681" s="2"/>
      <c r="E681" s="2"/>
      <c r="F681" s="2"/>
    </row>
    <row r="682">
      <c r="A682" s="2"/>
      <c r="B682" s="2"/>
      <c r="C682" s="2"/>
      <c r="D682" s="2"/>
      <c r="E682" s="2"/>
      <c r="F682" s="2"/>
    </row>
    <row r="683">
      <c r="A683" s="2"/>
      <c r="B683" s="2"/>
      <c r="C683" s="2"/>
      <c r="D683" s="2"/>
      <c r="E683" s="2"/>
      <c r="F683" s="2"/>
    </row>
    <row r="684">
      <c r="A684" s="2"/>
      <c r="B684" s="2"/>
      <c r="C684" s="2"/>
      <c r="D684" s="2"/>
      <c r="E684" s="2"/>
      <c r="F684" s="2"/>
    </row>
    <row r="685">
      <c r="A685" s="2"/>
      <c r="B685" s="2"/>
      <c r="C685" s="2"/>
      <c r="D685" s="2"/>
      <c r="E685" s="2"/>
      <c r="F685" s="2"/>
    </row>
    <row r="686">
      <c r="A686" s="2"/>
      <c r="B686" s="2"/>
      <c r="C686" s="2"/>
      <c r="D686" s="2"/>
      <c r="E686" s="2"/>
      <c r="F686" s="2"/>
    </row>
    <row r="687">
      <c r="A687" s="2"/>
      <c r="B687" s="2"/>
      <c r="C687" s="2"/>
      <c r="D687" s="2"/>
      <c r="E687" s="2"/>
      <c r="F687" s="2"/>
    </row>
    <row r="688">
      <c r="A688" s="2"/>
      <c r="B688" s="2"/>
      <c r="C688" s="2"/>
      <c r="D688" s="2"/>
      <c r="E688" s="2"/>
      <c r="F688" s="2"/>
    </row>
    <row r="689">
      <c r="A689" s="2"/>
      <c r="B689" s="2"/>
      <c r="C689" s="2"/>
      <c r="D689" s="2"/>
      <c r="E689" s="2"/>
      <c r="F689" s="2"/>
    </row>
    <row r="690">
      <c r="A690" s="2"/>
      <c r="B690" s="2"/>
      <c r="C690" s="2"/>
      <c r="D690" s="2"/>
      <c r="E690" s="2"/>
      <c r="F690" s="2"/>
    </row>
    <row r="691">
      <c r="A691" s="2"/>
      <c r="B691" s="2"/>
      <c r="C691" s="2"/>
      <c r="D691" s="2"/>
      <c r="E691" s="2"/>
      <c r="F691" s="2"/>
    </row>
    <row r="692">
      <c r="A692" s="2"/>
      <c r="B692" s="2"/>
      <c r="C692" s="2"/>
      <c r="D692" s="2"/>
      <c r="E692" s="2"/>
      <c r="F692" s="2"/>
    </row>
    <row r="693">
      <c r="A693" s="2"/>
      <c r="B693" s="2"/>
      <c r="C693" s="2"/>
      <c r="D693" s="2"/>
      <c r="E693" s="2"/>
      <c r="F693" s="2"/>
    </row>
    <row r="694">
      <c r="A694" s="2"/>
      <c r="B694" s="2"/>
      <c r="C694" s="2"/>
      <c r="D694" s="2"/>
      <c r="E694" s="2"/>
      <c r="F694" s="2"/>
    </row>
    <row r="695">
      <c r="A695" s="2"/>
      <c r="B695" s="2"/>
      <c r="C695" s="2"/>
      <c r="D695" s="2"/>
      <c r="E695" s="2"/>
      <c r="F695" s="2"/>
    </row>
    <row r="696">
      <c r="A696" s="2"/>
      <c r="B696" s="2"/>
      <c r="C696" s="2"/>
      <c r="D696" s="2"/>
      <c r="E696" s="2"/>
      <c r="F696" s="2"/>
    </row>
    <row r="697">
      <c r="A697" s="2"/>
      <c r="B697" s="2"/>
      <c r="C697" s="2"/>
      <c r="D697" s="2"/>
      <c r="E697" s="2"/>
      <c r="F697" s="2"/>
    </row>
    <row r="698">
      <c r="A698" s="2"/>
      <c r="B698" s="2"/>
      <c r="C698" s="2"/>
      <c r="D698" s="2"/>
      <c r="E698" s="2"/>
      <c r="F698" s="2"/>
    </row>
    <row r="699">
      <c r="A699" s="2"/>
      <c r="B699" s="2"/>
      <c r="C699" s="2"/>
      <c r="D699" s="2"/>
      <c r="E699" s="2"/>
      <c r="F699" s="2"/>
    </row>
    <row r="700">
      <c r="A700" s="2"/>
      <c r="B700" s="2"/>
      <c r="C700" s="2"/>
      <c r="D700" s="2"/>
      <c r="E700" s="2"/>
      <c r="F700" s="2"/>
    </row>
    <row r="701">
      <c r="A701" s="2"/>
      <c r="B701" s="2"/>
      <c r="C701" s="2"/>
      <c r="D701" s="2"/>
      <c r="E701" s="2"/>
      <c r="F701" s="2"/>
    </row>
    <row r="702">
      <c r="A702" s="2"/>
      <c r="B702" s="2"/>
      <c r="C702" s="2"/>
      <c r="D702" s="2"/>
      <c r="E702" s="2"/>
      <c r="F702" s="2"/>
    </row>
    <row r="703">
      <c r="A703" s="2"/>
      <c r="B703" s="2"/>
      <c r="C703" s="2"/>
      <c r="D703" s="2"/>
      <c r="E703" s="2"/>
      <c r="F703" s="2"/>
    </row>
    <row r="704">
      <c r="A704" s="2"/>
      <c r="B704" s="2"/>
      <c r="C704" s="2"/>
      <c r="D704" s="2"/>
      <c r="E704" s="2"/>
      <c r="F704" s="2"/>
    </row>
    <row r="705">
      <c r="A705" s="2"/>
      <c r="B705" s="2"/>
      <c r="C705" s="2"/>
      <c r="D705" s="2"/>
      <c r="E705" s="2"/>
      <c r="F705" s="2"/>
    </row>
    <row r="706">
      <c r="A706" s="2"/>
      <c r="B706" s="2"/>
      <c r="C706" s="2"/>
      <c r="D706" s="2"/>
      <c r="E706" s="2"/>
      <c r="F706" s="2"/>
    </row>
    <row r="707">
      <c r="A707" s="2"/>
      <c r="B707" s="2"/>
      <c r="C707" s="2"/>
      <c r="D707" s="2"/>
      <c r="E707" s="2"/>
      <c r="F707" s="2"/>
    </row>
    <row r="708">
      <c r="A708" s="2"/>
      <c r="B708" s="2"/>
      <c r="C708" s="2"/>
      <c r="D708" s="2"/>
      <c r="E708" s="2"/>
      <c r="F708" s="2"/>
    </row>
    <row r="709">
      <c r="A709" s="2"/>
      <c r="B709" s="2"/>
      <c r="C709" s="2"/>
      <c r="D709" s="2"/>
      <c r="E709" s="2"/>
      <c r="F709" s="2"/>
    </row>
    <row r="710">
      <c r="A710" s="2"/>
      <c r="B710" s="2"/>
      <c r="C710" s="2"/>
      <c r="D710" s="2"/>
      <c r="E710" s="2"/>
      <c r="F710" s="2"/>
    </row>
    <row r="711">
      <c r="A711" s="2"/>
      <c r="B711" s="2"/>
      <c r="C711" s="2"/>
      <c r="D711" s="2"/>
      <c r="E711" s="2"/>
      <c r="F711" s="2"/>
    </row>
    <row r="712">
      <c r="A712" s="2"/>
      <c r="B712" s="2"/>
      <c r="C712" s="2"/>
      <c r="D712" s="2"/>
      <c r="E712" s="2"/>
      <c r="F712" s="2"/>
    </row>
    <row r="713">
      <c r="A713" s="2"/>
      <c r="B713" s="2"/>
      <c r="C713" s="2"/>
      <c r="D713" s="2"/>
      <c r="E713" s="2"/>
      <c r="F713" s="2"/>
    </row>
    <row r="714">
      <c r="A714" s="2"/>
      <c r="B714" s="2"/>
      <c r="C714" s="2"/>
      <c r="D714" s="2"/>
      <c r="E714" s="2"/>
      <c r="F714" s="2"/>
    </row>
    <row r="715">
      <c r="A715" s="2"/>
      <c r="B715" s="2"/>
      <c r="C715" s="2"/>
      <c r="D715" s="2"/>
      <c r="E715" s="2"/>
      <c r="F715" s="2"/>
    </row>
    <row r="716">
      <c r="A716" s="2"/>
      <c r="B716" s="2"/>
      <c r="C716" s="2"/>
      <c r="D716" s="2"/>
      <c r="E716" s="2"/>
      <c r="F716" s="2"/>
    </row>
    <row r="717">
      <c r="A717" s="2"/>
      <c r="B717" s="2"/>
      <c r="C717" s="2"/>
      <c r="D717" s="2"/>
      <c r="E717" s="2"/>
      <c r="F717" s="2"/>
    </row>
    <row r="718">
      <c r="A718" s="2"/>
      <c r="B718" s="2"/>
      <c r="C718" s="2"/>
      <c r="D718" s="2"/>
      <c r="E718" s="2"/>
      <c r="F718" s="2"/>
    </row>
    <row r="719">
      <c r="A719" s="2"/>
      <c r="B719" s="2"/>
      <c r="C719" s="2"/>
      <c r="D719" s="2"/>
      <c r="E719" s="2"/>
      <c r="F719" s="2"/>
    </row>
    <row r="720">
      <c r="A720" s="2"/>
      <c r="B720" s="2"/>
      <c r="C720" s="2"/>
      <c r="D720" s="2"/>
      <c r="E720" s="2"/>
      <c r="F720" s="2"/>
    </row>
    <row r="721">
      <c r="A721" s="2"/>
      <c r="B721" s="2"/>
      <c r="C721" s="2"/>
      <c r="D721" s="2"/>
      <c r="E721" s="2"/>
      <c r="F721" s="2"/>
    </row>
    <row r="722">
      <c r="A722" s="2"/>
      <c r="B722" s="2"/>
      <c r="C722" s="2"/>
      <c r="D722" s="2"/>
      <c r="E722" s="2"/>
      <c r="F722" s="2"/>
    </row>
    <row r="723">
      <c r="A723" s="2"/>
      <c r="B723" s="2"/>
      <c r="C723" s="2"/>
      <c r="D723" s="2"/>
      <c r="E723" s="2"/>
      <c r="F723" s="2"/>
    </row>
    <row r="724">
      <c r="A724" s="2"/>
      <c r="B724" s="2"/>
      <c r="C724" s="2"/>
      <c r="D724" s="2"/>
      <c r="E724" s="2"/>
      <c r="F724" s="2"/>
    </row>
    <row r="725">
      <c r="A725" s="2"/>
      <c r="B725" s="2"/>
      <c r="C725" s="2"/>
      <c r="D725" s="2"/>
      <c r="E725" s="2"/>
      <c r="F725" s="2"/>
    </row>
    <row r="726">
      <c r="A726" s="2"/>
      <c r="B726" s="2"/>
      <c r="C726" s="2"/>
      <c r="D726" s="2"/>
      <c r="E726" s="2"/>
      <c r="F726" s="2"/>
    </row>
    <row r="727">
      <c r="A727" s="2"/>
      <c r="B727" s="2"/>
      <c r="C727" s="2"/>
      <c r="D727" s="2"/>
      <c r="E727" s="2"/>
      <c r="F727" s="2"/>
    </row>
    <row r="728">
      <c r="A728" s="2"/>
      <c r="B728" s="2"/>
      <c r="C728" s="2"/>
      <c r="D728" s="2"/>
      <c r="E728" s="2"/>
      <c r="F728" s="2"/>
    </row>
    <row r="729">
      <c r="A729" s="2"/>
      <c r="B729" s="2"/>
      <c r="C729" s="2"/>
      <c r="D729" s="2"/>
      <c r="E729" s="2"/>
      <c r="F729" s="2"/>
    </row>
    <row r="730">
      <c r="A730" s="2"/>
      <c r="B730" s="2"/>
      <c r="C730" s="2"/>
      <c r="D730" s="2"/>
      <c r="E730" s="2"/>
      <c r="F730" s="2"/>
    </row>
    <row r="731">
      <c r="A731" s="2"/>
      <c r="B731" s="2"/>
      <c r="C731" s="2"/>
      <c r="D731" s="2"/>
      <c r="E731" s="2"/>
      <c r="F731" s="2"/>
    </row>
    <row r="732">
      <c r="A732" s="2"/>
      <c r="B732" s="2"/>
      <c r="C732" s="2"/>
      <c r="D732" s="2"/>
      <c r="E732" s="2"/>
      <c r="F732" s="2"/>
    </row>
    <row r="733">
      <c r="A733" s="2"/>
      <c r="B733" s="2"/>
      <c r="C733" s="2"/>
      <c r="D733" s="2"/>
      <c r="E733" s="2"/>
      <c r="F733" s="2"/>
    </row>
    <row r="734">
      <c r="A734" s="2"/>
      <c r="B734" s="2"/>
      <c r="C734" s="2"/>
      <c r="D734" s="2"/>
      <c r="E734" s="2"/>
      <c r="F734" s="2"/>
    </row>
    <row r="735">
      <c r="A735" s="2"/>
      <c r="B735" s="2"/>
      <c r="C735" s="2"/>
      <c r="D735" s="2"/>
      <c r="E735" s="2"/>
      <c r="F735" s="2"/>
    </row>
    <row r="736">
      <c r="A736" s="2"/>
      <c r="B736" s="2"/>
      <c r="C736" s="2"/>
      <c r="D736" s="2"/>
      <c r="E736" s="2"/>
      <c r="F736" s="2"/>
    </row>
    <row r="737">
      <c r="A737" s="2"/>
      <c r="B737" s="2"/>
      <c r="C737" s="2"/>
      <c r="D737" s="2"/>
      <c r="E737" s="2"/>
      <c r="F737" s="2"/>
    </row>
    <row r="738">
      <c r="A738" s="2"/>
      <c r="B738" s="2"/>
      <c r="C738" s="2"/>
      <c r="D738" s="2"/>
      <c r="E738" s="2"/>
      <c r="F738" s="2"/>
    </row>
    <row r="739">
      <c r="A739" s="2"/>
      <c r="B739" s="2"/>
      <c r="C739" s="2"/>
      <c r="D739" s="2"/>
      <c r="E739" s="2"/>
      <c r="F739" s="2"/>
    </row>
    <row r="740">
      <c r="A740" s="2"/>
      <c r="B740" s="2"/>
      <c r="C740" s="2"/>
      <c r="D740" s="2"/>
      <c r="E740" s="2"/>
      <c r="F740" s="2"/>
    </row>
    <row r="741">
      <c r="A741" s="2"/>
      <c r="B741" s="2"/>
      <c r="C741" s="2"/>
      <c r="D741" s="2"/>
      <c r="E741" s="2"/>
      <c r="F741" s="2"/>
    </row>
    <row r="742">
      <c r="A742" s="2"/>
      <c r="B742" s="2"/>
      <c r="C742" s="2"/>
      <c r="D742" s="2"/>
      <c r="E742" s="2"/>
      <c r="F742" s="2"/>
    </row>
    <row r="743">
      <c r="A743" s="2"/>
      <c r="B743" s="2"/>
      <c r="C743" s="2"/>
      <c r="D743" s="2"/>
      <c r="E743" s="2"/>
      <c r="F743" s="2"/>
    </row>
    <row r="744">
      <c r="A744" s="2"/>
      <c r="B744" s="2"/>
      <c r="C744" s="2"/>
      <c r="D744" s="2"/>
      <c r="E744" s="2"/>
      <c r="F744" s="2"/>
    </row>
    <row r="745">
      <c r="A745" s="2"/>
      <c r="B745" s="2"/>
      <c r="C745" s="2"/>
      <c r="D745" s="2"/>
      <c r="E745" s="2"/>
      <c r="F745" s="2"/>
    </row>
    <row r="746">
      <c r="A746" s="2"/>
      <c r="B746" s="2"/>
      <c r="C746" s="2"/>
      <c r="D746" s="2"/>
      <c r="E746" s="2"/>
      <c r="F746" s="2"/>
    </row>
    <row r="747">
      <c r="A747" s="2"/>
      <c r="B747" s="2"/>
      <c r="C747" s="2"/>
      <c r="D747" s="2"/>
      <c r="E747" s="2"/>
      <c r="F747" s="2"/>
    </row>
    <row r="748">
      <c r="A748" s="2"/>
      <c r="B748" s="2"/>
      <c r="C748" s="2"/>
      <c r="D748" s="2"/>
      <c r="E748" s="2"/>
      <c r="F748" s="2"/>
    </row>
    <row r="749">
      <c r="A749" s="2"/>
      <c r="B749" s="2"/>
      <c r="C749" s="2"/>
      <c r="D749" s="2"/>
      <c r="E749" s="2"/>
      <c r="F749" s="2"/>
    </row>
    <row r="750">
      <c r="A750" s="2"/>
      <c r="B750" s="2"/>
      <c r="C750" s="2"/>
      <c r="D750" s="2"/>
      <c r="E750" s="2"/>
      <c r="F750" s="2"/>
    </row>
    <row r="751">
      <c r="A751" s="2"/>
      <c r="B751" s="2"/>
      <c r="C751" s="2"/>
      <c r="D751" s="2"/>
      <c r="E751" s="2"/>
      <c r="F751" s="2"/>
    </row>
    <row r="752">
      <c r="A752" s="2"/>
      <c r="B752" s="2"/>
      <c r="C752" s="2"/>
      <c r="D752" s="2"/>
      <c r="E752" s="2"/>
      <c r="F752" s="2"/>
    </row>
    <row r="753">
      <c r="A753" s="2"/>
      <c r="B753" s="2"/>
      <c r="C753" s="2"/>
      <c r="D753" s="2"/>
      <c r="E753" s="2"/>
      <c r="F753" s="2"/>
    </row>
    <row r="754">
      <c r="A754" s="2"/>
      <c r="B754" s="2"/>
      <c r="C754" s="2"/>
      <c r="D754" s="2"/>
      <c r="E754" s="2"/>
      <c r="F754" s="2"/>
    </row>
    <row r="755">
      <c r="A755" s="2"/>
      <c r="B755" s="2"/>
      <c r="C755" s="2"/>
      <c r="D755" s="2"/>
      <c r="E755" s="2"/>
      <c r="F755" s="2"/>
    </row>
    <row r="756">
      <c r="A756" s="2"/>
      <c r="B756" s="2"/>
      <c r="C756" s="2"/>
      <c r="D756" s="2"/>
      <c r="E756" s="2"/>
      <c r="F756" s="2"/>
    </row>
    <row r="757">
      <c r="A757" s="2"/>
      <c r="B757" s="2"/>
      <c r="C757" s="2"/>
      <c r="D757" s="2"/>
      <c r="E757" s="2"/>
      <c r="F757" s="2"/>
    </row>
    <row r="758">
      <c r="A758" s="2"/>
      <c r="B758" s="2"/>
      <c r="C758" s="2"/>
      <c r="D758" s="2"/>
      <c r="E758" s="2"/>
      <c r="F758" s="2"/>
    </row>
    <row r="759">
      <c r="A759" s="2"/>
      <c r="B759" s="2"/>
      <c r="C759" s="2"/>
      <c r="D759" s="2"/>
      <c r="E759" s="2"/>
      <c r="F759" s="2"/>
    </row>
    <row r="760">
      <c r="A760" s="2"/>
      <c r="B760" s="2"/>
      <c r="C760" s="2"/>
      <c r="D760" s="2"/>
      <c r="E760" s="2"/>
      <c r="F760" s="2"/>
    </row>
    <row r="761">
      <c r="A761" s="2"/>
      <c r="B761" s="2"/>
      <c r="C761" s="2"/>
      <c r="D761" s="2"/>
      <c r="E761" s="2"/>
      <c r="F761" s="2"/>
    </row>
    <row r="762">
      <c r="A762" s="2"/>
      <c r="B762" s="2"/>
      <c r="C762" s="2"/>
      <c r="D762" s="2"/>
      <c r="E762" s="2"/>
      <c r="F762" s="2"/>
    </row>
    <row r="763">
      <c r="A763" s="2"/>
      <c r="B763" s="2"/>
      <c r="C763" s="2"/>
      <c r="D763" s="2"/>
      <c r="E763" s="2"/>
      <c r="F763" s="2"/>
    </row>
    <row r="764">
      <c r="A764" s="2"/>
      <c r="B764" s="2"/>
      <c r="C764" s="2"/>
      <c r="D764" s="2"/>
      <c r="E764" s="2"/>
      <c r="F764" s="2"/>
    </row>
    <row r="765">
      <c r="A765" s="2"/>
      <c r="B765" s="2"/>
      <c r="C765" s="2"/>
      <c r="D765" s="2"/>
      <c r="E765" s="2"/>
      <c r="F765" s="2"/>
    </row>
    <row r="766">
      <c r="A766" s="2"/>
      <c r="B766" s="2"/>
      <c r="C766" s="2"/>
      <c r="D766" s="2"/>
      <c r="E766" s="2"/>
      <c r="F766" s="2"/>
    </row>
    <row r="767">
      <c r="A767" s="2"/>
      <c r="B767" s="2"/>
      <c r="C767" s="2"/>
      <c r="D767" s="2"/>
      <c r="E767" s="2"/>
      <c r="F767" s="2"/>
    </row>
    <row r="768">
      <c r="A768" s="2"/>
      <c r="B768" s="2"/>
      <c r="C768" s="2"/>
      <c r="D768" s="2"/>
      <c r="E768" s="2"/>
      <c r="F768" s="2"/>
    </row>
    <row r="769">
      <c r="A769" s="2"/>
      <c r="B769" s="2"/>
      <c r="C769" s="2"/>
      <c r="D769" s="2"/>
      <c r="E769" s="2"/>
      <c r="F769" s="2"/>
    </row>
    <row r="770">
      <c r="A770" s="2"/>
      <c r="B770" s="2"/>
      <c r="C770" s="2"/>
      <c r="D770" s="2"/>
      <c r="E770" s="2"/>
      <c r="F770" s="2"/>
    </row>
    <row r="771">
      <c r="A771" s="2"/>
      <c r="B771" s="2"/>
      <c r="C771" s="2"/>
      <c r="D771" s="2"/>
      <c r="E771" s="2"/>
      <c r="F771" s="2"/>
    </row>
    <row r="772">
      <c r="A772" s="2"/>
      <c r="B772" s="2"/>
      <c r="C772" s="2"/>
      <c r="D772" s="2"/>
      <c r="E772" s="2"/>
      <c r="F772" s="2"/>
    </row>
    <row r="773">
      <c r="A773" s="2"/>
      <c r="B773" s="2"/>
      <c r="C773" s="2"/>
      <c r="D773" s="2"/>
      <c r="E773" s="2"/>
      <c r="F773" s="2"/>
    </row>
    <row r="774">
      <c r="A774" s="2"/>
      <c r="B774" s="2"/>
      <c r="C774" s="2"/>
      <c r="D774" s="2"/>
      <c r="E774" s="2"/>
      <c r="F774" s="2"/>
    </row>
    <row r="775">
      <c r="A775" s="2"/>
      <c r="B775" s="2"/>
      <c r="C775" s="2"/>
      <c r="D775" s="2"/>
      <c r="E775" s="2"/>
      <c r="F775" s="2"/>
    </row>
    <row r="776">
      <c r="A776" s="2"/>
      <c r="B776" s="2"/>
      <c r="C776" s="2"/>
      <c r="D776" s="2"/>
      <c r="E776" s="2"/>
      <c r="F776" s="2"/>
    </row>
    <row r="777">
      <c r="A777" s="2"/>
      <c r="B777" s="2"/>
      <c r="C777" s="2"/>
      <c r="D777" s="2"/>
      <c r="E777" s="2"/>
      <c r="F777" s="2"/>
    </row>
    <row r="778">
      <c r="A778" s="2"/>
      <c r="B778" s="2"/>
      <c r="C778" s="2"/>
      <c r="D778" s="2"/>
      <c r="E778" s="2"/>
      <c r="F778" s="2"/>
    </row>
    <row r="779">
      <c r="A779" s="2"/>
      <c r="B779" s="2"/>
      <c r="C779" s="2"/>
      <c r="D779" s="2"/>
      <c r="E779" s="2"/>
      <c r="F779" s="2"/>
    </row>
    <row r="780">
      <c r="A780" s="2"/>
      <c r="B780" s="2"/>
      <c r="C780" s="2"/>
      <c r="D780" s="2"/>
      <c r="E780" s="2"/>
      <c r="F780" s="2"/>
    </row>
    <row r="781">
      <c r="A781" s="2"/>
      <c r="B781" s="2"/>
      <c r="C781" s="2"/>
      <c r="D781" s="2"/>
      <c r="E781" s="2"/>
      <c r="F781" s="2"/>
    </row>
    <row r="782">
      <c r="A782" s="2"/>
      <c r="B782" s="2"/>
      <c r="C782" s="2"/>
      <c r="D782" s="2"/>
      <c r="E782" s="2"/>
      <c r="F782" s="2"/>
    </row>
    <row r="783">
      <c r="A783" s="2"/>
      <c r="B783" s="2"/>
      <c r="C783" s="2"/>
      <c r="D783" s="2"/>
      <c r="E783" s="2"/>
      <c r="F783" s="2"/>
    </row>
    <row r="784">
      <c r="A784" s="2"/>
      <c r="B784" s="2"/>
      <c r="C784" s="2"/>
      <c r="D784" s="2"/>
      <c r="E784" s="2"/>
      <c r="F784" s="2"/>
    </row>
    <row r="785">
      <c r="A785" s="2"/>
      <c r="B785" s="2"/>
      <c r="C785" s="2"/>
      <c r="D785" s="2"/>
      <c r="E785" s="2"/>
      <c r="F785" s="2"/>
    </row>
    <row r="786">
      <c r="A786" s="2"/>
      <c r="B786" s="2"/>
      <c r="C786" s="2"/>
      <c r="D786" s="2"/>
      <c r="E786" s="2"/>
      <c r="F786" s="2"/>
    </row>
    <row r="787">
      <c r="A787" s="2"/>
      <c r="B787" s="2"/>
      <c r="C787" s="2"/>
      <c r="D787" s="2"/>
      <c r="E787" s="2"/>
      <c r="F787" s="2"/>
    </row>
    <row r="788">
      <c r="A788" s="2"/>
      <c r="B788" s="2"/>
      <c r="C788" s="2"/>
      <c r="D788" s="2"/>
      <c r="E788" s="2"/>
      <c r="F788" s="2"/>
    </row>
    <row r="789">
      <c r="A789" s="2"/>
      <c r="B789" s="2"/>
      <c r="C789" s="2"/>
      <c r="D789" s="2"/>
      <c r="E789" s="2"/>
      <c r="F789" s="2"/>
    </row>
    <row r="790">
      <c r="A790" s="2"/>
      <c r="B790" s="2"/>
      <c r="C790" s="2"/>
      <c r="D790" s="2"/>
      <c r="E790" s="2"/>
      <c r="F790" s="2"/>
    </row>
    <row r="791">
      <c r="A791" s="2"/>
      <c r="B791" s="2"/>
      <c r="C791" s="2"/>
      <c r="D791" s="2"/>
      <c r="E791" s="2"/>
      <c r="F791" s="2"/>
    </row>
    <row r="792">
      <c r="A792" s="2"/>
      <c r="B792" s="2"/>
      <c r="C792" s="2"/>
      <c r="D792" s="2"/>
      <c r="E792" s="2"/>
      <c r="F792" s="2"/>
    </row>
    <row r="793">
      <c r="A793" s="2"/>
      <c r="B793" s="2"/>
      <c r="C793" s="2"/>
      <c r="D793" s="2"/>
      <c r="E793" s="2"/>
      <c r="F793" s="2"/>
    </row>
    <row r="794">
      <c r="A794" s="2"/>
      <c r="B794" s="2"/>
      <c r="C794" s="2"/>
      <c r="D794" s="2"/>
      <c r="E794" s="2"/>
      <c r="F794" s="2"/>
    </row>
    <row r="795">
      <c r="A795" s="2"/>
      <c r="B795" s="2"/>
      <c r="C795" s="2"/>
      <c r="D795" s="2"/>
      <c r="E795" s="2"/>
      <c r="F795" s="2"/>
    </row>
    <row r="796">
      <c r="A796" s="2"/>
      <c r="B796" s="2"/>
      <c r="C796" s="2"/>
      <c r="D796" s="2"/>
      <c r="E796" s="2"/>
      <c r="F796" s="2"/>
    </row>
    <row r="797">
      <c r="A797" s="2"/>
      <c r="B797" s="2"/>
      <c r="C797" s="2"/>
      <c r="D797" s="2"/>
      <c r="E797" s="2"/>
      <c r="F797" s="2"/>
    </row>
    <row r="798">
      <c r="A798" s="2"/>
      <c r="B798" s="2"/>
      <c r="C798" s="2"/>
      <c r="D798" s="2"/>
      <c r="E798" s="2"/>
      <c r="F798" s="2"/>
    </row>
    <row r="799">
      <c r="A799" s="2"/>
      <c r="B799" s="2"/>
      <c r="C799" s="2"/>
      <c r="D799" s="2"/>
      <c r="E799" s="2"/>
      <c r="F799" s="2"/>
    </row>
    <row r="800">
      <c r="A800" s="2"/>
      <c r="B800" s="2"/>
      <c r="C800" s="2"/>
      <c r="D800" s="2"/>
      <c r="E800" s="2"/>
      <c r="F800" s="2"/>
    </row>
    <row r="801">
      <c r="A801" s="2"/>
      <c r="B801" s="2"/>
      <c r="C801" s="2"/>
      <c r="D801" s="2"/>
      <c r="E801" s="2"/>
      <c r="F801" s="2"/>
    </row>
    <row r="802">
      <c r="A802" s="2"/>
      <c r="B802" s="2"/>
      <c r="C802" s="2"/>
      <c r="D802" s="2"/>
      <c r="E802" s="2"/>
      <c r="F802" s="2"/>
    </row>
    <row r="803">
      <c r="A803" s="2"/>
      <c r="B803" s="2"/>
      <c r="C803" s="2"/>
      <c r="D803" s="2"/>
      <c r="E803" s="2"/>
      <c r="F803" s="2"/>
    </row>
    <row r="804">
      <c r="A804" s="2"/>
      <c r="B804" s="2"/>
      <c r="C804" s="2"/>
      <c r="D804" s="2"/>
      <c r="E804" s="2"/>
      <c r="F804" s="2"/>
    </row>
    <row r="805">
      <c r="A805" s="2"/>
      <c r="B805" s="2"/>
      <c r="C805" s="2"/>
      <c r="D805" s="2"/>
      <c r="E805" s="2"/>
      <c r="F805" s="2"/>
    </row>
    <row r="806">
      <c r="A806" s="2"/>
      <c r="B806" s="2"/>
      <c r="C806" s="2"/>
      <c r="D806" s="2"/>
      <c r="E806" s="2"/>
      <c r="F806" s="2"/>
    </row>
    <row r="807">
      <c r="A807" s="2"/>
      <c r="B807" s="2"/>
      <c r="C807" s="2"/>
      <c r="D807" s="2"/>
      <c r="E807" s="2"/>
      <c r="F807" s="2"/>
    </row>
    <row r="808">
      <c r="A808" s="2"/>
      <c r="B808" s="2"/>
      <c r="C808" s="2"/>
      <c r="D808" s="2"/>
      <c r="E808" s="2"/>
      <c r="F808" s="2"/>
    </row>
    <row r="809">
      <c r="A809" s="2"/>
      <c r="B809" s="2"/>
      <c r="C809" s="2"/>
      <c r="D809" s="2"/>
      <c r="E809" s="2"/>
      <c r="F809" s="2"/>
    </row>
    <row r="810">
      <c r="A810" s="2"/>
      <c r="B810" s="2"/>
      <c r="C810" s="2"/>
      <c r="D810" s="2"/>
      <c r="E810" s="2"/>
      <c r="F810" s="2"/>
    </row>
    <row r="811">
      <c r="A811" s="2"/>
      <c r="B811" s="2"/>
      <c r="C811" s="2"/>
      <c r="D811" s="2"/>
      <c r="E811" s="2"/>
      <c r="F811" s="2"/>
    </row>
    <row r="812">
      <c r="A812" s="2"/>
      <c r="B812" s="2"/>
      <c r="C812" s="2"/>
      <c r="D812" s="2"/>
      <c r="E812" s="2"/>
      <c r="F812" s="2"/>
    </row>
    <row r="813">
      <c r="A813" s="2"/>
      <c r="B813" s="2"/>
      <c r="C813" s="2"/>
      <c r="D813" s="2"/>
      <c r="E813" s="2"/>
      <c r="F813" s="2"/>
    </row>
    <row r="814">
      <c r="A814" s="2"/>
      <c r="B814" s="2"/>
      <c r="C814" s="2"/>
      <c r="D814" s="2"/>
      <c r="E814" s="2"/>
      <c r="F814" s="2"/>
    </row>
    <row r="815">
      <c r="A815" s="2"/>
      <c r="B815" s="2"/>
      <c r="C815" s="2"/>
      <c r="D815" s="2"/>
      <c r="E815" s="2"/>
      <c r="F815" s="2"/>
    </row>
    <row r="816">
      <c r="A816" s="2"/>
      <c r="B816" s="2"/>
      <c r="C816" s="2"/>
      <c r="D816" s="2"/>
      <c r="E816" s="2"/>
      <c r="F816" s="2"/>
    </row>
    <row r="817">
      <c r="A817" s="2"/>
      <c r="B817" s="2"/>
      <c r="C817" s="2"/>
      <c r="D817" s="2"/>
      <c r="E817" s="2"/>
      <c r="F817" s="2"/>
    </row>
    <row r="818">
      <c r="A818" s="2"/>
      <c r="B818" s="2"/>
      <c r="C818" s="2"/>
      <c r="D818" s="2"/>
      <c r="E818" s="2"/>
      <c r="F818" s="2"/>
    </row>
    <row r="819">
      <c r="A819" s="2"/>
      <c r="B819" s="2"/>
      <c r="C819" s="2"/>
      <c r="D819" s="2"/>
      <c r="E819" s="2"/>
      <c r="F819" s="2"/>
    </row>
    <row r="820">
      <c r="A820" s="2"/>
      <c r="B820" s="2"/>
      <c r="C820" s="2"/>
      <c r="D820" s="2"/>
      <c r="E820" s="2"/>
      <c r="F820" s="2"/>
    </row>
    <row r="821">
      <c r="A821" s="2"/>
      <c r="B821" s="2"/>
      <c r="C821" s="2"/>
      <c r="D821" s="2"/>
      <c r="E821" s="2"/>
      <c r="F821" s="2"/>
    </row>
    <row r="822">
      <c r="A822" s="2"/>
      <c r="B822" s="2"/>
      <c r="C822" s="2"/>
      <c r="D822" s="2"/>
      <c r="E822" s="2"/>
      <c r="F822" s="2"/>
    </row>
    <row r="823">
      <c r="A823" s="2"/>
      <c r="B823" s="2"/>
      <c r="C823" s="2"/>
      <c r="D823" s="2"/>
      <c r="E823" s="2"/>
      <c r="F823" s="2"/>
    </row>
    <row r="824">
      <c r="A824" s="2"/>
      <c r="B824" s="2"/>
      <c r="C824" s="2"/>
      <c r="D824" s="2"/>
      <c r="E824" s="2"/>
      <c r="F824" s="2"/>
    </row>
    <row r="825">
      <c r="A825" s="2"/>
      <c r="B825" s="2"/>
      <c r="C825" s="2"/>
      <c r="D825" s="2"/>
      <c r="E825" s="2"/>
      <c r="F825" s="2"/>
    </row>
    <row r="826">
      <c r="A826" s="2"/>
      <c r="B826" s="2"/>
      <c r="C826" s="2"/>
      <c r="D826" s="2"/>
      <c r="E826" s="2"/>
      <c r="F826" s="2"/>
    </row>
    <row r="827">
      <c r="A827" s="2"/>
      <c r="B827" s="2"/>
      <c r="C827" s="2"/>
      <c r="D827" s="2"/>
      <c r="E827" s="2"/>
      <c r="F827" s="2"/>
    </row>
    <row r="828">
      <c r="A828" s="2"/>
      <c r="B828" s="2"/>
      <c r="C828" s="2"/>
      <c r="D828" s="2"/>
      <c r="E828" s="2"/>
      <c r="F828" s="2"/>
    </row>
    <row r="829">
      <c r="A829" s="2"/>
      <c r="B829" s="2"/>
      <c r="C829" s="2"/>
      <c r="D829" s="2"/>
      <c r="E829" s="2"/>
      <c r="F829" s="2"/>
    </row>
    <row r="830">
      <c r="A830" s="2"/>
      <c r="B830" s="2"/>
      <c r="C830" s="2"/>
      <c r="D830" s="2"/>
      <c r="E830" s="2"/>
      <c r="F830" s="2"/>
    </row>
    <row r="831">
      <c r="A831" s="2"/>
      <c r="B831" s="2"/>
      <c r="C831" s="2"/>
      <c r="D831" s="2"/>
      <c r="E831" s="2"/>
      <c r="F831" s="2"/>
    </row>
    <row r="832">
      <c r="A832" s="2"/>
      <c r="B832" s="2"/>
      <c r="C832" s="2"/>
      <c r="D832" s="2"/>
      <c r="E832" s="2"/>
      <c r="F832" s="2"/>
    </row>
    <row r="833">
      <c r="A833" s="2"/>
      <c r="B833" s="2"/>
      <c r="C833" s="2"/>
      <c r="D833" s="2"/>
      <c r="E833" s="2"/>
      <c r="F833" s="2"/>
    </row>
    <row r="834">
      <c r="A834" s="2"/>
      <c r="B834" s="2"/>
      <c r="C834" s="2"/>
      <c r="D834" s="2"/>
      <c r="E834" s="2"/>
      <c r="F834" s="2"/>
    </row>
    <row r="835">
      <c r="A835" s="2"/>
      <c r="B835" s="2"/>
      <c r="C835" s="2"/>
      <c r="D835" s="2"/>
      <c r="E835" s="2"/>
      <c r="F835" s="2"/>
    </row>
    <row r="836">
      <c r="A836" s="2"/>
      <c r="B836" s="2"/>
      <c r="C836" s="2"/>
      <c r="D836" s="2"/>
      <c r="E836" s="2"/>
      <c r="F836" s="2"/>
    </row>
    <row r="837">
      <c r="A837" s="2"/>
      <c r="B837" s="2"/>
      <c r="C837" s="2"/>
      <c r="D837" s="2"/>
      <c r="E837" s="2"/>
      <c r="F837" s="2"/>
    </row>
    <row r="838">
      <c r="A838" s="2"/>
      <c r="B838" s="2"/>
      <c r="C838" s="2"/>
      <c r="D838" s="2"/>
      <c r="E838" s="2"/>
      <c r="F838" s="2"/>
    </row>
    <row r="839">
      <c r="A839" s="2"/>
      <c r="B839" s="2"/>
      <c r="C839" s="2"/>
      <c r="D839" s="2"/>
      <c r="E839" s="2"/>
      <c r="F839" s="2"/>
    </row>
    <row r="840">
      <c r="A840" s="2"/>
      <c r="B840" s="2"/>
      <c r="C840" s="2"/>
      <c r="D840" s="2"/>
      <c r="E840" s="2"/>
      <c r="F840" s="2"/>
    </row>
    <row r="841">
      <c r="A841" s="2"/>
      <c r="B841" s="2"/>
      <c r="C841" s="2"/>
      <c r="D841" s="2"/>
      <c r="E841" s="2"/>
      <c r="F841" s="2"/>
    </row>
    <row r="842">
      <c r="A842" s="2"/>
      <c r="B842" s="2"/>
      <c r="C842" s="2"/>
      <c r="D842" s="2"/>
      <c r="E842" s="2"/>
      <c r="F842" s="2"/>
    </row>
    <row r="843">
      <c r="A843" s="2"/>
      <c r="B843" s="2"/>
      <c r="C843" s="2"/>
      <c r="D843" s="2"/>
      <c r="E843" s="2"/>
      <c r="F843" s="2"/>
    </row>
    <row r="844">
      <c r="A844" s="2"/>
      <c r="B844" s="2"/>
      <c r="C844" s="2"/>
      <c r="D844" s="2"/>
      <c r="E844" s="2"/>
      <c r="F844" s="2"/>
    </row>
    <row r="845">
      <c r="A845" s="2"/>
      <c r="B845" s="2"/>
      <c r="C845" s="2"/>
      <c r="D845" s="2"/>
      <c r="E845" s="2"/>
      <c r="F845" s="2"/>
    </row>
    <row r="846">
      <c r="A846" s="2"/>
      <c r="B846" s="2"/>
      <c r="C846" s="2"/>
      <c r="D846" s="2"/>
      <c r="E846" s="2"/>
      <c r="F846" s="2"/>
    </row>
    <row r="847">
      <c r="A847" s="2"/>
      <c r="B847" s="2"/>
      <c r="C847" s="2"/>
      <c r="D847" s="2"/>
      <c r="E847" s="2"/>
      <c r="F847" s="2"/>
    </row>
    <row r="848">
      <c r="A848" s="2"/>
      <c r="B848" s="2"/>
      <c r="C848" s="2"/>
      <c r="D848" s="2"/>
      <c r="E848" s="2"/>
      <c r="F848" s="2"/>
    </row>
    <row r="849">
      <c r="A849" s="2"/>
      <c r="B849" s="2"/>
      <c r="C849" s="2"/>
      <c r="D849" s="2"/>
      <c r="E849" s="2"/>
      <c r="F849" s="2"/>
    </row>
    <row r="850">
      <c r="A850" s="2"/>
      <c r="B850" s="2"/>
      <c r="C850" s="2"/>
      <c r="D850" s="2"/>
      <c r="E850" s="2"/>
      <c r="F850" s="2"/>
    </row>
    <row r="851">
      <c r="A851" s="2"/>
      <c r="B851" s="2"/>
      <c r="C851" s="2"/>
      <c r="D851" s="2"/>
      <c r="E851" s="2"/>
      <c r="F851" s="2"/>
    </row>
    <row r="852">
      <c r="A852" s="2"/>
      <c r="B852" s="2"/>
      <c r="C852" s="2"/>
      <c r="D852" s="2"/>
      <c r="E852" s="2"/>
      <c r="F852" s="2"/>
    </row>
    <row r="853">
      <c r="A853" s="2"/>
      <c r="B853" s="2"/>
      <c r="C853" s="2"/>
      <c r="D853" s="2"/>
      <c r="E853" s="2"/>
      <c r="F853" s="2"/>
    </row>
    <row r="854">
      <c r="A854" s="2"/>
      <c r="B854" s="2"/>
      <c r="C854" s="2"/>
      <c r="D854" s="2"/>
      <c r="E854" s="2"/>
      <c r="F854" s="2"/>
    </row>
    <row r="855">
      <c r="A855" s="2"/>
      <c r="B855" s="2"/>
      <c r="C855" s="2"/>
      <c r="D855" s="2"/>
      <c r="E855" s="2"/>
      <c r="F855" s="2"/>
    </row>
    <row r="856">
      <c r="A856" s="2"/>
      <c r="B856" s="2"/>
      <c r="C856" s="2"/>
      <c r="D856" s="2"/>
      <c r="E856" s="2"/>
      <c r="F856" s="2"/>
    </row>
    <row r="857">
      <c r="A857" s="2"/>
      <c r="B857" s="2"/>
      <c r="C857" s="2"/>
      <c r="D857" s="2"/>
      <c r="E857" s="2"/>
      <c r="F857" s="2"/>
    </row>
    <row r="858">
      <c r="A858" s="2"/>
      <c r="B858" s="2"/>
      <c r="C858" s="2"/>
      <c r="D858" s="2"/>
      <c r="E858" s="2"/>
      <c r="F858" s="2"/>
    </row>
    <row r="859">
      <c r="A859" s="2"/>
      <c r="B859" s="2"/>
      <c r="C859" s="2"/>
      <c r="D859" s="2"/>
      <c r="E859" s="2"/>
      <c r="F859" s="2"/>
    </row>
    <row r="860">
      <c r="A860" s="2"/>
      <c r="B860" s="2"/>
      <c r="C860" s="2"/>
      <c r="D860" s="2"/>
      <c r="E860" s="2"/>
      <c r="F860" s="2"/>
    </row>
    <row r="861">
      <c r="A861" s="2"/>
      <c r="B861" s="2"/>
      <c r="C861" s="2"/>
      <c r="D861" s="2"/>
      <c r="E861" s="2"/>
      <c r="F861" s="2"/>
    </row>
    <row r="862">
      <c r="A862" s="2"/>
      <c r="B862" s="2"/>
      <c r="C862" s="2"/>
      <c r="D862" s="2"/>
      <c r="E862" s="2"/>
      <c r="F862" s="2"/>
    </row>
    <row r="863">
      <c r="A863" s="2"/>
      <c r="B863" s="2"/>
      <c r="C863" s="2"/>
      <c r="D863" s="2"/>
      <c r="E863" s="2"/>
      <c r="F863" s="2"/>
    </row>
    <row r="864">
      <c r="A864" s="2"/>
      <c r="B864" s="2"/>
      <c r="C864" s="2"/>
      <c r="D864" s="2"/>
      <c r="E864" s="2"/>
      <c r="F864" s="2"/>
    </row>
    <row r="865">
      <c r="A865" s="2"/>
      <c r="B865" s="2"/>
      <c r="C865" s="2"/>
      <c r="D865" s="2"/>
      <c r="E865" s="2"/>
      <c r="F865" s="2"/>
    </row>
    <row r="866">
      <c r="A866" s="2"/>
      <c r="B866" s="2"/>
      <c r="C866" s="2"/>
      <c r="D866" s="2"/>
      <c r="E866" s="2"/>
      <c r="F866" s="2"/>
    </row>
    <row r="867">
      <c r="A867" s="2"/>
      <c r="B867" s="2"/>
      <c r="C867" s="2"/>
      <c r="D867" s="2"/>
      <c r="E867" s="2"/>
      <c r="F867" s="2"/>
    </row>
    <row r="868">
      <c r="A868" s="2"/>
      <c r="B868" s="2"/>
      <c r="C868" s="2"/>
      <c r="D868" s="2"/>
      <c r="E868" s="2"/>
      <c r="F868" s="2"/>
    </row>
    <row r="869">
      <c r="A869" s="2"/>
      <c r="B869" s="2"/>
      <c r="C869" s="2"/>
      <c r="D869" s="2"/>
      <c r="E869" s="2"/>
      <c r="F869" s="2"/>
    </row>
    <row r="870">
      <c r="A870" s="2"/>
      <c r="B870" s="2"/>
      <c r="C870" s="2"/>
      <c r="D870" s="2"/>
      <c r="E870" s="2"/>
      <c r="F870" s="2"/>
    </row>
    <row r="871">
      <c r="A871" s="2"/>
      <c r="B871" s="2"/>
      <c r="C871" s="2"/>
      <c r="D871" s="2"/>
      <c r="E871" s="2"/>
      <c r="F871" s="2"/>
    </row>
    <row r="872">
      <c r="A872" s="2"/>
      <c r="B872" s="2"/>
      <c r="C872" s="2"/>
      <c r="D872" s="2"/>
      <c r="E872" s="2"/>
      <c r="F872" s="2"/>
    </row>
    <row r="873">
      <c r="A873" s="2"/>
      <c r="B873" s="2"/>
      <c r="C873" s="2"/>
      <c r="D873" s="2"/>
      <c r="E873" s="2"/>
      <c r="F873" s="2"/>
    </row>
    <row r="874">
      <c r="A874" s="2"/>
      <c r="B874" s="2"/>
      <c r="C874" s="2"/>
      <c r="D874" s="2"/>
      <c r="E874" s="2"/>
      <c r="F874" s="2"/>
    </row>
    <row r="875">
      <c r="A875" s="2"/>
      <c r="B875" s="2"/>
      <c r="C875" s="2"/>
      <c r="D875" s="2"/>
      <c r="E875" s="2"/>
      <c r="F875" s="2"/>
    </row>
    <row r="876">
      <c r="A876" s="2"/>
      <c r="B876" s="2"/>
      <c r="C876" s="2"/>
      <c r="D876" s="2"/>
      <c r="E876" s="2"/>
      <c r="F876" s="2"/>
    </row>
    <row r="877">
      <c r="A877" s="2"/>
      <c r="B877" s="2"/>
      <c r="C877" s="2"/>
      <c r="D877" s="2"/>
      <c r="E877" s="2"/>
      <c r="F877" s="2"/>
    </row>
    <row r="878">
      <c r="A878" s="2"/>
      <c r="B878" s="2"/>
      <c r="C878" s="2"/>
      <c r="D878" s="2"/>
      <c r="E878" s="2"/>
      <c r="F878" s="2"/>
    </row>
    <row r="879">
      <c r="A879" s="2"/>
      <c r="B879" s="2"/>
      <c r="C879" s="2"/>
      <c r="D879" s="2"/>
      <c r="E879" s="2"/>
      <c r="F879" s="2"/>
    </row>
    <row r="880">
      <c r="A880" s="2"/>
      <c r="B880" s="2"/>
      <c r="C880" s="2"/>
      <c r="D880" s="2"/>
      <c r="E880" s="2"/>
      <c r="F880" s="2"/>
    </row>
    <row r="881">
      <c r="A881" s="2"/>
      <c r="B881" s="2"/>
      <c r="C881" s="2"/>
      <c r="D881" s="2"/>
      <c r="E881" s="2"/>
      <c r="F881" s="2"/>
    </row>
    <row r="882">
      <c r="A882" s="2"/>
      <c r="B882" s="2"/>
      <c r="C882" s="2"/>
      <c r="D882" s="2"/>
      <c r="E882" s="2"/>
      <c r="F882" s="2"/>
    </row>
    <row r="883">
      <c r="A883" s="2"/>
      <c r="B883" s="2"/>
      <c r="C883" s="2"/>
      <c r="D883" s="2"/>
      <c r="E883" s="2"/>
      <c r="F883" s="2"/>
    </row>
    <row r="884">
      <c r="A884" s="2"/>
      <c r="B884" s="2"/>
      <c r="C884" s="2"/>
      <c r="D884" s="2"/>
      <c r="E884" s="2"/>
      <c r="F884" s="2"/>
    </row>
    <row r="885">
      <c r="A885" s="2"/>
      <c r="B885" s="2"/>
      <c r="C885" s="2"/>
      <c r="D885" s="2"/>
      <c r="E885" s="2"/>
      <c r="F885" s="2"/>
    </row>
    <row r="886">
      <c r="A886" s="2"/>
      <c r="B886" s="2"/>
      <c r="C886" s="2"/>
      <c r="D886" s="2"/>
      <c r="E886" s="2"/>
      <c r="F886" s="2"/>
    </row>
    <row r="887">
      <c r="A887" s="2"/>
      <c r="B887" s="2"/>
      <c r="C887" s="2"/>
      <c r="D887" s="2"/>
      <c r="E887" s="2"/>
      <c r="F887" s="2"/>
    </row>
    <row r="888">
      <c r="A888" s="2"/>
      <c r="B888" s="2"/>
      <c r="C888" s="2"/>
      <c r="D888" s="2"/>
      <c r="E888" s="2"/>
      <c r="F888" s="2"/>
    </row>
    <row r="889">
      <c r="A889" s="2"/>
      <c r="B889" s="2"/>
      <c r="C889" s="2"/>
      <c r="D889" s="2"/>
      <c r="E889" s="2"/>
      <c r="F889" s="2"/>
    </row>
    <row r="890">
      <c r="A890" s="2"/>
      <c r="B890" s="2"/>
      <c r="C890" s="2"/>
      <c r="D890" s="2"/>
      <c r="E890" s="2"/>
      <c r="F890" s="2"/>
    </row>
    <row r="891">
      <c r="A891" s="2"/>
      <c r="B891" s="2"/>
      <c r="C891" s="2"/>
      <c r="D891" s="2"/>
      <c r="E891" s="2"/>
      <c r="F891" s="2"/>
    </row>
    <row r="892">
      <c r="A892" s="2"/>
      <c r="B892" s="2"/>
      <c r="C892" s="2"/>
      <c r="D892" s="2"/>
      <c r="E892" s="2"/>
      <c r="F892" s="2"/>
    </row>
    <row r="893">
      <c r="A893" s="2"/>
      <c r="B893" s="2"/>
      <c r="C893" s="2"/>
      <c r="D893" s="2"/>
      <c r="E893" s="2"/>
      <c r="F893" s="2"/>
    </row>
    <row r="894">
      <c r="A894" s="2"/>
      <c r="B894" s="2"/>
      <c r="C894" s="2"/>
      <c r="D894" s="2"/>
      <c r="E894" s="2"/>
      <c r="F894" s="2"/>
    </row>
    <row r="895">
      <c r="A895" s="2"/>
      <c r="B895" s="2"/>
      <c r="C895" s="2"/>
      <c r="D895" s="2"/>
      <c r="E895" s="2"/>
      <c r="F895" s="2"/>
    </row>
    <row r="896">
      <c r="A896" s="2"/>
      <c r="B896" s="2"/>
      <c r="C896" s="2"/>
      <c r="D896" s="2"/>
      <c r="E896" s="2"/>
      <c r="F896" s="2"/>
    </row>
    <row r="897">
      <c r="A897" s="2"/>
      <c r="B897" s="2"/>
      <c r="C897" s="2"/>
      <c r="D897" s="2"/>
      <c r="E897" s="2"/>
      <c r="F897" s="2"/>
    </row>
    <row r="898">
      <c r="A898" s="2"/>
      <c r="B898" s="2"/>
      <c r="C898" s="2"/>
      <c r="D898" s="2"/>
      <c r="E898" s="2"/>
      <c r="F898" s="2"/>
    </row>
    <row r="899">
      <c r="A899" s="2"/>
      <c r="B899" s="2"/>
      <c r="C899" s="2"/>
      <c r="D899" s="2"/>
      <c r="E899" s="2"/>
      <c r="F899" s="2"/>
    </row>
    <row r="900">
      <c r="A900" s="2"/>
      <c r="B900" s="2"/>
      <c r="C900" s="2"/>
      <c r="D900" s="2"/>
      <c r="E900" s="2"/>
      <c r="F900" s="2"/>
    </row>
    <row r="901">
      <c r="A901" s="2"/>
      <c r="B901" s="2"/>
      <c r="C901" s="2"/>
      <c r="D901" s="2"/>
      <c r="E901" s="2"/>
      <c r="F901" s="2"/>
    </row>
    <row r="902">
      <c r="A902" s="2"/>
      <c r="B902" s="2"/>
      <c r="C902" s="2"/>
      <c r="D902" s="2"/>
      <c r="E902" s="2"/>
      <c r="F902" s="2"/>
    </row>
    <row r="903">
      <c r="A903" s="2"/>
      <c r="B903" s="2"/>
      <c r="C903" s="2"/>
      <c r="D903" s="2"/>
      <c r="E903" s="2"/>
      <c r="F903" s="2"/>
    </row>
    <row r="904">
      <c r="A904" s="2"/>
      <c r="B904" s="2"/>
      <c r="C904" s="2"/>
      <c r="D904" s="2"/>
      <c r="E904" s="2"/>
      <c r="F904" s="2"/>
    </row>
    <row r="905">
      <c r="A905" s="2"/>
      <c r="B905" s="2"/>
      <c r="C905" s="2"/>
      <c r="D905" s="2"/>
      <c r="E905" s="2"/>
      <c r="F905" s="2"/>
    </row>
    <row r="906">
      <c r="A906" s="2"/>
      <c r="B906" s="2"/>
      <c r="C906" s="2"/>
      <c r="D906" s="2"/>
      <c r="E906" s="2"/>
      <c r="F906" s="2"/>
    </row>
    <row r="907">
      <c r="A907" s="2"/>
      <c r="B907" s="2"/>
      <c r="C907" s="2"/>
      <c r="D907" s="2"/>
      <c r="E907" s="2"/>
      <c r="F907" s="2"/>
    </row>
    <row r="908">
      <c r="A908" s="2"/>
      <c r="B908" s="2"/>
      <c r="C908" s="2"/>
      <c r="D908" s="2"/>
      <c r="E908" s="2"/>
      <c r="F908" s="2"/>
    </row>
    <row r="909">
      <c r="A909" s="2"/>
      <c r="B909" s="2"/>
      <c r="C909" s="2"/>
      <c r="D909" s="2"/>
      <c r="E909" s="2"/>
      <c r="F909" s="2"/>
    </row>
    <row r="910">
      <c r="A910" s="2"/>
      <c r="B910" s="2"/>
      <c r="C910" s="2"/>
      <c r="D910" s="2"/>
      <c r="E910" s="2"/>
      <c r="F910" s="2"/>
    </row>
    <row r="911">
      <c r="A911" s="2"/>
      <c r="B911" s="2"/>
      <c r="C911" s="2"/>
      <c r="D911" s="2"/>
      <c r="E911" s="2"/>
      <c r="F911" s="2"/>
    </row>
    <row r="912">
      <c r="A912" s="2"/>
      <c r="B912" s="2"/>
      <c r="C912" s="2"/>
      <c r="D912" s="2"/>
      <c r="E912" s="2"/>
      <c r="F912" s="2"/>
    </row>
    <row r="913">
      <c r="A913" s="2"/>
      <c r="B913" s="2"/>
      <c r="C913" s="2"/>
      <c r="D913" s="2"/>
      <c r="E913" s="2"/>
      <c r="F913" s="2"/>
    </row>
    <row r="914">
      <c r="A914" s="2"/>
      <c r="B914" s="2"/>
      <c r="C914" s="2"/>
      <c r="D914" s="2"/>
      <c r="E914" s="2"/>
      <c r="F914" s="2"/>
    </row>
    <row r="915">
      <c r="A915" s="2"/>
      <c r="B915" s="2"/>
      <c r="C915" s="2"/>
      <c r="D915" s="2"/>
      <c r="E915" s="2"/>
      <c r="F915" s="2"/>
    </row>
    <row r="916">
      <c r="A916" s="2"/>
      <c r="B916" s="2"/>
      <c r="C916" s="2"/>
      <c r="D916" s="2"/>
      <c r="E916" s="2"/>
      <c r="F916" s="2"/>
    </row>
    <row r="917">
      <c r="A917" s="2"/>
      <c r="B917" s="2"/>
      <c r="C917" s="2"/>
      <c r="D917" s="2"/>
      <c r="E917" s="2"/>
      <c r="F917" s="2"/>
    </row>
    <row r="918">
      <c r="A918" s="2"/>
      <c r="B918" s="2"/>
      <c r="C918" s="2"/>
      <c r="D918" s="2"/>
      <c r="E918" s="2"/>
      <c r="F918" s="2"/>
    </row>
    <row r="919">
      <c r="A919" s="2"/>
      <c r="B919" s="2"/>
      <c r="C919" s="2"/>
      <c r="D919" s="2"/>
      <c r="E919" s="2"/>
      <c r="F919" s="2"/>
    </row>
    <row r="920">
      <c r="A920" s="2"/>
      <c r="B920" s="2"/>
      <c r="C920" s="2"/>
      <c r="D920" s="2"/>
      <c r="E920" s="2"/>
      <c r="F920" s="2"/>
    </row>
    <row r="921">
      <c r="A921" s="2"/>
      <c r="B921" s="2"/>
      <c r="C921" s="2"/>
      <c r="D921" s="2"/>
      <c r="E921" s="2"/>
      <c r="F921" s="2"/>
    </row>
    <row r="922">
      <c r="A922" s="2"/>
      <c r="B922" s="2"/>
      <c r="C922" s="2"/>
      <c r="D922" s="2"/>
      <c r="E922" s="2"/>
      <c r="F922" s="2"/>
    </row>
    <row r="923">
      <c r="A923" s="2"/>
      <c r="B923" s="2"/>
      <c r="C923" s="2"/>
      <c r="D923" s="2"/>
      <c r="E923" s="2"/>
      <c r="F923" s="2"/>
    </row>
    <row r="924">
      <c r="A924" s="2"/>
      <c r="B924" s="2"/>
      <c r="C924" s="2"/>
      <c r="D924" s="2"/>
      <c r="E924" s="2"/>
      <c r="F924" s="2"/>
    </row>
    <row r="925">
      <c r="A925" s="2"/>
      <c r="B925" s="2"/>
      <c r="C925" s="2"/>
      <c r="D925" s="2"/>
      <c r="E925" s="2"/>
      <c r="F925" s="2"/>
    </row>
    <row r="926">
      <c r="A926" s="2"/>
      <c r="B926" s="2"/>
      <c r="C926" s="2"/>
      <c r="D926" s="2"/>
      <c r="E926" s="2"/>
      <c r="F926" s="2"/>
    </row>
    <row r="927">
      <c r="A927" s="2"/>
      <c r="B927" s="2"/>
      <c r="C927" s="2"/>
      <c r="D927" s="2"/>
      <c r="E927" s="2"/>
      <c r="F927" s="2"/>
    </row>
    <row r="928">
      <c r="A928" s="2"/>
      <c r="B928" s="2"/>
      <c r="C928" s="2"/>
      <c r="D928" s="2"/>
      <c r="E928" s="2"/>
      <c r="F928" s="2"/>
    </row>
    <row r="929">
      <c r="A929" s="2"/>
      <c r="B929" s="2"/>
      <c r="C929" s="2"/>
      <c r="D929" s="2"/>
      <c r="E929" s="2"/>
      <c r="F929" s="2"/>
    </row>
    <row r="930">
      <c r="A930" s="2"/>
      <c r="B930" s="2"/>
      <c r="C930" s="2"/>
      <c r="D930" s="2"/>
      <c r="E930" s="2"/>
      <c r="F930" s="2"/>
    </row>
    <row r="931">
      <c r="A931" s="2"/>
      <c r="B931" s="2"/>
      <c r="C931" s="2"/>
      <c r="D931" s="2"/>
      <c r="E931" s="2"/>
      <c r="F931" s="2"/>
    </row>
    <row r="932">
      <c r="A932" s="2"/>
      <c r="B932" s="2"/>
      <c r="C932" s="2"/>
      <c r="D932" s="2"/>
      <c r="E932" s="2"/>
      <c r="F932" s="2"/>
    </row>
    <row r="933">
      <c r="A933" s="2"/>
      <c r="B933" s="2"/>
      <c r="C933" s="2"/>
      <c r="D933" s="2"/>
      <c r="E933" s="2"/>
      <c r="F933" s="2"/>
    </row>
    <row r="934">
      <c r="A934" s="2"/>
      <c r="B934" s="2"/>
      <c r="C934" s="2"/>
      <c r="D934" s="2"/>
      <c r="E934" s="2"/>
      <c r="F934" s="2"/>
    </row>
    <row r="935">
      <c r="A935" s="2"/>
      <c r="B935" s="2"/>
      <c r="C935" s="2"/>
      <c r="D935" s="2"/>
      <c r="E935" s="2"/>
      <c r="F935" s="2"/>
    </row>
    <row r="936">
      <c r="A936" s="2"/>
      <c r="B936" s="2"/>
      <c r="C936" s="2"/>
      <c r="D936" s="2"/>
      <c r="E936" s="2"/>
      <c r="F936" s="2"/>
    </row>
    <row r="937">
      <c r="A937" s="2"/>
      <c r="B937" s="2"/>
      <c r="C937" s="2"/>
      <c r="D937" s="2"/>
      <c r="E937" s="2"/>
      <c r="F937" s="2"/>
    </row>
    <row r="938">
      <c r="A938" s="2"/>
      <c r="B938" s="2"/>
      <c r="C938" s="2"/>
      <c r="D938" s="2"/>
      <c r="E938" s="2"/>
      <c r="F938" s="2"/>
    </row>
    <row r="939">
      <c r="A939" s="2"/>
      <c r="B939" s="2"/>
      <c r="C939" s="2"/>
      <c r="D939" s="2"/>
      <c r="E939" s="2"/>
      <c r="F939" s="2"/>
    </row>
    <row r="940">
      <c r="A940" s="2"/>
      <c r="B940" s="2"/>
      <c r="C940" s="2"/>
      <c r="D940" s="2"/>
      <c r="E940" s="2"/>
      <c r="F940" s="2"/>
    </row>
    <row r="941">
      <c r="A941" s="2"/>
      <c r="B941" s="2"/>
      <c r="C941" s="2"/>
      <c r="D941" s="2"/>
      <c r="E941" s="2"/>
      <c r="F941" s="2"/>
    </row>
    <row r="942">
      <c r="A942" s="2"/>
      <c r="B942" s="2"/>
      <c r="C942" s="2"/>
      <c r="D942" s="2"/>
      <c r="E942" s="2"/>
      <c r="F942" s="2"/>
    </row>
    <row r="943">
      <c r="A943" s="2"/>
      <c r="B943" s="2"/>
      <c r="C943" s="2"/>
      <c r="D943" s="2"/>
      <c r="E943" s="2"/>
      <c r="F943" s="2"/>
    </row>
    <row r="944">
      <c r="A944" s="2"/>
      <c r="B944" s="2"/>
      <c r="C944" s="2"/>
      <c r="D944" s="2"/>
      <c r="E944" s="2"/>
      <c r="F944" s="2"/>
    </row>
    <row r="945">
      <c r="A945" s="2"/>
      <c r="B945" s="2"/>
      <c r="C945" s="2"/>
      <c r="D945" s="2"/>
      <c r="E945" s="2"/>
      <c r="F945" s="2"/>
    </row>
    <row r="946">
      <c r="A946" s="2"/>
      <c r="B946" s="2"/>
      <c r="C946" s="2"/>
      <c r="D946" s="2"/>
      <c r="E946" s="2"/>
      <c r="F946" s="2"/>
    </row>
    <row r="947">
      <c r="A947" s="2"/>
      <c r="B947" s="2"/>
      <c r="C947" s="2"/>
      <c r="D947" s="2"/>
      <c r="E947" s="2"/>
      <c r="F947" s="2"/>
    </row>
    <row r="948">
      <c r="A948" s="2"/>
      <c r="B948" s="2"/>
      <c r="C948" s="2"/>
      <c r="D948" s="2"/>
      <c r="E948" s="2"/>
      <c r="F948" s="2"/>
    </row>
    <row r="949">
      <c r="A949" s="2"/>
      <c r="B949" s="2"/>
      <c r="C949" s="2"/>
      <c r="D949" s="2"/>
      <c r="E949" s="2"/>
      <c r="F949" s="2"/>
    </row>
    <row r="950">
      <c r="A950" s="2"/>
      <c r="B950" s="2"/>
      <c r="C950" s="2"/>
      <c r="D950" s="2"/>
      <c r="E950" s="2"/>
      <c r="F950" s="2"/>
    </row>
    <row r="951">
      <c r="A951" s="2"/>
      <c r="B951" s="2"/>
      <c r="C951" s="2"/>
      <c r="D951" s="2"/>
      <c r="E951" s="2"/>
      <c r="F951" s="2"/>
    </row>
    <row r="952">
      <c r="A952" s="2"/>
      <c r="B952" s="2"/>
      <c r="C952" s="2"/>
      <c r="D952" s="2"/>
      <c r="E952" s="2"/>
      <c r="F952" s="2"/>
    </row>
    <row r="953">
      <c r="A953" s="2"/>
      <c r="B953" s="2"/>
      <c r="C953" s="2"/>
      <c r="D953" s="2"/>
      <c r="E953" s="2"/>
      <c r="F953" s="2"/>
    </row>
    <row r="954">
      <c r="A954" s="2"/>
      <c r="B954" s="2"/>
      <c r="C954" s="2"/>
      <c r="D954" s="2"/>
      <c r="E954" s="2"/>
      <c r="F954" s="2"/>
    </row>
    <row r="955">
      <c r="A955" s="2"/>
      <c r="B955" s="2"/>
      <c r="C955" s="2"/>
      <c r="D955" s="2"/>
      <c r="E955" s="2"/>
      <c r="F955" s="2"/>
    </row>
    <row r="956">
      <c r="A956" s="2"/>
      <c r="B956" s="2"/>
      <c r="C956" s="2"/>
      <c r="D956" s="2"/>
      <c r="E956" s="2"/>
      <c r="F956" s="2"/>
    </row>
    <row r="957">
      <c r="A957" s="2"/>
      <c r="B957" s="2"/>
      <c r="C957" s="2"/>
      <c r="D957" s="2"/>
      <c r="E957" s="2"/>
      <c r="F957" s="2"/>
    </row>
    <row r="958">
      <c r="A958" s="2"/>
      <c r="B958" s="2"/>
      <c r="C958" s="2"/>
      <c r="D958" s="2"/>
      <c r="E958" s="2"/>
      <c r="F958" s="2"/>
    </row>
    <row r="959">
      <c r="A959" s="2"/>
      <c r="B959" s="2"/>
      <c r="C959" s="2"/>
      <c r="D959" s="2"/>
      <c r="E959" s="2"/>
      <c r="F959" s="2"/>
    </row>
    <row r="960">
      <c r="A960" s="2"/>
      <c r="B960" s="2"/>
      <c r="C960" s="2"/>
      <c r="D960" s="2"/>
      <c r="E960" s="2"/>
      <c r="F960" s="2"/>
    </row>
    <row r="961">
      <c r="A961" s="2"/>
      <c r="B961" s="2"/>
      <c r="C961" s="2"/>
      <c r="D961" s="2"/>
      <c r="E961" s="2"/>
      <c r="F961" s="2"/>
    </row>
    <row r="962">
      <c r="A962" s="2"/>
      <c r="B962" s="2"/>
      <c r="C962" s="2"/>
      <c r="D962" s="2"/>
      <c r="E962" s="2"/>
      <c r="F962" s="2"/>
    </row>
    <row r="963">
      <c r="A963" s="2"/>
      <c r="B963" s="2"/>
      <c r="C963" s="2"/>
      <c r="D963" s="2"/>
      <c r="E963" s="2"/>
      <c r="F963" s="2"/>
    </row>
    <row r="964">
      <c r="A964" s="2"/>
      <c r="B964" s="2"/>
      <c r="C964" s="2"/>
      <c r="D964" s="2"/>
      <c r="E964" s="2"/>
      <c r="F964" s="2"/>
    </row>
    <row r="965">
      <c r="A965" s="2"/>
      <c r="B965" s="2"/>
      <c r="C965" s="2"/>
      <c r="D965" s="2"/>
      <c r="E965" s="2"/>
      <c r="F965" s="2"/>
    </row>
    <row r="966">
      <c r="A966" s="2"/>
      <c r="B966" s="2"/>
      <c r="C966" s="2"/>
      <c r="D966" s="2"/>
      <c r="E966" s="2"/>
      <c r="F966" s="2"/>
    </row>
    <row r="967">
      <c r="A967" s="2"/>
      <c r="B967" s="2"/>
      <c r="C967" s="2"/>
      <c r="D967" s="2"/>
      <c r="E967" s="2"/>
      <c r="F967" s="2"/>
    </row>
    <row r="968">
      <c r="A968" s="2"/>
      <c r="B968" s="2"/>
      <c r="C968" s="2"/>
      <c r="D968" s="2"/>
      <c r="E968" s="2"/>
      <c r="F968" s="2"/>
    </row>
    <row r="969">
      <c r="A969" s="2"/>
      <c r="B969" s="2"/>
      <c r="C969" s="2"/>
      <c r="D969" s="2"/>
      <c r="E969" s="2"/>
      <c r="F969" s="2"/>
    </row>
    <row r="970">
      <c r="A970" s="2"/>
      <c r="B970" s="2"/>
      <c r="C970" s="2"/>
      <c r="D970" s="2"/>
      <c r="E970" s="2"/>
      <c r="F970" s="2"/>
    </row>
    <row r="971">
      <c r="A971" s="2"/>
      <c r="B971" s="2"/>
      <c r="C971" s="2"/>
      <c r="D971" s="2"/>
      <c r="E971" s="2"/>
      <c r="F971" s="2"/>
    </row>
    <row r="972">
      <c r="A972" s="2"/>
      <c r="B972" s="2"/>
      <c r="C972" s="2"/>
      <c r="D972" s="2"/>
      <c r="E972" s="2"/>
      <c r="F972" s="2"/>
    </row>
    <row r="973">
      <c r="A973" s="2"/>
      <c r="B973" s="2"/>
      <c r="C973" s="2"/>
      <c r="D973" s="2"/>
      <c r="E973" s="2"/>
      <c r="F973" s="2"/>
    </row>
    <row r="974">
      <c r="A974" s="2"/>
      <c r="B974" s="2"/>
      <c r="C974" s="2"/>
      <c r="D974" s="2"/>
      <c r="E974" s="2"/>
      <c r="F974" s="2"/>
    </row>
    <row r="975">
      <c r="A975" s="2"/>
      <c r="B975" s="2"/>
      <c r="C975" s="2"/>
      <c r="D975" s="2"/>
      <c r="E975" s="2"/>
      <c r="F975" s="2"/>
    </row>
    <row r="976">
      <c r="A976" s="2"/>
      <c r="B976" s="2"/>
      <c r="C976" s="2"/>
      <c r="D976" s="2"/>
      <c r="E976" s="2"/>
      <c r="F976" s="2"/>
    </row>
    <row r="977">
      <c r="A977" s="2"/>
      <c r="B977" s="2"/>
      <c r="C977" s="2"/>
      <c r="D977" s="2"/>
      <c r="E977" s="2"/>
      <c r="F977" s="2"/>
    </row>
    <row r="978">
      <c r="A978" s="2"/>
      <c r="B978" s="2"/>
      <c r="C978" s="2"/>
      <c r="D978" s="2"/>
      <c r="E978" s="2"/>
      <c r="F978" s="2"/>
    </row>
    <row r="979">
      <c r="A979" s="2"/>
      <c r="B979" s="2"/>
      <c r="C979" s="2"/>
      <c r="D979" s="2"/>
      <c r="E979" s="2"/>
      <c r="F979" s="2"/>
    </row>
    <row r="980">
      <c r="A980" s="2"/>
      <c r="B980" s="2"/>
      <c r="C980" s="2"/>
      <c r="D980" s="2"/>
      <c r="E980" s="2"/>
      <c r="F980" s="2"/>
    </row>
    <row r="981">
      <c r="A981" s="2"/>
      <c r="B981" s="2"/>
      <c r="C981" s="2"/>
      <c r="D981" s="2"/>
      <c r="E981" s="2"/>
      <c r="F981" s="2"/>
    </row>
    <row r="982">
      <c r="A982" s="2"/>
      <c r="B982" s="2"/>
      <c r="C982" s="2"/>
      <c r="D982" s="2"/>
      <c r="E982" s="2"/>
      <c r="F982" s="2"/>
    </row>
    <row r="983">
      <c r="A983" s="2"/>
      <c r="B983" s="2"/>
      <c r="C983" s="2"/>
      <c r="D983" s="2"/>
      <c r="E983" s="2"/>
      <c r="F983" s="2"/>
    </row>
    <row r="984">
      <c r="A984" s="2"/>
      <c r="B984" s="2"/>
      <c r="C984" s="2"/>
      <c r="D984" s="2"/>
      <c r="E984" s="2"/>
      <c r="F984" s="2"/>
    </row>
    <row r="985">
      <c r="A985" s="2"/>
      <c r="B985" s="2"/>
      <c r="C985" s="2"/>
      <c r="D985" s="2"/>
      <c r="E985" s="2"/>
      <c r="F985" s="2"/>
    </row>
    <row r="986">
      <c r="A986" s="2"/>
      <c r="B986" s="2"/>
      <c r="C986" s="2"/>
      <c r="D986" s="2"/>
      <c r="E986" s="2"/>
      <c r="F986" s="2"/>
    </row>
    <row r="987">
      <c r="A987" s="2"/>
      <c r="B987" s="2"/>
      <c r="C987" s="2"/>
      <c r="D987" s="2"/>
      <c r="E987" s="2"/>
      <c r="F987" s="2"/>
    </row>
    <row r="988">
      <c r="A988" s="2"/>
      <c r="B988" s="2"/>
      <c r="C988" s="2"/>
      <c r="D988" s="2"/>
      <c r="E988" s="2"/>
      <c r="F988" s="2"/>
    </row>
    <row r="989">
      <c r="A989" s="2"/>
      <c r="B989" s="2"/>
      <c r="C989" s="2"/>
      <c r="D989" s="2"/>
      <c r="E989" s="2"/>
      <c r="F989" s="2"/>
    </row>
    <row r="990">
      <c r="A990" s="2"/>
      <c r="B990" s="2"/>
      <c r="C990" s="2"/>
      <c r="D990" s="2"/>
      <c r="E990" s="2"/>
      <c r="F990" s="2"/>
    </row>
    <row r="991">
      <c r="A991" s="2"/>
      <c r="B991" s="2"/>
      <c r="C991" s="2"/>
      <c r="D991" s="2"/>
      <c r="E991" s="2"/>
      <c r="F991" s="2"/>
    </row>
    <row r="992">
      <c r="A992" s="2"/>
      <c r="B992" s="2"/>
      <c r="C992" s="2"/>
      <c r="D992" s="2"/>
      <c r="E992" s="2"/>
      <c r="F992" s="2"/>
    </row>
    <row r="993">
      <c r="A993" s="2"/>
      <c r="B993" s="2"/>
      <c r="C993" s="2"/>
      <c r="D993" s="2"/>
      <c r="E993" s="2"/>
      <c r="F993" s="2"/>
    </row>
    <row r="994">
      <c r="A994" s="2"/>
      <c r="B994" s="2"/>
      <c r="C994" s="2"/>
      <c r="D994" s="2"/>
      <c r="E994" s="2"/>
      <c r="F994" s="2"/>
    </row>
    <row r="995">
      <c r="A995" s="2"/>
      <c r="B995" s="2"/>
      <c r="C995" s="2"/>
      <c r="D995" s="2"/>
      <c r="E995" s="2"/>
      <c r="F995" s="2"/>
    </row>
    <row r="996">
      <c r="A996" s="2"/>
      <c r="B996" s="2"/>
      <c r="C996" s="2"/>
      <c r="D996" s="2"/>
      <c r="E996" s="2"/>
      <c r="F996" s="2"/>
    </row>
    <row r="997">
      <c r="A997" s="2"/>
      <c r="B997" s="2"/>
      <c r="C997" s="2"/>
      <c r="D997" s="2"/>
      <c r="E997" s="2"/>
      <c r="F997" s="2"/>
    </row>
    <row r="998">
      <c r="A998" s="2"/>
      <c r="B998" s="2"/>
      <c r="C998" s="2"/>
      <c r="D998" s="2"/>
      <c r="E998" s="2"/>
      <c r="F998" s="2"/>
    </row>
    <row r="999">
      <c r="A999" s="2"/>
      <c r="B999" s="2"/>
      <c r="C999" s="2"/>
      <c r="D999" s="2"/>
      <c r="E999" s="2"/>
      <c r="F999" s="2"/>
    </row>
    <row r="1000">
      <c r="A1000" s="2"/>
      <c r="B1000" s="2"/>
      <c r="C1000" s="2"/>
      <c r="D1000" s="2"/>
      <c r="E1000" s="2"/>
      <c r="F1000" s="2"/>
    </row>
    <row r="1001">
      <c r="A1001" s="2"/>
      <c r="B1001" s="2"/>
      <c r="C1001" s="2"/>
      <c r="D1001" s="2"/>
      <c r="E1001" s="2"/>
      <c r="F100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4.38"/>
    <col customWidth="1" min="3" max="3" width="25.0"/>
    <col customWidth="1" min="4" max="4" width="8.38"/>
    <col customWidth="1" min="5" max="5" width="9.25"/>
    <col customWidth="1" min="6" max="6" width="63.13"/>
    <col customWidth="1" min="7" max="7" width="19.5"/>
    <col customWidth="1" hidden="1" min="8" max="8" width="7.0"/>
    <col customWidth="1" min="9" max="9" width="22.5"/>
  </cols>
  <sheetData>
    <row r="1" ht="21.0" customHeight="1">
      <c r="A1" s="32" t="s">
        <v>49</v>
      </c>
      <c r="B1" s="32" t="s">
        <v>50</v>
      </c>
      <c r="C1" s="33" t="s">
        <v>51</v>
      </c>
      <c r="D1" s="34" t="s">
        <v>52</v>
      </c>
      <c r="E1" s="35" t="s">
        <v>53</v>
      </c>
      <c r="F1" s="36" t="s">
        <v>54</v>
      </c>
      <c r="G1" s="36" t="s">
        <v>55</v>
      </c>
      <c r="H1" s="36" t="s">
        <v>55</v>
      </c>
      <c r="I1" s="37" t="s">
        <v>56</v>
      </c>
    </row>
    <row r="2" ht="19.5" customHeight="1">
      <c r="A2" s="38">
        <v>46023.0</v>
      </c>
      <c r="B2" s="39" t="s">
        <v>57</v>
      </c>
      <c r="C2" s="40" t="s">
        <v>58</v>
      </c>
      <c r="D2" s="41">
        <v>2200.0</v>
      </c>
      <c r="E2" s="42">
        <v>500000.0</v>
      </c>
      <c r="F2" s="43" t="s">
        <v>59</v>
      </c>
      <c r="G2" s="44" t="s">
        <v>60</v>
      </c>
      <c r="H2" s="45"/>
      <c r="I2" s="45"/>
    </row>
    <row r="3">
      <c r="A3" s="38">
        <v>46030.0</v>
      </c>
      <c r="B3" s="45" t="s">
        <v>57</v>
      </c>
      <c r="C3" s="40" t="s">
        <v>58</v>
      </c>
      <c r="D3" s="41">
        <v>2200.0</v>
      </c>
      <c r="E3" s="42">
        <v>500000.0</v>
      </c>
      <c r="F3" s="43" t="s">
        <v>61</v>
      </c>
      <c r="G3" s="46" t="s">
        <v>62</v>
      </c>
      <c r="H3" s="47"/>
      <c r="I3" s="45" t="s">
        <v>63</v>
      </c>
    </row>
    <row r="4" ht="16.5" customHeight="1">
      <c r="A4" s="38">
        <v>46034.0</v>
      </c>
      <c r="B4" s="45" t="s">
        <v>57</v>
      </c>
      <c r="C4" s="40" t="s">
        <v>58</v>
      </c>
      <c r="D4" s="41">
        <v>2200.0</v>
      </c>
      <c r="E4" s="42">
        <v>500000.0</v>
      </c>
      <c r="F4" s="48" t="s">
        <v>64</v>
      </c>
      <c r="G4" s="49" t="s">
        <v>65</v>
      </c>
      <c r="H4" s="45"/>
      <c r="I4" s="45" t="s">
        <v>63</v>
      </c>
    </row>
    <row r="5">
      <c r="A5" s="38">
        <v>46035.0</v>
      </c>
      <c r="B5" s="45" t="s">
        <v>17</v>
      </c>
      <c r="C5" s="40" t="s">
        <v>66</v>
      </c>
      <c r="D5" s="41"/>
      <c r="E5" s="42"/>
      <c r="F5" s="48" t="s">
        <v>64</v>
      </c>
      <c r="G5" s="50" t="s">
        <v>67</v>
      </c>
      <c r="H5" s="45"/>
      <c r="I5" s="45"/>
    </row>
    <row r="6">
      <c r="A6" s="38">
        <v>46035.0</v>
      </c>
      <c r="B6" s="45" t="s">
        <v>57</v>
      </c>
      <c r="C6" s="40" t="s">
        <v>68</v>
      </c>
      <c r="D6" s="41">
        <v>3000.0</v>
      </c>
      <c r="E6" s="42">
        <v>40000.0</v>
      </c>
      <c r="F6" s="43" t="s">
        <v>69</v>
      </c>
      <c r="G6" s="44" t="s">
        <v>70</v>
      </c>
      <c r="H6" s="45"/>
      <c r="I6" s="45"/>
    </row>
    <row r="7">
      <c r="A7" s="38">
        <v>46034.0</v>
      </c>
      <c r="B7" s="45" t="s">
        <v>11</v>
      </c>
      <c r="C7" s="40" t="s">
        <v>71</v>
      </c>
      <c r="D7" s="51">
        <v>1000.0</v>
      </c>
      <c r="E7" s="42">
        <v>100000.0</v>
      </c>
      <c r="F7" s="43" t="s">
        <v>72</v>
      </c>
      <c r="G7" s="52" t="s">
        <v>73</v>
      </c>
      <c r="H7" s="53"/>
      <c r="I7" s="45"/>
    </row>
    <row r="8">
      <c r="A8" s="45" t="s">
        <v>74</v>
      </c>
      <c r="B8" s="45" t="s">
        <v>11</v>
      </c>
      <c r="C8" s="40" t="s">
        <v>71</v>
      </c>
      <c r="D8" s="51">
        <v>1000.0</v>
      </c>
      <c r="E8" s="42">
        <v>100000.0</v>
      </c>
      <c r="F8" s="43" t="s">
        <v>75</v>
      </c>
      <c r="G8" s="44" t="s">
        <v>76</v>
      </c>
      <c r="H8" s="45"/>
      <c r="I8" s="45" t="s">
        <v>63</v>
      </c>
    </row>
    <row r="9">
      <c r="A9" s="38">
        <v>46036.0</v>
      </c>
      <c r="B9" s="45" t="s">
        <v>57</v>
      </c>
      <c r="C9" s="40" t="s">
        <v>77</v>
      </c>
      <c r="D9" s="41">
        <v>9500.0</v>
      </c>
      <c r="E9" s="42">
        <v>250000.0</v>
      </c>
      <c r="F9" s="43" t="s">
        <v>78</v>
      </c>
      <c r="G9" s="50" t="s">
        <v>79</v>
      </c>
      <c r="H9" s="45"/>
      <c r="I9" s="45" t="s">
        <v>63</v>
      </c>
    </row>
    <row r="10">
      <c r="A10" s="38">
        <v>46036.0</v>
      </c>
      <c r="B10" s="45" t="s">
        <v>57</v>
      </c>
      <c r="C10" s="54" t="s">
        <v>58</v>
      </c>
      <c r="D10" s="41">
        <v>2200.0</v>
      </c>
      <c r="E10" s="42">
        <v>500000.0</v>
      </c>
      <c r="F10" s="55" t="s">
        <v>80</v>
      </c>
      <c r="G10" s="50" t="s">
        <v>81</v>
      </c>
      <c r="H10" s="45"/>
      <c r="I10" s="45"/>
    </row>
    <row r="11">
      <c r="A11" s="38">
        <v>46039.0</v>
      </c>
      <c r="B11" s="45" t="s">
        <v>57</v>
      </c>
      <c r="C11" s="54" t="s">
        <v>58</v>
      </c>
      <c r="D11" s="41">
        <v>2200.0</v>
      </c>
      <c r="E11" s="42">
        <v>500000.0</v>
      </c>
      <c r="F11" s="56" t="s">
        <v>82</v>
      </c>
      <c r="G11" s="57" t="s">
        <v>83</v>
      </c>
      <c r="H11" s="45"/>
      <c r="I11" s="45"/>
    </row>
    <row r="12">
      <c r="A12" s="38">
        <v>46042.0</v>
      </c>
      <c r="B12" s="45" t="s">
        <v>57</v>
      </c>
      <c r="C12" s="40" t="s">
        <v>68</v>
      </c>
      <c r="D12" s="41">
        <v>3000.0</v>
      </c>
      <c r="E12" s="42">
        <v>40000.0</v>
      </c>
      <c r="F12" s="58" t="s">
        <v>84</v>
      </c>
      <c r="G12" s="59" t="s">
        <v>85</v>
      </c>
      <c r="H12" s="45"/>
      <c r="I12" s="45"/>
    </row>
    <row r="13">
      <c r="A13" s="38">
        <v>46044.0</v>
      </c>
      <c r="B13" s="45" t="s">
        <v>57</v>
      </c>
      <c r="C13" s="40" t="s">
        <v>68</v>
      </c>
      <c r="D13" s="41">
        <v>3000.0</v>
      </c>
      <c r="E13" s="42">
        <v>40000.0</v>
      </c>
      <c r="F13" s="60" t="s">
        <v>86</v>
      </c>
      <c r="G13" s="50" t="s">
        <v>87</v>
      </c>
      <c r="H13" s="45"/>
      <c r="I13" s="45"/>
    </row>
    <row r="14">
      <c r="A14" s="38">
        <v>46050.0</v>
      </c>
      <c r="B14" s="45" t="s">
        <v>57</v>
      </c>
      <c r="C14" s="40" t="s">
        <v>68</v>
      </c>
      <c r="D14" s="41">
        <v>3000.0</v>
      </c>
      <c r="E14" s="42">
        <v>40000.0</v>
      </c>
      <c r="F14" s="61" t="s">
        <v>88</v>
      </c>
      <c r="G14" s="50" t="s">
        <v>89</v>
      </c>
      <c r="H14" s="45"/>
      <c r="I14" s="45"/>
    </row>
    <row r="15">
      <c r="A15" s="38">
        <v>46051.0</v>
      </c>
      <c r="B15" s="45" t="s">
        <v>17</v>
      </c>
      <c r="C15" s="40" t="s">
        <v>90</v>
      </c>
      <c r="D15" s="41"/>
      <c r="E15" s="42"/>
      <c r="F15" s="62" t="s">
        <v>91</v>
      </c>
      <c r="G15" s="50" t="s">
        <v>92</v>
      </c>
      <c r="H15" s="45"/>
      <c r="I15" s="45"/>
    </row>
    <row r="16">
      <c r="A16" s="38">
        <v>46051.0</v>
      </c>
      <c r="B16" s="45" t="s">
        <v>11</v>
      </c>
      <c r="C16" s="40" t="s">
        <v>71</v>
      </c>
      <c r="D16" s="41">
        <v>1000.0</v>
      </c>
      <c r="E16" s="42">
        <v>100000.0</v>
      </c>
      <c r="F16" s="43" t="s">
        <v>93</v>
      </c>
      <c r="G16" s="44" t="s">
        <v>94</v>
      </c>
      <c r="H16" s="45"/>
      <c r="I16" s="45"/>
    </row>
    <row r="17">
      <c r="A17" s="63">
        <v>46052.0</v>
      </c>
      <c r="B17" s="47" t="s">
        <v>57</v>
      </c>
      <c r="C17" s="64" t="s">
        <v>58</v>
      </c>
      <c r="D17" s="65">
        <v>2200.0</v>
      </c>
      <c r="E17" s="66">
        <v>500000.0</v>
      </c>
      <c r="F17" s="67" t="s">
        <v>95</v>
      </c>
      <c r="G17" s="67" t="s">
        <v>96</v>
      </c>
      <c r="H17" s="47"/>
      <c r="I17" s="47"/>
    </row>
    <row r="18">
      <c r="A18" s="68">
        <v>46058.0</v>
      </c>
      <c r="B18" s="69" t="s">
        <v>57</v>
      </c>
      <c r="C18" s="70" t="s">
        <v>77</v>
      </c>
      <c r="D18" s="71">
        <v>9500.0</v>
      </c>
      <c r="E18" s="72">
        <v>250000.0</v>
      </c>
      <c r="F18" s="73" t="s">
        <v>97</v>
      </c>
      <c r="G18" s="74" t="s">
        <v>98</v>
      </c>
      <c r="H18" s="69"/>
      <c r="I18" s="69"/>
    </row>
    <row r="19">
      <c r="A19" s="38">
        <v>46058.0</v>
      </c>
      <c r="B19" s="45" t="s">
        <v>57</v>
      </c>
      <c r="C19" s="40" t="s">
        <v>68</v>
      </c>
      <c r="D19" s="41">
        <v>3000.0</v>
      </c>
      <c r="E19" s="42">
        <v>40000.0</v>
      </c>
      <c r="F19" s="43" t="s">
        <v>99</v>
      </c>
      <c r="G19" s="75" t="s">
        <v>100</v>
      </c>
      <c r="H19" s="45"/>
      <c r="I19" s="45"/>
    </row>
    <row r="20">
      <c r="A20" s="38">
        <v>46058.0</v>
      </c>
      <c r="B20" s="45" t="s">
        <v>17</v>
      </c>
      <c r="C20" s="40" t="s">
        <v>101</v>
      </c>
      <c r="D20" s="41"/>
      <c r="E20" s="42"/>
      <c r="F20" s="43" t="s">
        <v>102</v>
      </c>
      <c r="G20" s="59" t="s">
        <v>103</v>
      </c>
      <c r="H20" s="45"/>
      <c r="I20" s="45"/>
    </row>
    <row r="21">
      <c r="A21" s="38">
        <v>46057.0</v>
      </c>
      <c r="B21" s="45" t="s">
        <v>17</v>
      </c>
      <c r="C21" s="40" t="s">
        <v>104</v>
      </c>
      <c r="D21" s="41"/>
      <c r="E21" s="42"/>
      <c r="F21" s="43" t="s">
        <v>105</v>
      </c>
      <c r="G21" s="50" t="s">
        <v>106</v>
      </c>
      <c r="H21" s="45"/>
      <c r="I21" s="45"/>
    </row>
    <row r="22">
      <c r="A22" s="38">
        <v>46063.0</v>
      </c>
      <c r="B22" s="45" t="s">
        <v>57</v>
      </c>
      <c r="C22" s="40" t="s">
        <v>68</v>
      </c>
      <c r="D22" s="76">
        <v>3000.0</v>
      </c>
      <c r="E22" s="42">
        <v>40000.0</v>
      </c>
      <c r="F22" s="43" t="s">
        <v>107</v>
      </c>
      <c r="G22" s="50" t="s">
        <v>108</v>
      </c>
      <c r="H22" s="45"/>
      <c r="I22" s="45"/>
    </row>
    <row r="23">
      <c r="A23" s="38">
        <v>46063.0</v>
      </c>
      <c r="B23" s="45" t="s">
        <v>57</v>
      </c>
      <c r="C23" s="40" t="s">
        <v>77</v>
      </c>
      <c r="D23" s="76">
        <v>9500.0</v>
      </c>
      <c r="E23" s="76">
        <v>250000.0</v>
      </c>
      <c r="F23" s="77" t="s">
        <v>109</v>
      </c>
      <c r="G23" s="44" t="s">
        <v>110</v>
      </c>
      <c r="H23" s="45"/>
      <c r="I23" s="45"/>
    </row>
    <row r="24">
      <c r="A24" s="38">
        <v>46069.0</v>
      </c>
      <c r="B24" s="45" t="s">
        <v>11</v>
      </c>
      <c r="C24" s="40" t="s">
        <v>71</v>
      </c>
      <c r="D24" s="41">
        <v>1000.0</v>
      </c>
      <c r="E24" s="42">
        <v>100000.0</v>
      </c>
      <c r="F24" s="62" t="s">
        <v>111</v>
      </c>
      <c r="G24" s="78" t="s">
        <v>112</v>
      </c>
      <c r="H24" s="45"/>
      <c r="I24" s="45"/>
    </row>
    <row r="25">
      <c r="A25" s="38">
        <v>46067.0</v>
      </c>
      <c r="B25" s="45" t="s">
        <v>57</v>
      </c>
      <c r="C25" s="40" t="s">
        <v>77</v>
      </c>
      <c r="D25" s="76">
        <v>9500.0</v>
      </c>
      <c r="E25" s="76">
        <v>250000.0</v>
      </c>
      <c r="F25" s="43" t="s">
        <v>113</v>
      </c>
      <c r="G25" s="59" t="s">
        <v>114</v>
      </c>
      <c r="H25" s="45"/>
      <c r="I25" s="45"/>
    </row>
    <row r="26">
      <c r="A26" s="38">
        <v>46063.0</v>
      </c>
      <c r="B26" s="45" t="s">
        <v>57</v>
      </c>
      <c r="C26" s="40" t="s">
        <v>68</v>
      </c>
      <c r="D26" s="76">
        <v>3000.0</v>
      </c>
      <c r="E26" s="42">
        <v>40000.0</v>
      </c>
      <c r="F26" s="43" t="s">
        <v>115</v>
      </c>
      <c r="G26" s="44" t="s">
        <v>116</v>
      </c>
      <c r="H26" s="45"/>
      <c r="I26" s="45"/>
    </row>
    <row r="27">
      <c r="A27" s="38">
        <v>46063.0</v>
      </c>
      <c r="B27" s="45" t="s">
        <v>11</v>
      </c>
      <c r="C27" s="40" t="s">
        <v>71</v>
      </c>
      <c r="D27" s="41">
        <v>1000.0</v>
      </c>
      <c r="E27" s="42">
        <v>100000.0</v>
      </c>
      <c r="F27" s="43" t="s">
        <v>117</v>
      </c>
      <c r="G27" s="44" t="s">
        <v>118</v>
      </c>
      <c r="H27" s="45"/>
      <c r="I27" s="45"/>
    </row>
    <row r="28">
      <c r="A28" s="38">
        <v>46063.0</v>
      </c>
      <c r="B28" s="45" t="s">
        <v>57</v>
      </c>
      <c r="C28" s="40" t="s">
        <v>68</v>
      </c>
      <c r="D28" s="76">
        <v>3000.0</v>
      </c>
      <c r="E28" s="42">
        <v>40000.0</v>
      </c>
      <c r="F28" s="43" t="s">
        <v>119</v>
      </c>
      <c r="G28" s="59" t="s">
        <v>120</v>
      </c>
      <c r="H28" s="45"/>
      <c r="I28" s="45"/>
    </row>
    <row r="29">
      <c r="A29" s="38">
        <v>46079.0</v>
      </c>
      <c r="B29" s="45" t="s">
        <v>57</v>
      </c>
      <c r="C29" s="40" t="s">
        <v>77</v>
      </c>
      <c r="D29" s="76">
        <v>9500.0</v>
      </c>
      <c r="E29" s="76">
        <v>250000.0</v>
      </c>
      <c r="F29" s="43" t="s">
        <v>121</v>
      </c>
      <c r="G29" s="44" t="s">
        <v>122</v>
      </c>
      <c r="H29" s="45"/>
      <c r="I29" s="45"/>
    </row>
    <row r="30">
      <c r="A30" s="38">
        <v>46076.0</v>
      </c>
      <c r="B30" s="45" t="s">
        <v>17</v>
      </c>
      <c r="C30" s="40" t="s">
        <v>123</v>
      </c>
      <c r="D30" s="76"/>
      <c r="E30" s="76"/>
      <c r="F30" s="43" t="s">
        <v>124</v>
      </c>
      <c r="G30" s="44" t="s">
        <v>125</v>
      </c>
      <c r="H30" s="45"/>
      <c r="I30" s="45"/>
    </row>
    <row r="31">
      <c r="A31" s="38">
        <v>46078.0</v>
      </c>
      <c r="B31" s="45" t="s">
        <v>57</v>
      </c>
      <c r="C31" s="54" t="s">
        <v>77</v>
      </c>
      <c r="D31" s="41">
        <v>9500.0</v>
      </c>
      <c r="E31" s="42">
        <v>250000.0</v>
      </c>
      <c r="F31" s="77" t="s">
        <v>121</v>
      </c>
      <c r="G31" s="50" t="s">
        <v>122</v>
      </c>
      <c r="H31" s="45"/>
      <c r="I31" s="45"/>
    </row>
    <row r="32">
      <c r="A32" s="63">
        <v>46079.0</v>
      </c>
      <c r="B32" s="47" t="s">
        <v>57</v>
      </c>
      <c r="C32" s="64" t="s">
        <v>58</v>
      </c>
      <c r="D32" s="65">
        <v>2200.0</v>
      </c>
      <c r="E32" s="66">
        <v>500000.0</v>
      </c>
      <c r="F32" s="48" t="s">
        <v>126</v>
      </c>
      <c r="G32" s="79" t="s">
        <v>127</v>
      </c>
      <c r="H32" s="47"/>
      <c r="I32" s="47"/>
    </row>
    <row r="33">
      <c r="A33" s="80"/>
      <c r="B33" s="81"/>
      <c r="C33" s="82"/>
      <c r="D33" s="83"/>
      <c r="E33" s="84"/>
      <c r="F33" s="85"/>
      <c r="G33" s="86"/>
      <c r="H33" s="81"/>
      <c r="I33" s="81"/>
    </row>
    <row r="34">
      <c r="A34" s="87" t="s">
        <v>35</v>
      </c>
      <c r="B34" s="88"/>
      <c r="C34" s="89"/>
      <c r="D34" s="90">
        <f t="shared" ref="D34:E34" si="1">SUM(D18:D32)</f>
        <v>63700</v>
      </c>
      <c r="E34" s="91">
        <f t="shared" si="1"/>
        <v>2110000</v>
      </c>
      <c r="F34" s="92"/>
      <c r="G34" s="92"/>
      <c r="H34" s="88"/>
      <c r="I34" s="88"/>
    </row>
    <row r="35">
      <c r="A35" s="93">
        <v>46086.0</v>
      </c>
      <c r="B35" s="94" t="s">
        <v>128</v>
      </c>
      <c r="C35" s="95" t="s">
        <v>129</v>
      </c>
      <c r="D35" s="96">
        <v>20000.0</v>
      </c>
      <c r="E35" s="97">
        <v>1000000.0</v>
      </c>
      <c r="F35" s="98" t="s">
        <v>130</v>
      </c>
      <c r="G35" s="99" t="s">
        <v>131</v>
      </c>
      <c r="H35" s="94"/>
      <c r="I35" s="94"/>
    </row>
    <row r="36">
      <c r="A36" s="38">
        <v>46090.0</v>
      </c>
      <c r="B36" s="45" t="s">
        <v>57</v>
      </c>
      <c r="C36" s="40" t="s">
        <v>77</v>
      </c>
      <c r="D36" s="41">
        <v>9500.0</v>
      </c>
      <c r="E36" s="42">
        <v>250000.0</v>
      </c>
      <c r="F36" s="100" t="s">
        <v>132</v>
      </c>
      <c r="G36" s="50" t="s">
        <v>133</v>
      </c>
      <c r="H36" s="45"/>
      <c r="I36" s="45"/>
    </row>
    <row r="37">
      <c r="A37" s="38">
        <v>46090.0</v>
      </c>
      <c r="B37" s="45" t="s">
        <v>17</v>
      </c>
      <c r="C37" s="40" t="s">
        <v>134</v>
      </c>
      <c r="D37" s="41"/>
      <c r="E37" s="42"/>
      <c r="F37" s="101" t="s">
        <v>135</v>
      </c>
      <c r="G37" s="101" t="s">
        <v>136</v>
      </c>
      <c r="H37" s="45"/>
      <c r="I37" s="45"/>
    </row>
    <row r="38">
      <c r="A38" s="38">
        <v>46092.0</v>
      </c>
      <c r="B38" s="45" t="s">
        <v>57</v>
      </c>
      <c r="C38" s="40" t="s">
        <v>137</v>
      </c>
      <c r="D38" s="41">
        <v>9300.0</v>
      </c>
      <c r="E38" s="102">
        <v>200000.0</v>
      </c>
      <c r="F38" s="103" t="s">
        <v>138</v>
      </c>
      <c r="G38" s="103" t="s">
        <v>139</v>
      </c>
      <c r="H38" s="45"/>
      <c r="I38" s="45"/>
    </row>
    <row r="39">
      <c r="A39" s="38">
        <v>46093.0</v>
      </c>
      <c r="B39" s="45" t="s">
        <v>57</v>
      </c>
      <c r="C39" s="54" t="s">
        <v>140</v>
      </c>
      <c r="D39" s="41">
        <v>1000.0</v>
      </c>
      <c r="E39" s="42">
        <v>100000.0</v>
      </c>
      <c r="F39" s="101" t="s">
        <v>141</v>
      </c>
      <c r="G39" s="101" t="s">
        <v>142</v>
      </c>
      <c r="H39" s="45"/>
      <c r="I39" s="45"/>
    </row>
    <row r="40">
      <c r="A40" s="38">
        <v>46093.0</v>
      </c>
      <c r="B40" s="45" t="s">
        <v>57</v>
      </c>
      <c r="C40" s="54" t="s">
        <v>58</v>
      </c>
      <c r="D40" s="41">
        <v>2200.0</v>
      </c>
      <c r="E40" s="42">
        <v>500000.0</v>
      </c>
      <c r="F40" s="104" t="s">
        <v>143</v>
      </c>
      <c r="G40" s="104" t="s">
        <v>144</v>
      </c>
      <c r="H40" s="45"/>
      <c r="I40" s="45"/>
    </row>
    <row r="41">
      <c r="A41" s="38">
        <v>46094.0</v>
      </c>
      <c r="B41" s="45" t="s">
        <v>11</v>
      </c>
      <c r="C41" s="40" t="s">
        <v>145</v>
      </c>
      <c r="D41" s="51"/>
      <c r="E41" s="42"/>
      <c r="F41" s="101" t="s">
        <v>146</v>
      </c>
      <c r="G41" s="101" t="s">
        <v>147</v>
      </c>
      <c r="H41" s="45"/>
      <c r="I41" s="45"/>
    </row>
    <row r="42">
      <c r="A42" s="38">
        <v>46095.0</v>
      </c>
      <c r="B42" s="45" t="s">
        <v>57</v>
      </c>
      <c r="C42" s="54" t="s">
        <v>58</v>
      </c>
      <c r="D42" s="41">
        <v>2200.0</v>
      </c>
      <c r="E42" s="42">
        <v>500000.0</v>
      </c>
      <c r="F42" s="52" t="s">
        <v>148</v>
      </c>
      <c r="G42" s="52" t="s">
        <v>149</v>
      </c>
      <c r="H42" s="45"/>
      <c r="I42" s="45"/>
    </row>
    <row r="43">
      <c r="A43" s="38">
        <v>46093.0</v>
      </c>
      <c r="B43" s="45" t="s">
        <v>17</v>
      </c>
      <c r="C43" s="40" t="s">
        <v>150</v>
      </c>
      <c r="D43" s="41"/>
      <c r="E43" s="42"/>
      <c r="F43" s="52" t="s">
        <v>151</v>
      </c>
      <c r="G43" s="52" t="s">
        <v>152</v>
      </c>
      <c r="H43" s="45"/>
      <c r="I43" s="45"/>
    </row>
    <row r="44">
      <c r="A44" s="38">
        <v>46089.0</v>
      </c>
      <c r="B44" s="45" t="s">
        <v>17</v>
      </c>
      <c r="C44" s="40" t="s">
        <v>153</v>
      </c>
      <c r="D44" s="41"/>
      <c r="E44" s="42"/>
      <c r="F44" s="43" t="s">
        <v>154</v>
      </c>
      <c r="G44" s="52" t="s">
        <v>155</v>
      </c>
      <c r="H44" s="45"/>
      <c r="I44" s="45"/>
    </row>
    <row r="45">
      <c r="A45" s="38">
        <v>46089.0</v>
      </c>
      <c r="B45" s="45" t="s">
        <v>17</v>
      </c>
      <c r="C45" s="40" t="s">
        <v>156</v>
      </c>
      <c r="D45" s="105"/>
      <c r="E45" s="105"/>
      <c r="F45" s="106" t="s">
        <v>157</v>
      </c>
      <c r="G45" s="52" t="s">
        <v>158</v>
      </c>
      <c r="H45" s="45"/>
      <c r="I45" s="45"/>
    </row>
    <row r="46">
      <c r="A46" s="38">
        <v>46089.0</v>
      </c>
      <c r="B46" s="45" t="s">
        <v>17</v>
      </c>
      <c r="C46" s="40" t="s">
        <v>159</v>
      </c>
      <c r="D46" s="76"/>
      <c r="E46" s="76"/>
      <c r="F46" s="52" t="s">
        <v>160</v>
      </c>
      <c r="G46" s="52" t="s">
        <v>161</v>
      </c>
      <c r="H46" s="45"/>
      <c r="I46" s="45"/>
    </row>
    <row r="47">
      <c r="A47" s="38">
        <v>46087.0</v>
      </c>
      <c r="B47" s="45" t="s">
        <v>57</v>
      </c>
      <c r="C47" s="40" t="s">
        <v>68</v>
      </c>
      <c r="D47" s="41">
        <v>3000.0</v>
      </c>
      <c r="E47" s="42">
        <v>40000.0</v>
      </c>
      <c r="F47" s="52" t="s">
        <v>162</v>
      </c>
      <c r="G47" s="52" t="s">
        <v>163</v>
      </c>
      <c r="H47" s="45"/>
      <c r="I47" s="45"/>
    </row>
    <row r="48">
      <c r="A48" s="38">
        <v>46087.0</v>
      </c>
      <c r="B48" s="45" t="s">
        <v>17</v>
      </c>
      <c r="C48" s="40" t="s">
        <v>164</v>
      </c>
      <c r="D48" s="76"/>
      <c r="E48" s="76"/>
      <c r="F48" s="52" t="s">
        <v>165</v>
      </c>
      <c r="G48" s="52" t="s">
        <v>166</v>
      </c>
      <c r="H48" s="45"/>
      <c r="I48" s="45"/>
    </row>
    <row r="49">
      <c r="A49" s="38">
        <v>46087.0</v>
      </c>
      <c r="B49" s="45" t="s">
        <v>17</v>
      </c>
      <c r="C49" s="40" t="s">
        <v>167</v>
      </c>
      <c r="D49" s="76"/>
      <c r="E49" s="76"/>
      <c r="F49" s="52" t="s">
        <v>168</v>
      </c>
      <c r="G49" s="52" t="s">
        <v>169</v>
      </c>
      <c r="H49" s="45"/>
      <c r="I49" s="45"/>
    </row>
    <row r="50">
      <c r="A50" s="38">
        <v>46087.0</v>
      </c>
      <c r="B50" s="45" t="s">
        <v>17</v>
      </c>
      <c r="C50" s="14" t="s">
        <v>170</v>
      </c>
      <c r="D50" s="76"/>
      <c r="E50" s="76"/>
      <c r="F50" s="52" t="s">
        <v>171</v>
      </c>
      <c r="G50" s="52" t="s">
        <v>172</v>
      </c>
      <c r="H50" s="45"/>
      <c r="I50" s="45"/>
    </row>
    <row r="51">
      <c r="A51" s="38">
        <v>46087.0</v>
      </c>
      <c r="B51" s="45" t="s">
        <v>17</v>
      </c>
      <c r="C51" s="107" t="s">
        <v>173</v>
      </c>
      <c r="D51" s="76"/>
      <c r="E51" s="76"/>
      <c r="F51" s="52" t="s">
        <v>174</v>
      </c>
      <c r="G51" s="52" t="s">
        <v>175</v>
      </c>
      <c r="H51" s="45"/>
      <c r="I51" s="45"/>
    </row>
    <row r="52">
      <c r="A52" s="38">
        <v>46087.0</v>
      </c>
      <c r="B52" s="45" t="s">
        <v>17</v>
      </c>
      <c r="C52" s="40" t="s">
        <v>176</v>
      </c>
      <c r="D52" s="41"/>
      <c r="E52" s="42"/>
      <c r="F52" s="52" t="s">
        <v>177</v>
      </c>
      <c r="G52" s="52" t="s">
        <v>178</v>
      </c>
      <c r="H52" s="45"/>
      <c r="I52" s="45"/>
    </row>
    <row r="53">
      <c r="A53" s="38">
        <v>46087.0</v>
      </c>
      <c r="B53" s="45" t="s">
        <v>17</v>
      </c>
      <c r="C53" s="40" t="s">
        <v>179</v>
      </c>
      <c r="D53" s="41"/>
      <c r="E53" s="42"/>
      <c r="F53" s="52" t="s">
        <v>180</v>
      </c>
      <c r="G53" s="52" t="s">
        <v>181</v>
      </c>
      <c r="H53" s="45"/>
      <c r="I53" s="45"/>
    </row>
    <row r="54">
      <c r="A54" s="38">
        <v>46105.0</v>
      </c>
      <c r="B54" s="45" t="s">
        <v>57</v>
      </c>
      <c r="C54" s="43" t="s">
        <v>77</v>
      </c>
      <c r="D54" s="41">
        <v>9500.0</v>
      </c>
      <c r="E54" s="76">
        <v>250000.0</v>
      </c>
      <c r="F54" s="108" t="s">
        <v>182</v>
      </c>
      <c r="G54" s="50" t="s">
        <v>183</v>
      </c>
      <c r="H54" s="45"/>
      <c r="I54" s="45"/>
    </row>
    <row r="55">
      <c r="A55" s="38">
        <v>46105.0</v>
      </c>
      <c r="B55" s="45"/>
      <c r="C55" s="40" t="s">
        <v>66</v>
      </c>
      <c r="D55" s="76"/>
      <c r="E55" s="76"/>
      <c r="F55" s="43" t="s">
        <v>184</v>
      </c>
      <c r="G55" s="109" t="s">
        <v>185</v>
      </c>
      <c r="H55" s="45"/>
      <c r="I55" s="45"/>
    </row>
    <row r="56">
      <c r="A56" s="38">
        <v>46104.0</v>
      </c>
      <c r="B56" s="45" t="s">
        <v>57</v>
      </c>
      <c r="C56" s="14" t="s">
        <v>58</v>
      </c>
      <c r="D56" s="110">
        <v>2200.0</v>
      </c>
      <c r="E56" s="110">
        <v>500000.0</v>
      </c>
      <c r="F56" s="14" t="s">
        <v>186</v>
      </c>
      <c r="G56" s="49" t="s">
        <v>187</v>
      </c>
      <c r="H56" s="9"/>
      <c r="I56" s="45"/>
    </row>
    <row r="57">
      <c r="A57" s="38">
        <v>46109.0</v>
      </c>
      <c r="B57" s="45" t="s">
        <v>57</v>
      </c>
      <c r="C57" s="40" t="s">
        <v>77</v>
      </c>
      <c r="D57" s="42">
        <v>9500.0</v>
      </c>
      <c r="E57" s="42">
        <v>250000.0</v>
      </c>
      <c r="F57" s="108" t="s">
        <v>188</v>
      </c>
      <c r="G57" s="111" t="s">
        <v>189</v>
      </c>
      <c r="H57" s="45"/>
      <c r="I57" s="45"/>
    </row>
    <row r="58">
      <c r="A58" s="38">
        <v>46111.0</v>
      </c>
      <c r="B58" s="45" t="s">
        <v>57</v>
      </c>
      <c r="C58" s="40" t="s">
        <v>137</v>
      </c>
      <c r="D58" s="51"/>
      <c r="E58" s="42"/>
      <c r="F58" s="43" t="s">
        <v>190</v>
      </c>
      <c r="G58" s="44" t="s">
        <v>191</v>
      </c>
      <c r="H58" s="45"/>
      <c r="I58" s="45"/>
    </row>
    <row r="59">
      <c r="A59" s="38">
        <v>46111.0</v>
      </c>
      <c r="B59" s="45" t="s">
        <v>57</v>
      </c>
      <c r="C59" s="40" t="s">
        <v>145</v>
      </c>
      <c r="D59" s="41"/>
      <c r="E59" s="42"/>
      <c r="F59" s="43" t="s">
        <v>190</v>
      </c>
      <c r="G59" s="49" t="s">
        <v>192</v>
      </c>
      <c r="H59" s="112"/>
      <c r="I59" s="45"/>
    </row>
    <row r="60">
      <c r="A60" s="113">
        <v>46111.0</v>
      </c>
      <c r="B60" s="45" t="s">
        <v>11</v>
      </c>
      <c r="C60" s="40" t="s">
        <v>193</v>
      </c>
      <c r="D60" s="41"/>
      <c r="E60" s="42"/>
      <c r="F60" s="43" t="s">
        <v>194</v>
      </c>
      <c r="G60" s="49" t="s">
        <v>195</v>
      </c>
      <c r="H60" s="112"/>
      <c r="I60" s="45"/>
    </row>
    <row r="61">
      <c r="A61" s="38"/>
      <c r="B61" s="45" t="s">
        <v>57</v>
      </c>
      <c r="C61" s="3" t="s">
        <v>145</v>
      </c>
      <c r="D61" s="41"/>
      <c r="E61" s="114"/>
      <c r="F61" s="3" t="s">
        <v>196</v>
      </c>
      <c r="G61" s="49" t="s">
        <v>197</v>
      </c>
      <c r="H61" s="112"/>
      <c r="I61" s="45"/>
    </row>
    <row r="62">
      <c r="A62" s="38">
        <v>46112.0</v>
      </c>
      <c r="B62" s="45"/>
      <c r="C62" s="115" t="s">
        <v>58</v>
      </c>
      <c r="D62" s="76">
        <v>2200.0</v>
      </c>
      <c r="E62" s="76">
        <v>500000.0</v>
      </c>
      <c r="F62" s="116" t="s">
        <v>198</v>
      </c>
      <c r="G62" s="49" t="s">
        <v>199</v>
      </c>
      <c r="H62" s="112"/>
      <c r="I62" s="45"/>
    </row>
    <row r="63">
      <c r="A63" s="117"/>
      <c r="B63" s="118"/>
      <c r="C63" s="119"/>
      <c r="D63" s="120"/>
      <c r="E63" s="120"/>
      <c r="F63" s="121"/>
      <c r="G63" s="122"/>
      <c r="H63" s="123"/>
      <c r="I63" s="118"/>
    </row>
    <row r="64">
      <c r="A64" s="124" t="s">
        <v>36</v>
      </c>
      <c r="B64" s="45"/>
      <c r="C64" s="40"/>
      <c r="D64" s="76"/>
      <c r="E64" s="76"/>
      <c r="F64" s="43"/>
      <c r="G64" s="125"/>
      <c r="H64" s="112"/>
      <c r="I64" s="45"/>
    </row>
    <row r="65">
      <c r="A65" s="38">
        <v>46114.0</v>
      </c>
      <c r="B65" s="45" t="s">
        <v>57</v>
      </c>
      <c r="C65" s="40" t="s">
        <v>58</v>
      </c>
      <c r="D65" s="110">
        <v>2200.0</v>
      </c>
      <c r="E65" s="110">
        <v>500000.0</v>
      </c>
      <c r="F65" s="43" t="s">
        <v>200</v>
      </c>
      <c r="G65" s="44" t="s">
        <v>201</v>
      </c>
      <c r="H65" s="112"/>
      <c r="I65" s="45"/>
    </row>
    <row r="66">
      <c r="A66" s="126">
        <v>46118.0</v>
      </c>
      <c r="B66" s="127" t="s">
        <v>57</v>
      </c>
      <c r="C66" s="128" t="s">
        <v>58</v>
      </c>
      <c r="D66" s="129">
        <v>2200.0</v>
      </c>
      <c r="E66" s="129">
        <v>500000.0</v>
      </c>
      <c r="F66" s="130" t="s">
        <v>202</v>
      </c>
      <c r="G66" s="131" t="s">
        <v>203</v>
      </c>
      <c r="H66" s="132"/>
      <c r="I66" s="127"/>
    </row>
    <row r="67">
      <c r="A67" s="126">
        <v>46120.0</v>
      </c>
      <c r="B67" s="127" t="s">
        <v>11</v>
      </c>
      <c r="C67" s="128" t="s">
        <v>71</v>
      </c>
      <c r="D67" s="133">
        <v>1000.0</v>
      </c>
      <c r="E67" s="134">
        <v>100000.0</v>
      </c>
      <c r="F67" s="130" t="s">
        <v>204</v>
      </c>
      <c r="G67" s="135" t="s">
        <v>205</v>
      </c>
      <c r="H67" s="132"/>
      <c r="I67" s="127"/>
    </row>
    <row r="68">
      <c r="A68" s="38">
        <v>46119.0</v>
      </c>
      <c r="B68" s="45" t="s">
        <v>206</v>
      </c>
      <c r="C68" s="107" t="s">
        <v>207</v>
      </c>
      <c r="D68" s="76"/>
      <c r="E68" s="76"/>
      <c r="F68" s="43" t="s">
        <v>208</v>
      </c>
      <c r="G68" s="44" t="s">
        <v>209</v>
      </c>
      <c r="H68" s="112"/>
      <c r="I68" s="45"/>
    </row>
    <row r="69">
      <c r="A69" s="126">
        <v>46122.0</v>
      </c>
      <c r="B69" s="127" t="s">
        <v>11</v>
      </c>
      <c r="C69" s="128" t="s">
        <v>71</v>
      </c>
      <c r="D69" s="133">
        <v>1000.0</v>
      </c>
      <c r="E69" s="134">
        <v>100000.0</v>
      </c>
      <c r="F69" s="130" t="s">
        <v>210</v>
      </c>
      <c r="G69" s="131" t="s">
        <v>211</v>
      </c>
      <c r="H69" s="132"/>
      <c r="I69" s="127"/>
    </row>
    <row r="70">
      <c r="A70" s="126">
        <v>46124.0</v>
      </c>
      <c r="B70" s="127" t="s">
        <v>57</v>
      </c>
      <c r="C70" s="128" t="s">
        <v>58</v>
      </c>
      <c r="D70" s="134">
        <v>2200.0</v>
      </c>
      <c r="E70" s="134">
        <v>500000.0</v>
      </c>
      <c r="F70" s="136" t="s">
        <v>212</v>
      </c>
      <c r="G70" s="131" t="s">
        <v>213</v>
      </c>
      <c r="H70" s="132"/>
      <c r="I70" s="127"/>
    </row>
    <row r="71">
      <c r="A71" s="126">
        <v>46122.0</v>
      </c>
      <c r="B71" s="127" t="s">
        <v>11</v>
      </c>
      <c r="C71" s="128" t="s">
        <v>193</v>
      </c>
      <c r="D71" s="133"/>
      <c r="E71" s="133"/>
      <c r="F71" s="137" t="s">
        <v>210</v>
      </c>
      <c r="G71" s="131" t="s">
        <v>214</v>
      </c>
      <c r="H71" s="138"/>
      <c r="I71" s="138"/>
    </row>
    <row r="72">
      <c r="A72" s="45" t="s">
        <v>215</v>
      </c>
      <c r="B72" s="45" t="s">
        <v>11</v>
      </c>
      <c r="C72" s="40" t="s">
        <v>216</v>
      </c>
      <c r="D72" s="76"/>
      <c r="E72" s="76"/>
      <c r="F72" s="43" t="s">
        <v>217</v>
      </c>
      <c r="G72" s="44" t="s">
        <v>218</v>
      </c>
      <c r="H72" s="112"/>
      <c r="I72" s="45"/>
    </row>
    <row r="73">
      <c r="A73" s="45" t="s">
        <v>215</v>
      </c>
      <c r="B73" s="45" t="s">
        <v>11</v>
      </c>
      <c r="C73" s="3" t="s">
        <v>71</v>
      </c>
      <c r="D73" s="1">
        <v>1000.0</v>
      </c>
      <c r="E73" s="139">
        <v>100000.0</v>
      </c>
      <c r="F73" s="3" t="s">
        <v>219</v>
      </c>
      <c r="G73" s="140" t="s">
        <v>220</v>
      </c>
      <c r="I73" s="45"/>
    </row>
    <row r="74">
      <c r="A74" s="127" t="s">
        <v>221</v>
      </c>
      <c r="B74" s="127" t="s">
        <v>57</v>
      </c>
      <c r="C74" s="128" t="s">
        <v>77</v>
      </c>
      <c r="D74" s="141">
        <v>9500.0</v>
      </c>
      <c r="E74" s="134">
        <v>250000.0</v>
      </c>
      <c r="F74" s="142" t="s">
        <v>222</v>
      </c>
      <c r="G74" s="131" t="s">
        <v>223</v>
      </c>
      <c r="H74" s="132"/>
      <c r="I74" s="127"/>
    </row>
    <row r="75">
      <c r="A75" s="127" t="s">
        <v>224</v>
      </c>
      <c r="B75" s="127" t="s">
        <v>57</v>
      </c>
      <c r="C75" s="128" t="s">
        <v>137</v>
      </c>
      <c r="D75" s="141"/>
      <c r="E75" s="134"/>
      <c r="F75" s="130" t="s">
        <v>225</v>
      </c>
      <c r="G75" s="143" t="s">
        <v>226</v>
      </c>
      <c r="H75" s="144"/>
      <c r="I75" s="127"/>
    </row>
    <row r="76">
      <c r="A76" s="127" t="s">
        <v>227</v>
      </c>
      <c r="B76" s="127" t="s">
        <v>57</v>
      </c>
      <c r="C76" s="128" t="s">
        <v>58</v>
      </c>
      <c r="D76" s="141">
        <v>2200.0</v>
      </c>
      <c r="E76" s="134">
        <v>100000.0</v>
      </c>
      <c r="F76" s="145" t="s">
        <v>228</v>
      </c>
      <c r="G76" s="146" t="s">
        <v>229</v>
      </c>
      <c r="H76" s="132"/>
      <c r="I76" s="127"/>
    </row>
    <row r="77">
      <c r="A77" s="45" t="s">
        <v>230</v>
      </c>
      <c r="B77" s="45" t="s">
        <v>206</v>
      </c>
      <c r="C77" s="40" t="s">
        <v>90</v>
      </c>
      <c r="D77" s="1"/>
      <c r="E77" s="1"/>
      <c r="F77" s="3" t="s">
        <v>231</v>
      </c>
      <c r="G77" s="49" t="s">
        <v>232</v>
      </c>
      <c r="H77" s="112"/>
      <c r="I77" s="45"/>
    </row>
    <row r="78">
      <c r="A78" s="45" t="s">
        <v>230</v>
      </c>
      <c r="B78" s="45" t="s">
        <v>128</v>
      </c>
      <c r="C78" s="40" t="s">
        <v>233</v>
      </c>
      <c r="D78" s="147"/>
      <c r="E78" s="148"/>
      <c r="F78" s="149" t="s">
        <v>234</v>
      </c>
      <c r="G78" s="150" t="s">
        <v>235</v>
      </c>
      <c r="H78" s="112"/>
      <c r="I78" s="45"/>
    </row>
    <row r="79">
      <c r="A79" s="45" t="s">
        <v>230</v>
      </c>
      <c r="B79" s="45" t="s">
        <v>11</v>
      </c>
      <c r="C79" s="40" t="s">
        <v>216</v>
      </c>
      <c r="D79" s="41"/>
      <c r="E79" s="42"/>
      <c r="F79" s="149" t="s">
        <v>236</v>
      </c>
      <c r="G79" s="150" t="s">
        <v>237</v>
      </c>
      <c r="H79" s="112"/>
      <c r="I79" s="45"/>
    </row>
    <row r="80">
      <c r="A80" s="45" t="s">
        <v>230</v>
      </c>
      <c r="B80" s="45" t="s">
        <v>206</v>
      </c>
      <c r="C80" s="3" t="s">
        <v>238</v>
      </c>
      <c r="D80" s="41"/>
      <c r="E80" s="42"/>
      <c r="F80" s="43" t="s">
        <v>239</v>
      </c>
      <c r="G80" s="151" t="s">
        <v>240</v>
      </c>
      <c r="H80" s="152"/>
      <c r="I80" s="45"/>
    </row>
    <row r="81">
      <c r="A81" s="45" t="s">
        <v>230</v>
      </c>
      <c r="B81" s="45" t="s">
        <v>128</v>
      </c>
      <c r="C81" s="40" t="s">
        <v>145</v>
      </c>
      <c r="D81" s="41"/>
      <c r="E81" s="153"/>
      <c r="F81" s="154" t="s">
        <v>231</v>
      </c>
      <c r="G81" s="150" t="s">
        <v>241</v>
      </c>
      <c r="H81" s="152"/>
      <c r="I81" s="45"/>
    </row>
    <row r="82">
      <c r="A82" s="45" t="s">
        <v>230</v>
      </c>
      <c r="B82" s="45" t="s">
        <v>206</v>
      </c>
      <c r="C82" s="40" t="s">
        <v>242</v>
      </c>
      <c r="D82" s="155"/>
      <c r="E82" s="155"/>
      <c r="F82" s="116" t="s">
        <v>234</v>
      </c>
      <c r="G82" s="44" t="s">
        <v>243</v>
      </c>
      <c r="H82" s="152"/>
      <c r="I82" s="45"/>
    </row>
    <row r="83">
      <c r="A83" s="45" t="s">
        <v>230</v>
      </c>
      <c r="B83" s="45" t="s">
        <v>206</v>
      </c>
      <c r="C83" s="40" t="s">
        <v>244</v>
      </c>
      <c r="D83" s="41"/>
      <c r="E83" s="42"/>
      <c r="F83" s="43" t="s">
        <v>245</v>
      </c>
      <c r="G83" s="44" t="s">
        <v>246</v>
      </c>
      <c r="H83" s="152"/>
      <c r="I83" s="152"/>
    </row>
    <row r="84">
      <c r="A84" s="45" t="s">
        <v>247</v>
      </c>
      <c r="B84" s="45" t="s">
        <v>206</v>
      </c>
      <c r="C84" s="40" t="s">
        <v>248</v>
      </c>
      <c r="D84" s="41"/>
      <c r="E84" s="42"/>
      <c r="F84" s="125" t="s">
        <v>249</v>
      </c>
      <c r="G84" s="150" t="s">
        <v>250</v>
      </c>
      <c r="H84" s="152"/>
      <c r="I84" s="45"/>
    </row>
    <row r="85">
      <c r="A85" s="45" t="s">
        <v>247</v>
      </c>
      <c r="B85" s="45" t="s">
        <v>206</v>
      </c>
      <c r="C85" s="40" t="s">
        <v>251</v>
      </c>
      <c r="D85" s="41"/>
      <c r="E85" s="42"/>
      <c r="F85" s="43" t="s">
        <v>252</v>
      </c>
      <c r="G85" s="44" t="s">
        <v>253</v>
      </c>
      <c r="H85" s="152"/>
      <c r="I85" s="45"/>
    </row>
    <row r="86">
      <c r="A86" s="47" t="s">
        <v>247</v>
      </c>
      <c r="B86" s="45" t="s">
        <v>206</v>
      </c>
      <c r="C86" s="156" t="s">
        <v>254</v>
      </c>
      <c r="D86" s="157"/>
      <c r="E86" s="158"/>
      <c r="F86" s="3" t="s">
        <v>231</v>
      </c>
      <c r="G86" s="140" t="s">
        <v>255</v>
      </c>
      <c r="I86" s="47"/>
    </row>
    <row r="87">
      <c r="A87" s="69" t="s">
        <v>230</v>
      </c>
      <c r="B87" s="69" t="s">
        <v>206</v>
      </c>
      <c r="C87" s="70" t="s">
        <v>256</v>
      </c>
      <c r="D87" s="159"/>
      <c r="E87" s="153"/>
      <c r="F87" s="73" t="s">
        <v>257</v>
      </c>
      <c r="G87" s="160" t="s">
        <v>258</v>
      </c>
      <c r="H87" s="69"/>
      <c r="I87" s="69"/>
    </row>
    <row r="88">
      <c r="A88" s="45" t="s">
        <v>230</v>
      </c>
      <c r="B88" s="45" t="s">
        <v>11</v>
      </c>
      <c r="C88" s="40" t="s">
        <v>71</v>
      </c>
      <c r="D88" s="22"/>
      <c r="E88" s="22"/>
      <c r="F88" s="14" t="s">
        <v>259</v>
      </c>
      <c r="G88" s="49" t="s">
        <v>260</v>
      </c>
      <c r="H88" s="9"/>
      <c r="I88" s="45"/>
    </row>
    <row r="89">
      <c r="A89" s="127" t="s">
        <v>261</v>
      </c>
      <c r="B89" s="127" t="s">
        <v>57</v>
      </c>
      <c r="C89" s="128" t="s">
        <v>58</v>
      </c>
      <c r="D89" s="141"/>
      <c r="E89" s="161"/>
      <c r="F89" s="137" t="s">
        <v>262</v>
      </c>
      <c r="G89" s="162" t="s">
        <v>263</v>
      </c>
      <c r="H89" s="163"/>
      <c r="I89" s="127"/>
    </row>
    <row r="90">
      <c r="A90" s="38"/>
      <c r="B90" s="45" t="s">
        <v>206</v>
      </c>
      <c r="C90" s="40" t="s">
        <v>90</v>
      </c>
      <c r="D90" s="41"/>
      <c r="E90" s="42"/>
      <c r="F90" s="14" t="s">
        <v>264</v>
      </c>
      <c r="G90" s="49" t="s">
        <v>265</v>
      </c>
      <c r="H90" s="9"/>
      <c r="I90" s="45"/>
    </row>
    <row r="91">
      <c r="A91" s="45" t="s">
        <v>266</v>
      </c>
      <c r="B91" s="45" t="s">
        <v>57</v>
      </c>
      <c r="C91" s="40" t="s">
        <v>267</v>
      </c>
      <c r="D91" s="164"/>
      <c r="E91" s="164"/>
      <c r="F91" s="165" t="s">
        <v>268</v>
      </c>
      <c r="G91" s="166" t="s">
        <v>269</v>
      </c>
      <c r="H91" s="167"/>
      <c r="I91" s="45"/>
    </row>
    <row r="92">
      <c r="A92" s="124"/>
      <c r="B92" s="45"/>
      <c r="C92" s="40"/>
      <c r="D92" s="168"/>
      <c r="E92" s="168"/>
      <c r="F92" s="169"/>
      <c r="G92" s="169"/>
      <c r="H92" s="167"/>
      <c r="I92" s="45"/>
    </row>
    <row r="93">
      <c r="A93" s="124" t="s">
        <v>37</v>
      </c>
      <c r="B93" s="45"/>
      <c r="C93" s="40"/>
      <c r="D93" s="76"/>
      <c r="E93" s="76"/>
      <c r="F93" s="43"/>
      <c r="G93" s="43"/>
      <c r="H93" s="45"/>
      <c r="I93" s="45"/>
    </row>
    <row r="94">
      <c r="A94" s="45" t="s">
        <v>270</v>
      </c>
      <c r="B94" s="45" t="s">
        <v>17</v>
      </c>
      <c r="C94" s="40" t="s">
        <v>123</v>
      </c>
      <c r="D94" s="168"/>
      <c r="E94" s="168"/>
      <c r="F94" s="169" t="s">
        <v>271</v>
      </c>
      <c r="G94" s="166" t="s">
        <v>272</v>
      </c>
      <c r="H94" s="112"/>
      <c r="I94" s="45"/>
    </row>
    <row r="95">
      <c r="A95" s="45" t="s">
        <v>270</v>
      </c>
      <c r="B95" s="45" t="s">
        <v>206</v>
      </c>
      <c r="C95" s="40" t="s">
        <v>273</v>
      </c>
      <c r="D95" s="41"/>
      <c r="E95" s="42"/>
      <c r="F95" s="43" t="s">
        <v>274</v>
      </c>
      <c r="G95" s="50" t="s">
        <v>275</v>
      </c>
      <c r="H95" s="152"/>
      <c r="I95" s="45"/>
    </row>
    <row r="96">
      <c r="A96" s="45" t="s">
        <v>270</v>
      </c>
      <c r="B96" s="45" t="s">
        <v>11</v>
      </c>
      <c r="C96" s="40" t="s">
        <v>71</v>
      </c>
      <c r="D96" s="41"/>
      <c r="E96" s="42"/>
      <c r="F96" s="43" t="s">
        <v>276</v>
      </c>
      <c r="G96" s="44" t="s">
        <v>277</v>
      </c>
      <c r="H96" s="152"/>
      <c r="I96" s="45"/>
    </row>
    <row r="97">
      <c r="A97" s="45" t="s">
        <v>270</v>
      </c>
      <c r="B97" s="45" t="s">
        <v>11</v>
      </c>
      <c r="C97" s="170" t="s">
        <v>101</v>
      </c>
      <c r="D97" s="168"/>
      <c r="E97" s="168"/>
      <c r="F97" s="43" t="s">
        <v>274</v>
      </c>
      <c r="G97" s="50" t="s">
        <v>278</v>
      </c>
      <c r="H97" s="152"/>
      <c r="I97" s="45"/>
    </row>
    <row r="98">
      <c r="A98" s="45" t="s">
        <v>279</v>
      </c>
      <c r="B98" s="45" t="s">
        <v>11</v>
      </c>
      <c r="C98" s="170" t="s">
        <v>280</v>
      </c>
      <c r="D98" s="159"/>
      <c r="E98" s="171"/>
      <c r="F98" s="43" t="s">
        <v>281</v>
      </c>
      <c r="G98" s="50" t="s">
        <v>282</v>
      </c>
      <c r="H98" s="152"/>
      <c r="I98" s="45"/>
    </row>
    <row r="99">
      <c r="A99" s="45" t="s">
        <v>279</v>
      </c>
      <c r="B99" s="45" t="s">
        <v>57</v>
      </c>
      <c r="C99" s="40" t="s">
        <v>58</v>
      </c>
      <c r="D99" s="41"/>
      <c r="E99" s="42"/>
      <c r="F99" s="43" t="s">
        <v>283</v>
      </c>
      <c r="G99" s="50" t="s">
        <v>284</v>
      </c>
      <c r="H99" s="152"/>
      <c r="I99" s="45"/>
    </row>
    <row r="100">
      <c r="A100" s="45" t="s">
        <v>279</v>
      </c>
      <c r="B100" s="45" t="s">
        <v>128</v>
      </c>
      <c r="C100" s="172" t="s">
        <v>145</v>
      </c>
      <c r="D100" s="41"/>
      <c r="E100" s="42"/>
      <c r="F100" s="43" t="s">
        <v>283</v>
      </c>
      <c r="G100" s="173" t="s">
        <v>285</v>
      </c>
      <c r="H100" s="152"/>
      <c r="I100" s="152"/>
    </row>
    <row r="101">
      <c r="A101" s="45" t="s">
        <v>279</v>
      </c>
      <c r="B101" s="45" t="s">
        <v>57</v>
      </c>
      <c r="C101" s="40" t="s">
        <v>77</v>
      </c>
      <c r="D101" s="41"/>
      <c r="E101" s="42"/>
      <c r="F101" s="43" t="s">
        <v>286</v>
      </c>
      <c r="G101" s="50" t="s">
        <v>287</v>
      </c>
      <c r="H101" s="152"/>
      <c r="I101" s="45"/>
    </row>
    <row r="102">
      <c r="A102" s="45" t="s">
        <v>288</v>
      </c>
      <c r="B102" s="45" t="s">
        <v>11</v>
      </c>
      <c r="C102" s="40" t="s">
        <v>101</v>
      </c>
      <c r="D102" s="41"/>
      <c r="E102" s="42"/>
      <c r="F102" s="43" t="s">
        <v>289</v>
      </c>
      <c r="G102" s="50" t="s">
        <v>290</v>
      </c>
      <c r="H102" s="152"/>
      <c r="I102" s="45"/>
    </row>
    <row r="103">
      <c r="A103" s="45" t="s">
        <v>291</v>
      </c>
      <c r="B103" s="45" t="s">
        <v>11</v>
      </c>
      <c r="C103" s="40" t="s">
        <v>292</v>
      </c>
      <c r="D103" s="41"/>
      <c r="E103" s="42"/>
      <c r="F103" s="43" t="s">
        <v>293</v>
      </c>
      <c r="G103" s="174" t="s">
        <v>294</v>
      </c>
      <c r="H103" s="152"/>
      <c r="I103" s="45"/>
    </row>
    <row r="104">
      <c r="A104" s="45" t="s">
        <v>295</v>
      </c>
      <c r="B104" s="45" t="s">
        <v>11</v>
      </c>
      <c r="C104" s="172" t="s">
        <v>101</v>
      </c>
      <c r="D104" s="76"/>
      <c r="E104" s="76"/>
      <c r="F104" s="43" t="s">
        <v>296</v>
      </c>
      <c r="G104" s="173" t="s">
        <v>297</v>
      </c>
      <c r="H104" s="152"/>
      <c r="I104" s="45"/>
    </row>
    <row r="105">
      <c r="A105" s="45" t="s">
        <v>298</v>
      </c>
      <c r="B105" s="45" t="s">
        <v>128</v>
      </c>
      <c r="C105" s="172" t="s">
        <v>145</v>
      </c>
      <c r="D105" s="76"/>
      <c r="E105" s="76"/>
      <c r="F105" s="43" t="s">
        <v>299</v>
      </c>
      <c r="G105" s="173" t="s">
        <v>300</v>
      </c>
      <c r="H105" s="152"/>
      <c r="I105" s="45"/>
    </row>
    <row r="106">
      <c r="A106" s="45" t="s">
        <v>301</v>
      </c>
      <c r="B106" s="45" t="s">
        <v>128</v>
      </c>
      <c r="C106" s="40" t="s">
        <v>145</v>
      </c>
      <c r="D106" s="175"/>
      <c r="E106" s="175"/>
      <c r="F106" s="176" t="s">
        <v>264</v>
      </c>
      <c r="G106" s="177" t="s">
        <v>302</v>
      </c>
      <c r="H106" s="152"/>
      <c r="I106" s="45"/>
    </row>
    <row r="107">
      <c r="A107" s="45" t="s">
        <v>303</v>
      </c>
      <c r="B107" s="45" t="s">
        <v>11</v>
      </c>
      <c r="C107" s="14" t="s">
        <v>71</v>
      </c>
      <c r="D107" s="175"/>
      <c r="E107" s="175"/>
      <c r="F107" s="176" t="s">
        <v>304</v>
      </c>
      <c r="G107" s="44" t="s">
        <v>305</v>
      </c>
      <c r="H107" s="152"/>
      <c r="I107" s="45"/>
    </row>
    <row r="108" ht="15.75" customHeight="1">
      <c r="A108" s="178" t="s">
        <v>298</v>
      </c>
      <c r="B108" s="178" t="s">
        <v>57</v>
      </c>
      <c r="C108" s="179" t="s">
        <v>58</v>
      </c>
      <c r="D108" s="180"/>
      <c r="E108" s="181"/>
      <c r="F108" s="182" t="s">
        <v>299</v>
      </c>
      <c r="G108" s="183" t="s">
        <v>306</v>
      </c>
      <c r="H108" s="184"/>
      <c r="I108" s="178"/>
    </row>
    <row r="109">
      <c r="A109" s="39" t="s">
        <v>303</v>
      </c>
      <c r="B109" s="39" t="s">
        <v>57</v>
      </c>
      <c r="C109" s="185" t="s">
        <v>273</v>
      </c>
      <c r="D109" s="168"/>
      <c r="E109" s="168"/>
      <c r="F109" s="169" t="s">
        <v>307</v>
      </c>
      <c r="G109" s="186" t="s">
        <v>308</v>
      </c>
      <c r="H109" s="53"/>
      <c r="I109" s="39"/>
    </row>
    <row r="110">
      <c r="A110" s="45" t="s">
        <v>309</v>
      </c>
      <c r="B110" s="45" t="s">
        <v>57</v>
      </c>
      <c r="C110" s="40" t="s">
        <v>58</v>
      </c>
      <c r="D110" s="175"/>
      <c r="E110" s="175"/>
      <c r="F110" s="176" t="s">
        <v>310</v>
      </c>
      <c r="G110" s="44" t="s">
        <v>311</v>
      </c>
      <c r="H110" s="187"/>
      <c r="I110" s="45"/>
    </row>
    <row r="111">
      <c r="A111" s="1" t="s">
        <v>312</v>
      </c>
      <c r="C111" s="14" t="s">
        <v>145</v>
      </c>
      <c r="D111" s="9"/>
      <c r="E111" s="9"/>
      <c r="F111" s="14" t="s">
        <v>313</v>
      </c>
      <c r="G111" s="188" t="s">
        <v>314</v>
      </c>
    </row>
    <row r="112">
      <c r="A112" s="189" t="s">
        <v>315</v>
      </c>
      <c r="B112" s="189" t="s">
        <v>57</v>
      </c>
      <c r="C112" s="190" t="s">
        <v>77</v>
      </c>
      <c r="D112" s="191"/>
      <c r="E112" s="191"/>
      <c r="F112" s="192" t="s">
        <v>316</v>
      </c>
      <c r="G112" s="193" t="s">
        <v>317</v>
      </c>
      <c r="H112" s="194"/>
      <c r="I112" s="189"/>
    </row>
    <row r="113">
      <c r="A113" s="39" t="s">
        <v>318</v>
      </c>
      <c r="B113" s="39" t="s">
        <v>57</v>
      </c>
      <c r="C113" s="170" t="s">
        <v>58</v>
      </c>
      <c r="D113" s="65"/>
      <c r="E113" s="42"/>
      <c r="F113" s="195" t="s">
        <v>319</v>
      </c>
      <c r="G113" s="196" t="s">
        <v>320</v>
      </c>
      <c r="H113" s="112"/>
      <c r="I113" s="45"/>
    </row>
    <row r="114">
      <c r="A114" s="197"/>
      <c r="B114" s="39" t="s">
        <v>57</v>
      </c>
      <c r="C114" s="198" t="s">
        <v>77</v>
      </c>
      <c r="D114" s="199"/>
      <c r="E114" s="42"/>
      <c r="F114" s="200" t="s">
        <v>321</v>
      </c>
      <c r="G114" s="201" t="s">
        <v>322</v>
      </c>
      <c r="H114" s="112"/>
      <c r="I114" s="45"/>
    </row>
    <row r="115">
      <c r="A115" s="197"/>
      <c r="B115" s="39"/>
      <c r="C115" s="198"/>
      <c r="D115" s="199"/>
      <c r="E115" s="42"/>
      <c r="F115" s="3"/>
      <c r="G115" s="202"/>
      <c r="H115" s="112"/>
      <c r="I115" s="45"/>
    </row>
    <row r="116">
      <c r="A116" s="197" t="s">
        <v>38</v>
      </c>
      <c r="B116" s="39"/>
      <c r="C116" s="198"/>
      <c r="D116" s="199"/>
      <c r="E116" s="42"/>
      <c r="F116" s="3"/>
      <c r="G116" s="202"/>
      <c r="H116" s="112"/>
      <c r="I116" s="45"/>
    </row>
    <row r="117">
      <c r="A117" s="203" t="s">
        <v>323</v>
      </c>
      <c r="B117" s="39"/>
      <c r="C117" s="198" t="s">
        <v>324</v>
      </c>
      <c r="D117" s="51"/>
      <c r="E117" s="42"/>
      <c r="F117" s="3" t="s">
        <v>325</v>
      </c>
      <c r="G117" s="173" t="s">
        <v>326</v>
      </c>
      <c r="H117" s="112"/>
      <c r="I117" s="45"/>
    </row>
    <row r="118">
      <c r="A118" s="204"/>
      <c r="B118" s="39"/>
      <c r="C118" s="40"/>
      <c r="D118" s="205"/>
      <c r="E118" s="42"/>
      <c r="H118" s="112"/>
      <c r="I118" s="45"/>
    </row>
    <row r="119">
      <c r="A119" s="204"/>
      <c r="B119" s="39"/>
      <c r="C119" s="40"/>
      <c r="D119" s="206"/>
      <c r="E119" s="206"/>
      <c r="F119" s="200"/>
      <c r="G119" s="207"/>
      <c r="H119" s="112"/>
      <c r="I119" s="45"/>
    </row>
    <row r="120">
      <c r="A120" s="204"/>
      <c r="B120" s="39"/>
      <c r="C120" s="170"/>
      <c r="D120" s="41"/>
      <c r="E120" s="42"/>
      <c r="F120" s="200"/>
      <c r="G120" s="208"/>
      <c r="H120" s="112"/>
      <c r="I120" s="45"/>
    </row>
    <row r="121">
      <c r="A121" s="204"/>
      <c r="B121" s="39"/>
      <c r="C121" s="170"/>
      <c r="D121" s="41"/>
      <c r="E121" s="42"/>
      <c r="F121" s="200"/>
      <c r="G121" s="209"/>
      <c r="H121" s="112"/>
      <c r="I121" s="45"/>
    </row>
    <row r="122">
      <c r="A122" s="204"/>
      <c r="B122" s="39"/>
      <c r="C122" s="40"/>
      <c r="D122" s="41"/>
      <c r="E122" s="153"/>
      <c r="F122" s="200"/>
      <c r="G122" s="208"/>
      <c r="H122" s="152"/>
      <c r="I122" s="45"/>
    </row>
    <row r="123">
      <c r="A123" s="38"/>
      <c r="B123" s="45"/>
      <c r="C123" s="40"/>
      <c r="D123" s="41"/>
      <c r="E123" s="42"/>
      <c r="F123" s="200"/>
      <c r="G123" s="43"/>
      <c r="H123" s="152"/>
      <c r="I123" s="45"/>
    </row>
    <row r="124">
      <c r="A124" s="38"/>
      <c r="B124" s="45"/>
      <c r="C124" s="40"/>
      <c r="D124" s="41"/>
      <c r="E124" s="42"/>
      <c r="F124" s="210"/>
      <c r="G124" s="210"/>
      <c r="I124" s="45"/>
    </row>
    <row r="125">
      <c r="A125" s="204"/>
      <c r="B125" s="45"/>
      <c r="C125" s="40"/>
      <c r="D125" s="206"/>
      <c r="E125" s="206"/>
      <c r="F125" s="200"/>
      <c r="G125" s="208"/>
      <c r="H125" s="112"/>
      <c r="I125" s="45"/>
    </row>
    <row r="126">
      <c r="A126" s="204"/>
      <c r="B126" s="39"/>
      <c r="C126" s="170"/>
      <c r="D126" s="41"/>
      <c r="E126" s="42"/>
      <c r="F126" s="200"/>
      <c r="G126" s="208"/>
      <c r="H126" s="152"/>
      <c r="I126" s="45"/>
    </row>
    <row r="127">
      <c r="A127" s="38"/>
      <c r="B127" s="45"/>
      <c r="C127" s="40"/>
      <c r="D127" s="206"/>
      <c r="E127" s="206"/>
      <c r="F127" s="200"/>
      <c r="G127" s="211"/>
      <c r="H127" s="152"/>
      <c r="I127" s="45"/>
    </row>
    <row r="128">
      <c r="A128" s="204"/>
      <c r="B128" s="45"/>
      <c r="C128" s="40"/>
      <c r="D128" s="206"/>
      <c r="E128" s="206"/>
      <c r="F128" s="200"/>
      <c r="G128" s="211"/>
      <c r="H128" s="152"/>
      <c r="I128" s="45"/>
    </row>
    <row r="129">
      <c r="A129" s="204"/>
      <c r="B129" s="39"/>
      <c r="C129" s="40"/>
      <c r="D129" s="41"/>
      <c r="E129" s="42"/>
      <c r="F129" s="200"/>
      <c r="G129" s="62"/>
      <c r="H129" s="152"/>
      <c r="I129" s="45"/>
    </row>
    <row r="130">
      <c r="A130" s="38"/>
      <c r="B130" s="45"/>
      <c r="C130" s="40"/>
      <c r="D130" s="41"/>
      <c r="E130" s="42"/>
      <c r="F130" s="210"/>
      <c r="G130" s="210"/>
      <c r="I130" s="45"/>
    </row>
    <row r="131">
      <c r="A131" s="38"/>
      <c r="B131" s="45"/>
      <c r="C131" s="40"/>
      <c r="D131" s="41"/>
      <c r="E131" s="42"/>
      <c r="F131" s="200"/>
      <c r="G131" s="43"/>
      <c r="H131" s="152"/>
      <c r="I131" s="45"/>
    </row>
    <row r="132">
      <c r="A132" s="38"/>
      <c r="B132" s="45"/>
      <c r="C132" s="40"/>
      <c r="D132" s="206"/>
      <c r="E132" s="206"/>
      <c r="F132" s="200"/>
      <c r="G132" s="211"/>
      <c r="H132" s="152"/>
      <c r="I132" s="45"/>
    </row>
    <row r="133">
      <c r="A133" s="38"/>
      <c r="B133" s="45"/>
      <c r="C133" s="40"/>
      <c r="D133" s="206"/>
      <c r="E133" s="206"/>
      <c r="F133" s="200"/>
      <c r="G133" s="211"/>
      <c r="H133" s="152"/>
      <c r="I133" s="45"/>
    </row>
    <row r="134">
      <c r="A134" s="204"/>
      <c r="B134" s="39"/>
      <c r="C134" s="40"/>
      <c r="D134" s="41"/>
      <c r="E134" s="42"/>
      <c r="F134" s="200"/>
      <c r="G134" s="211"/>
      <c r="H134" s="152"/>
      <c r="I134" s="45"/>
    </row>
    <row r="135">
      <c r="A135" s="38"/>
      <c r="B135" s="45"/>
      <c r="C135" s="14"/>
      <c r="D135" s="41"/>
      <c r="E135" s="42"/>
      <c r="F135" s="200"/>
      <c r="G135" s="211"/>
      <c r="H135" s="152"/>
      <c r="I135" s="45"/>
    </row>
    <row r="136">
      <c r="A136" s="38"/>
      <c r="B136" s="45"/>
      <c r="C136" s="40"/>
      <c r="D136" s="206"/>
      <c r="E136" s="206"/>
      <c r="F136" s="200"/>
      <c r="G136" s="211"/>
      <c r="H136" s="152"/>
      <c r="I136" s="45"/>
    </row>
    <row r="137">
      <c r="A137" s="38"/>
      <c r="B137" s="45"/>
      <c r="C137" s="40"/>
      <c r="D137" s="41"/>
      <c r="E137" s="42"/>
      <c r="F137" s="62"/>
      <c r="G137" s="125"/>
      <c r="H137" s="152"/>
      <c r="I137" s="45"/>
    </row>
    <row r="138">
      <c r="A138" s="204"/>
      <c r="B138" s="39"/>
      <c r="C138" s="170"/>
      <c r="D138" s="41"/>
      <c r="E138" s="42"/>
      <c r="F138" s="62"/>
      <c r="G138" s="43"/>
      <c r="H138" s="152"/>
      <c r="I138" s="45"/>
    </row>
    <row r="139">
      <c r="A139" s="204"/>
      <c r="B139" s="39"/>
      <c r="C139" s="170"/>
      <c r="D139" s="212"/>
      <c r="E139" s="213"/>
      <c r="F139" s="62"/>
      <c r="G139" s="43"/>
      <c r="H139" s="152"/>
      <c r="I139" s="45"/>
    </row>
    <row r="140">
      <c r="A140" s="204"/>
      <c r="B140" s="39"/>
      <c r="C140" s="170"/>
      <c r="D140" s="212"/>
      <c r="E140" s="213"/>
      <c r="F140" s="62"/>
      <c r="G140" s="62"/>
      <c r="H140" s="152"/>
      <c r="I140" s="45"/>
    </row>
    <row r="141">
      <c r="A141" s="204"/>
      <c r="B141" s="39"/>
      <c r="C141" s="170"/>
      <c r="D141" s="206"/>
      <c r="E141" s="206"/>
      <c r="F141" s="200"/>
      <c r="G141" s="211"/>
      <c r="H141" s="187"/>
      <c r="I141" s="45"/>
    </row>
    <row r="142">
      <c r="A142" s="204"/>
      <c r="B142" s="214"/>
      <c r="C142" s="185"/>
      <c r="D142" s="215"/>
      <c r="E142" s="42"/>
      <c r="F142" s="195"/>
      <c r="G142" s="216"/>
      <c r="H142" s="39"/>
      <c r="I142" s="45"/>
    </row>
    <row r="143">
      <c r="A143" s="204"/>
      <c r="B143" s="214"/>
      <c r="C143" s="172"/>
      <c r="D143" s="51"/>
      <c r="E143" s="42"/>
      <c r="F143" s="200"/>
      <c r="G143" s="211"/>
      <c r="H143" s="112"/>
      <c r="I143" s="45"/>
    </row>
    <row r="144">
      <c r="A144" s="204"/>
      <c r="B144" s="214"/>
      <c r="C144" s="172"/>
      <c r="D144" s="51"/>
      <c r="E144" s="42"/>
      <c r="F144" s="200"/>
      <c r="G144" s="43"/>
      <c r="H144" s="152"/>
      <c r="I144" s="45"/>
    </row>
    <row r="145">
      <c r="A145" s="38"/>
      <c r="B145" s="45"/>
      <c r="C145" s="40"/>
      <c r="D145" s="213"/>
      <c r="E145" s="213"/>
      <c r="F145" s="62"/>
      <c r="G145" s="43"/>
      <c r="H145" s="167"/>
      <c r="I145" s="45"/>
    </row>
    <row r="146">
      <c r="A146" s="204"/>
      <c r="B146" s="81"/>
      <c r="C146" s="217"/>
      <c r="D146" s="213"/>
      <c r="E146" s="213"/>
      <c r="F146" s="62"/>
      <c r="G146" s="43"/>
      <c r="H146" s="167"/>
      <c r="I146" s="45"/>
    </row>
    <row r="147">
      <c r="A147" s="204"/>
      <c r="B147" s="81"/>
      <c r="C147" s="40"/>
      <c r="D147" s="41"/>
      <c r="E147" s="42"/>
      <c r="F147" s="62"/>
      <c r="G147" s="43"/>
      <c r="H147" s="167"/>
      <c r="I147" s="45"/>
    </row>
    <row r="148">
      <c r="A148" s="204"/>
      <c r="B148" s="81"/>
      <c r="C148" s="217"/>
      <c r="D148" s="41"/>
      <c r="E148" s="102"/>
      <c r="F148" s="62"/>
      <c r="G148" s="43"/>
      <c r="H148" s="167"/>
      <c r="I148" s="45"/>
    </row>
    <row r="149">
      <c r="A149" s="204"/>
      <c r="B149" s="214"/>
      <c r="C149" s="172"/>
      <c r="D149" s="51"/>
      <c r="E149" s="42"/>
      <c r="F149" s="62"/>
      <c r="G149" s="43"/>
      <c r="H149" s="167"/>
      <c r="I149" s="45"/>
    </row>
    <row r="150">
      <c r="A150" s="204"/>
      <c r="B150" s="39"/>
      <c r="C150" s="170"/>
      <c r="D150" s="41"/>
      <c r="E150" s="42"/>
      <c r="F150" s="62"/>
      <c r="G150" s="43"/>
      <c r="H150" s="167"/>
      <c r="I150" s="45"/>
    </row>
    <row r="151">
      <c r="A151" s="38"/>
      <c r="B151" s="45"/>
      <c r="C151" s="40"/>
      <c r="D151" s="213"/>
      <c r="E151" s="213"/>
      <c r="F151" s="62"/>
      <c r="G151" s="43"/>
      <c r="H151" s="167"/>
      <c r="I151" s="45"/>
    </row>
    <row r="152">
      <c r="A152" s="38"/>
      <c r="B152" s="45"/>
      <c r="C152" s="40"/>
      <c r="D152" s="213"/>
      <c r="E152" s="213"/>
      <c r="F152" s="62"/>
      <c r="G152" s="43"/>
      <c r="H152" s="167"/>
      <c r="I152" s="45"/>
    </row>
    <row r="153">
      <c r="A153" s="38"/>
      <c r="B153" s="45"/>
      <c r="C153" s="40"/>
      <c r="D153" s="213"/>
      <c r="E153" s="213"/>
      <c r="F153" s="62"/>
      <c r="G153" s="43"/>
      <c r="H153" s="167"/>
      <c r="I153" s="45"/>
    </row>
    <row r="154">
      <c r="A154" s="218"/>
      <c r="B154" s="178"/>
      <c r="C154" s="219"/>
      <c r="D154" s="220"/>
      <c r="E154" s="220"/>
      <c r="F154" s="221"/>
      <c r="G154" s="182"/>
      <c r="H154" s="222"/>
      <c r="I154" s="178"/>
    </row>
    <row r="155">
      <c r="A155" s="80"/>
      <c r="B155" s="39"/>
      <c r="C155" s="170"/>
      <c r="D155" s="223"/>
      <c r="E155" s="223"/>
      <c r="F155" s="224"/>
      <c r="G155" s="224"/>
      <c r="H155" s="167"/>
      <c r="I155" s="81"/>
    </row>
    <row r="156">
      <c r="A156" s="204"/>
      <c r="B156" s="39"/>
      <c r="C156" s="170"/>
      <c r="D156" s="41"/>
      <c r="E156" s="42"/>
      <c r="F156" s="62"/>
      <c r="G156" s="43"/>
      <c r="H156" s="167"/>
      <c r="I156" s="45"/>
    </row>
    <row r="157">
      <c r="A157" s="204"/>
      <c r="B157" s="81"/>
      <c r="C157" s="40"/>
      <c r="D157" s="41"/>
      <c r="E157" s="42"/>
      <c r="F157" s="224"/>
      <c r="G157" s="169"/>
      <c r="H157" s="225"/>
      <c r="I157" s="45"/>
    </row>
    <row r="158">
      <c r="A158" s="80"/>
      <c r="B158" s="39"/>
      <c r="C158" s="40"/>
      <c r="D158" s="213"/>
      <c r="E158" s="213"/>
      <c r="F158" s="62"/>
      <c r="G158" s="43"/>
      <c r="H158" s="152"/>
      <c r="I158" s="45"/>
    </row>
    <row r="159">
      <c r="A159" s="204"/>
      <c r="B159" s="39"/>
      <c r="C159" s="170"/>
      <c r="D159" s="41"/>
      <c r="E159" s="42"/>
      <c r="F159" s="62"/>
      <c r="G159" s="43"/>
      <c r="H159" s="45"/>
      <c r="I159" s="45"/>
    </row>
    <row r="160">
      <c r="A160" s="204"/>
      <c r="B160" s="214"/>
      <c r="C160" s="172"/>
      <c r="D160" s="51"/>
      <c r="E160" s="42"/>
      <c r="F160" s="62"/>
      <c r="G160" s="43"/>
      <c r="H160" s="45"/>
      <c r="I160" s="45"/>
    </row>
    <row r="161">
      <c r="A161" s="204"/>
      <c r="B161" s="45"/>
      <c r="C161" s="40"/>
      <c r="D161" s="213"/>
      <c r="E161" s="213"/>
      <c r="F161" s="62"/>
      <c r="G161" s="43"/>
      <c r="H161" s="45"/>
      <c r="I161" s="45"/>
    </row>
    <row r="162">
      <c r="A162" s="204"/>
      <c r="B162" s="45"/>
      <c r="C162" s="40"/>
      <c r="D162" s="213"/>
      <c r="E162" s="213"/>
      <c r="F162" s="62"/>
      <c r="G162" s="43"/>
      <c r="H162" s="45"/>
      <c r="I162" s="45"/>
    </row>
    <row r="163">
      <c r="A163" s="38"/>
      <c r="B163" s="45"/>
      <c r="C163" s="40"/>
      <c r="D163" s="41"/>
      <c r="E163" s="42"/>
      <c r="F163" s="62"/>
      <c r="G163" s="43"/>
      <c r="H163" s="45"/>
      <c r="I163" s="45"/>
    </row>
    <row r="164">
      <c r="A164" s="38"/>
      <c r="B164" s="45"/>
      <c r="C164" s="40"/>
      <c r="D164" s="213"/>
      <c r="E164" s="213"/>
      <c r="F164" s="62"/>
      <c r="G164" s="43"/>
      <c r="H164" s="45"/>
      <c r="I164" s="45"/>
    </row>
    <row r="165">
      <c r="A165" s="38"/>
      <c r="B165" s="45"/>
      <c r="C165" s="40"/>
      <c r="D165" s="213"/>
      <c r="E165" s="213"/>
      <c r="F165" s="62"/>
      <c r="G165" s="62"/>
      <c r="H165" s="45"/>
      <c r="I165" s="45"/>
    </row>
    <row r="166">
      <c r="A166" s="38"/>
      <c r="B166" s="47"/>
      <c r="C166" s="226"/>
      <c r="D166" s="227"/>
      <c r="E166" s="228"/>
      <c r="F166" s="229"/>
      <c r="G166" s="48"/>
      <c r="H166" s="47"/>
      <c r="I166" s="45"/>
    </row>
    <row r="167">
      <c r="A167" s="38"/>
      <c r="B167" s="47"/>
      <c r="C167" s="226"/>
      <c r="D167" s="205"/>
      <c r="E167" s="42"/>
      <c r="F167" s="229"/>
      <c r="G167" s="229"/>
      <c r="H167" s="47"/>
      <c r="I167" s="45"/>
    </row>
    <row r="168">
      <c r="A168" s="38"/>
      <c r="B168" s="47"/>
      <c r="C168" s="226"/>
      <c r="D168" s="227"/>
      <c r="E168" s="227"/>
      <c r="F168" s="229"/>
      <c r="G168" s="229"/>
      <c r="H168" s="47"/>
      <c r="I168" s="45"/>
    </row>
    <row r="169">
      <c r="A169" s="204"/>
      <c r="B169" s="39"/>
      <c r="C169" s="170"/>
      <c r="D169" s="41"/>
      <c r="E169" s="42"/>
      <c r="F169" s="230"/>
      <c r="G169" s="230"/>
      <c r="H169" s="47"/>
      <c r="I169" s="45"/>
    </row>
    <row r="170">
      <c r="A170" s="38"/>
      <c r="B170" s="45"/>
      <c r="C170" s="40"/>
      <c r="D170" s="227"/>
      <c r="E170" s="227"/>
      <c r="F170" s="229"/>
      <c r="G170" s="48"/>
      <c r="H170" s="47"/>
      <c r="I170" s="45"/>
    </row>
    <row r="171">
      <c r="A171" s="204"/>
      <c r="B171" s="81"/>
      <c r="C171" s="40"/>
      <c r="D171" s="41"/>
      <c r="E171" s="42"/>
      <c r="F171" s="230"/>
      <c r="G171" s="230"/>
      <c r="H171" s="47"/>
      <c r="I171" s="45"/>
    </row>
    <row r="172">
      <c r="A172" s="38"/>
      <c r="B172" s="45"/>
      <c r="C172" s="40"/>
      <c r="D172" s="41"/>
      <c r="E172" s="42"/>
      <c r="F172" s="231"/>
      <c r="G172" s="231"/>
      <c r="H172" s="47"/>
      <c r="I172" s="45"/>
    </row>
    <row r="173">
      <c r="A173" s="38"/>
      <c r="B173" s="47"/>
      <c r="C173" s="226"/>
      <c r="D173" s="227"/>
      <c r="E173" s="228"/>
      <c r="F173" s="229"/>
      <c r="G173" s="229"/>
      <c r="H173" s="47"/>
      <c r="I173" s="45"/>
    </row>
    <row r="174">
      <c r="A174" s="204"/>
      <c r="B174" s="81"/>
      <c r="C174" s="217"/>
      <c r="D174" s="41"/>
      <c r="E174" s="102"/>
      <c r="F174" s="231"/>
      <c r="G174" s="231"/>
      <c r="H174" s="47"/>
      <c r="I174" s="45"/>
    </row>
    <row r="175">
      <c r="A175" s="38"/>
      <c r="B175" s="45"/>
      <c r="C175" s="40"/>
      <c r="D175" s="41"/>
      <c r="E175" s="42"/>
      <c r="F175" s="231"/>
      <c r="G175" s="231"/>
      <c r="H175" s="47"/>
      <c r="I175" s="45"/>
    </row>
    <row r="176">
      <c r="A176" s="204"/>
      <c r="B176" s="39"/>
      <c r="C176" s="170"/>
      <c r="D176" s="206"/>
      <c r="E176" s="206"/>
      <c r="F176" s="229"/>
      <c r="G176" s="48"/>
      <c r="H176" s="47"/>
      <c r="I176" s="45"/>
    </row>
    <row r="177">
      <c r="A177" s="204"/>
      <c r="B177" s="39"/>
      <c r="C177" s="170"/>
      <c r="D177" s="41"/>
      <c r="E177" s="102"/>
      <c r="F177" s="62"/>
      <c r="G177" s="43"/>
      <c r="H177" s="45"/>
      <c r="I177" s="45"/>
    </row>
    <row r="178">
      <c r="A178" s="204"/>
      <c r="B178" s="39"/>
      <c r="C178" s="170"/>
      <c r="D178" s="41"/>
      <c r="E178" s="42"/>
      <c r="F178" s="62"/>
      <c r="G178" s="43"/>
      <c r="H178" s="45"/>
      <c r="I178" s="45"/>
    </row>
    <row r="179">
      <c r="A179" s="204"/>
      <c r="B179" s="45"/>
      <c r="C179" s="40"/>
      <c r="D179" s="213"/>
      <c r="E179" s="213"/>
      <c r="F179" s="62"/>
      <c r="G179" s="43"/>
      <c r="H179" s="45"/>
      <c r="I179" s="45"/>
    </row>
    <row r="180">
      <c r="A180" s="80"/>
      <c r="B180" s="47"/>
      <c r="C180" s="226"/>
      <c r="D180" s="227"/>
      <c r="E180" s="227"/>
      <c r="F180" s="229"/>
      <c r="G180" s="229"/>
      <c r="H180" s="47"/>
      <c r="I180" s="45"/>
    </row>
    <row r="181">
      <c r="A181" s="204"/>
      <c r="B181" s="39"/>
      <c r="C181" s="170"/>
      <c r="D181" s="41"/>
      <c r="E181" s="42"/>
      <c r="F181" s="86"/>
      <c r="G181" s="86"/>
      <c r="H181" s="81"/>
      <c r="I181" s="45"/>
    </row>
    <row r="182">
      <c r="A182" s="232"/>
      <c r="B182" s="233"/>
      <c r="C182" s="234"/>
      <c r="D182" s="235"/>
      <c r="E182" s="235"/>
      <c r="F182" s="236"/>
      <c r="G182" s="236"/>
      <c r="H182" s="237"/>
      <c r="I182" s="45"/>
    </row>
    <row r="183">
      <c r="A183" s="38"/>
      <c r="B183" s="238"/>
      <c r="C183" s="40"/>
      <c r="D183" s="213"/>
      <c r="E183" s="213"/>
      <c r="F183" s="62"/>
      <c r="G183" s="43"/>
      <c r="H183" s="45"/>
      <c r="I183" s="45"/>
    </row>
    <row r="184">
      <c r="A184" s="38"/>
      <c r="B184" s="239"/>
      <c r="C184" s="172"/>
      <c r="D184" s="51"/>
      <c r="E184" s="42"/>
      <c r="F184" s="62"/>
      <c r="G184" s="240"/>
      <c r="H184" s="45"/>
      <c r="I184" s="45"/>
    </row>
    <row r="185">
      <c r="A185" s="38"/>
      <c r="B185" s="45"/>
      <c r="C185" s="40"/>
      <c r="D185" s="41"/>
      <c r="E185" s="42"/>
      <c r="F185" s="62"/>
      <c r="G185" s="43"/>
      <c r="H185" s="1"/>
      <c r="I185" s="45"/>
    </row>
    <row r="186">
      <c r="A186" s="38"/>
      <c r="B186" s="45"/>
      <c r="C186" s="40"/>
      <c r="D186" s="213"/>
      <c r="E186" s="213"/>
      <c r="F186" s="62"/>
      <c r="G186" s="43"/>
      <c r="H186" s="1"/>
      <c r="I186" s="45"/>
    </row>
    <row r="187">
      <c r="A187" s="38"/>
      <c r="B187" s="81"/>
      <c r="C187" s="40"/>
      <c r="D187" s="41"/>
      <c r="E187" s="42"/>
      <c r="F187" s="62"/>
      <c r="G187" s="241"/>
      <c r="H187" s="45"/>
      <c r="I187" s="45"/>
    </row>
    <row r="188">
      <c r="A188" s="204"/>
      <c r="B188" s="214"/>
      <c r="C188" s="185"/>
      <c r="D188" s="215"/>
      <c r="E188" s="42"/>
      <c r="F188" s="62"/>
      <c r="G188" s="240"/>
      <c r="H188" s="45"/>
      <c r="I188" s="45"/>
    </row>
    <row r="189">
      <c r="A189" s="204"/>
      <c r="B189" s="39"/>
      <c r="C189" s="170"/>
      <c r="D189" s="213"/>
      <c r="E189" s="213"/>
      <c r="F189" s="62"/>
      <c r="G189" s="240"/>
      <c r="H189" s="45"/>
      <c r="I189" s="45"/>
    </row>
    <row r="190">
      <c r="A190" s="38"/>
      <c r="B190" s="39"/>
      <c r="C190" s="242"/>
      <c r="D190" s="212"/>
      <c r="E190" s="114"/>
      <c r="F190" s="62"/>
      <c r="G190" s="240"/>
      <c r="H190" s="45"/>
      <c r="I190" s="45"/>
    </row>
    <row r="191">
      <c r="A191" s="38"/>
      <c r="B191" s="239"/>
      <c r="C191" s="172"/>
      <c r="D191" s="51"/>
      <c r="E191" s="42"/>
      <c r="F191" s="62"/>
      <c r="G191" s="240"/>
      <c r="H191" s="45"/>
      <c r="I191" s="45"/>
    </row>
    <row r="192">
      <c r="A192" s="38"/>
      <c r="B192" s="45"/>
      <c r="C192" s="40"/>
      <c r="D192" s="41"/>
      <c r="E192" s="42"/>
      <c r="F192" s="224"/>
      <c r="G192" s="169"/>
      <c r="H192" s="112"/>
      <c r="I192" s="45"/>
    </row>
    <row r="193">
      <c r="A193" s="38"/>
      <c r="B193" s="39"/>
      <c r="C193" s="170"/>
      <c r="D193" s="41"/>
      <c r="E193" s="42"/>
      <c r="F193" s="165"/>
      <c r="G193" s="169"/>
      <c r="H193" s="112"/>
      <c r="I193" s="45"/>
    </row>
    <row r="194">
      <c r="A194" s="38"/>
      <c r="B194" s="39"/>
      <c r="C194" s="170"/>
      <c r="D194" s="41"/>
      <c r="E194" s="42"/>
      <c r="F194" s="165"/>
      <c r="G194" s="169"/>
      <c r="H194" s="112"/>
      <c r="I194" s="112"/>
    </row>
    <row r="195">
      <c r="A195" s="204"/>
      <c r="B195" s="39"/>
      <c r="C195" s="170"/>
      <c r="D195" s="41"/>
      <c r="E195" s="42"/>
      <c r="F195" s="165"/>
      <c r="G195" s="169"/>
      <c r="H195" s="112"/>
      <c r="I195" s="112"/>
    </row>
    <row r="196">
      <c r="A196" s="204"/>
      <c r="B196" s="39"/>
      <c r="C196" s="170"/>
      <c r="D196" s="164"/>
      <c r="E196" s="164"/>
      <c r="F196" s="165"/>
      <c r="G196" s="169"/>
      <c r="H196" s="112"/>
      <c r="I196" s="112"/>
    </row>
    <row r="197">
      <c r="A197" s="38"/>
      <c r="B197" s="81"/>
      <c r="C197" s="40"/>
      <c r="D197" s="41"/>
      <c r="E197" s="42"/>
      <c r="F197" s="165"/>
      <c r="G197" s="169"/>
      <c r="H197" s="112"/>
      <c r="I197" s="112"/>
    </row>
    <row r="198">
      <c r="A198" s="38"/>
      <c r="B198" s="45"/>
      <c r="C198" s="40"/>
      <c r="D198" s="41"/>
      <c r="E198" s="42"/>
      <c r="F198" s="165"/>
      <c r="G198" s="169"/>
      <c r="H198" s="112"/>
      <c r="I198" s="112"/>
    </row>
    <row r="199">
      <c r="A199" s="38"/>
      <c r="B199" s="45"/>
      <c r="C199" s="40"/>
      <c r="D199" s="41"/>
      <c r="E199" s="42"/>
      <c r="F199" s="165"/>
      <c r="G199" s="169"/>
      <c r="H199" s="112"/>
      <c r="I199" s="112"/>
    </row>
    <row r="200">
      <c r="A200" s="38"/>
      <c r="B200" s="39"/>
      <c r="C200" s="170"/>
      <c r="D200" s="41"/>
      <c r="E200" s="42"/>
      <c r="F200" s="43"/>
      <c r="G200" s="169"/>
      <c r="H200" s="112"/>
      <c r="I200" s="112"/>
    </row>
    <row r="201">
      <c r="A201" s="38"/>
      <c r="B201" s="39"/>
      <c r="C201" s="170"/>
      <c r="D201" s="164"/>
      <c r="E201" s="164"/>
      <c r="F201" s="165"/>
      <c r="G201" s="169"/>
      <c r="H201" s="112"/>
      <c r="I201" s="112"/>
    </row>
    <row r="202">
      <c r="A202" s="38"/>
      <c r="B202" s="39"/>
      <c r="C202" s="170"/>
      <c r="D202" s="164"/>
      <c r="E202" s="164"/>
      <c r="F202" s="165"/>
      <c r="G202" s="169"/>
      <c r="H202" s="112"/>
      <c r="I202" s="112"/>
    </row>
    <row r="203">
      <c r="A203" s="38"/>
      <c r="B203" s="39"/>
      <c r="C203" s="170"/>
      <c r="D203" s="159"/>
      <c r="E203" s="171"/>
      <c r="F203" s="165"/>
      <c r="G203" s="169"/>
      <c r="H203" s="112"/>
      <c r="I203" s="112"/>
    </row>
    <row r="204">
      <c r="A204" s="204"/>
      <c r="B204" s="39"/>
      <c r="C204" s="170"/>
      <c r="D204" s="41"/>
      <c r="E204" s="42"/>
      <c r="F204" s="165"/>
      <c r="G204" s="169"/>
      <c r="H204" s="112"/>
      <c r="I204" s="112"/>
    </row>
    <row r="205">
      <c r="A205" s="204"/>
      <c r="B205" s="39"/>
      <c r="C205" s="170"/>
      <c r="D205" s="41"/>
      <c r="E205" s="42"/>
      <c r="F205" s="165"/>
      <c r="G205" s="169"/>
      <c r="H205" s="112"/>
      <c r="I205" s="112"/>
    </row>
    <row r="206">
      <c r="A206" s="38"/>
      <c r="B206" s="45"/>
      <c r="C206" s="40"/>
      <c r="D206" s="41"/>
      <c r="E206" s="42"/>
      <c r="F206" s="62"/>
      <c r="G206" s="43"/>
      <c r="H206" s="45"/>
      <c r="I206" s="45"/>
    </row>
    <row r="207">
      <c r="A207" s="204"/>
      <c r="B207" s="214"/>
      <c r="C207" s="185"/>
      <c r="D207" s="215"/>
      <c r="E207" s="42"/>
      <c r="F207" s="62"/>
      <c r="G207" s="211"/>
      <c r="H207" s="45"/>
      <c r="I207" s="45"/>
    </row>
    <row r="208">
      <c r="A208" s="38"/>
      <c r="B208" s="81"/>
      <c r="C208" s="40"/>
      <c r="D208" s="41"/>
      <c r="E208" s="42"/>
      <c r="F208" s="62"/>
      <c r="G208" s="211"/>
      <c r="H208" s="45"/>
      <c r="I208" s="45"/>
    </row>
    <row r="209">
      <c r="A209" s="38"/>
      <c r="B209" s="243"/>
      <c r="C209" s="170"/>
      <c r="D209" s="213"/>
      <c r="E209" s="213"/>
      <c r="F209" s="244"/>
      <c r="G209" s="244"/>
      <c r="H209" s="47"/>
      <c r="I209" s="47"/>
    </row>
    <row r="210">
      <c r="A210" s="38"/>
      <c r="B210" s="238"/>
      <c r="C210" s="40"/>
      <c r="D210" s="213"/>
      <c r="E210" s="213"/>
      <c r="F210" s="245"/>
      <c r="G210" s="245"/>
      <c r="H210" s="81"/>
      <c r="I210" s="81"/>
    </row>
    <row r="211">
      <c r="A211" s="38"/>
      <c r="B211" s="243"/>
      <c r="C211" s="217"/>
      <c r="D211" s="51"/>
      <c r="E211" s="42"/>
      <c r="F211" s="245"/>
      <c r="G211" s="245"/>
      <c r="H211" s="81"/>
      <c r="I211" s="81"/>
    </row>
    <row r="212">
      <c r="A212" s="38"/>
      <c r="B212" s="39"/>
      <c r="C212" s="170"/>
      <c r="D212" s="41"/>
      <c r="E212" s="42"/>
      <c r="F212" s="245"/>
      <c r="G212" s="245"/>
      <c r="H212" s="81"/>
      <c r="I212" s="81"/>
    </row>
    <row r="213">
      <c r="A213" s="38"/>
      <c r="B213" s="22"/>
      <c r="C213" s="40"/>
      <c r="D213" s="246"/>
      <c r="E213" s="42"/>
      <c r="F213" s="241"/>
      <c r="G213" s="245"/>
      <c r="H213" s="81"/>
      <c r="I213" s="81"/>
    </row>
    <row r="214">
      <c r="A214" s="38"/>
      <c r="B214" s="22"/>
      <c r="C214" s="40"/>
      <c r="D214" s="213"/>
      <c r="E214" s="213"/>
      <c r="F214" s="241"/>
      <c r="G214" s="245"/>
      <c r="H214" s="81"/>
      <c r="I214" s="81"/>
    </row>
    <row r="215">
      <c r="A215" s="38"/>
      <c r="B215" s="22"/>
      <c r="C215" s="40"/>
      <c r="D215" s="213"/>
      <c r="E215" s="213"/>
      <c r="F215" s="241"/>
      <c r="G215" s="245"/>
      <c r="H215" s="81"/>
      <c r="I215" s="81"/>
    </row>
    <row r="216">
      <c r="A216" s="38"/>
      <c r="B216" s="22"/>
      <c r="C216" s="40"/>
      <c r="D216" s="213"/>
      <c r="E216" s="213"/>
      <c r="F216" s="241"/>
      <c r="G216" s="245"/>
      <c r="H216" s="81"/>
      <c r="I216" s="81"/>
    </row>
    <row r="217">
      <c r="A217" s="38"/>
      <c r="B217" s="45"/>
      <c r="C217" s="40"/>
      <c r="D217" s="41"/>
      <c r="E217" s="42"/>
      <c r="F217" s="241"/>
      <c r="G217" s="245"/>
      <c r="H217" s="81"/>
      <c r="I217" s="81"/>
    </row>
    <row r="218">
      <c r="A218" s="38"/>
      <c r="B218" s="22"/>
      <c r="C218" s="40"/>
      <c r="D218" s="246"/>
      <c r="E218" s="42"/>
      <c r="F218" s="241"/>
      <c r="G218" s="245"/>
      <c r="H218" s="81"/>
      <c r="I218" s="81"/>
    </row>
    <row r="219">
      <c r="A219" s="38"/>
      <c r="B219" s="45"/>
      <c r="C219" s="40"/>
      <c r="D219" s="41"/>
      <c r="E219" s="42"/>
      <c r="F219" s="245"/>
      <c r="G219" s="245"/>
      <c r="H219" s="81"/>
      <c r="I219" s="81"/>
    </row>
    <row r="220">
      <c r="A220" s="63"/>
      <c r="B220" s="47"/>
      <c r="C220" s="226"/>
      <c r="D220" s="65"/>
      <c r="E220" s="66"/>
      <c r="F220" s="245"/>
      <c r="G220" s="245"/>
      <c r="H220" s="81"/>
      <c r="I220" s="81"/>
    </row>
    <row r="221">
      <c r="A221" s="232"/>
      <c r="B221" s="247"/>
      <c r="C221" s="248"/>
      <c r="D221" s="249"/>
      <c r="E221" s="250"/>
      <c r="F221" s="236"/>
      <c r="G221" s="251"/>
      <c r="H221" s="237"/>
      <c r="I221" s="237"/>
    </row>
    <row r="222">
      <c r="A222" s="38"/>
      <c r="B222" s="252"/>
      <c r="C222" s="40"/>
      <c r="D222" s="249"/>
      <c r="E222" s="42"/>
      <c r="F222" s="62"/>
      <c r="G222" s="43"/>
      <c r="H222" s="45"/>
      <c r="I222" s="45"/>
    </row>
    <row r="223">
      <c r="A223" s="38"/>
      <c r="B223" s="45"/>
      <c r="C223" s="40"/>
      <c r="D223" s="41"/>
      <c r="E223" s="42"/>
      <c r="F223" s="62"/>
      <c r="G223" s="43"/>
      <c r="H223" s="45"/>
      <c r="I223" s="45"/>
    </row>
    <row r="224">
      <c r="A224" s="38"/>
      <c r="B224" s="39"/>
      <c r="C224" s="170"/>
      <c r="D224" s="41"/>
      <c r="E224" s="42"/>
      <c r="F224" s="125"/>
      <c r="G224" s="62"/>
      <c r="H224" s="45"/>
      <c r="I224" s="45"/>
    </row>
    <row r="225">
      <c r="A225" s="38"/>
      <c r="B225" s="81"/>
      <c r="C225" s="40"/>
      <c r="D225" s="41"/>
      <c r="E225" s="42"/>
      <c r="F225" s="43"/>
      <c r="G225" s="43"/>
      <c r="H225" s="152"/>
      <c r="I225" s="152"/>
    </row>
    <row r="226">
      <c r="A226" s="38"/>
      <c r="B226" s="238"/>
      <c r="C226" s="40"/>
      <c r="D226" s="41"/>
      <c r="E226" s="213"/>
      <c r="F226" s="253"/>
      <c r="G226" s="125"/>
      <c r="H226" s="152"/>
      <c r="I226" s="45"/>
    </row>
    <row r="227">
      <c r="A227" s="38"/>
      <c r="B227" s="22"/>
      <c r="C227" s="40"/>
      <c r="D227" s="41"/>
      <c r="E227" s="213"/>
      <c r="F227" s="43"/>
      <c r="G227" s="43"/>
      <c r="H227" s="152"/>
      <c r="I227" s="45"/>
    </row>
    <row r="228">
      <c r="A228" s="38"/>
      <c r="B228" s="39"/>
      <c r="C228" s="170"/>
      <c r="D228" s="41"/>
      <c r="E228" s="42"/>
      <c r="F228" s="230"/>
      <c r="G228" s="43"/>
      <c r="H228" s="152"/>
      <c r="I228" s="152"/>
    </row>
    <row r="229">
      <c r="A229" s="38"/>
      <c r="B229" s="45"/>
      <c r="C229" s="40"/>
      <c r="D229" s="227"/>
      <c r="E229" s="228"/>
      <c r="F229" s="254"/>
      <c r="G229" s="43"/>
      <c r="H229" s="152"/>
      <c r="I229" s="152"/>
    </row>
    <row r="230">
      <c r="A230" s="38"/>
      <c r="B230" s="45"/>
      <c r="C230" s="40"/>
      <c r="D230" s="212"/>
      <c r="E230" s="213"/>
      <c r="F230" s="62"/>
      <c r="G230" s="43"/>
      <c r="H230" s="152"/>
      <c r="I230" s="152"/>
    </row>
    <row r="231">
      <c r="A231" s="38"/>
      <c r="B231" s="45"/>
      <c r="C231" s="40"/>
      <c r="D231" s="212"/>
      <c r="E231" s="213"/>
      <c r="F231" s="210"/>
      <c r="G231" s="43"/>
      <c r="H231" s="152"/>
      <c r="I231" s="152"/>
    </row>
    <row r="232">
      <c r="A232" s="38"/>
      <c r="B232" s="45"/>
      <c r="C232" s="40"/>
      <c r="D232" s="41"/>
      <c r="E232" s="42"/>
      <c r="F232" s="255"/>
      <c r="G232" s="255"/>
      <c r="H232" s="152"/>
      <c r="I232" s="152"/>
    </row>
    <row r="233">
      <c r="A233" s="38"/>
      <c r="B233" s="22"/>
      <c r="C233" s="40"/>
      <c r="D233" s="212"/>
      <c r="E233" s="213"/>
      <c r="F233" s="231"/>
      <c r="G233" s="231"/>
      <c r="H233" s="152"/>
      <c r="I233" s="152"/>
    </row>
    <row r="234">
      <c r="A234" s="38"/>
      <c r="B234" s="81"/>
      <c r="C234" s="40"/>
      <c r="D234" s="41"/>
      <c r="E234" s="42"/>
      <c r="F234" s="62"/>
      <c r="G234" s="43"/>
      <c r="H234" s="152"/>
      <c r="I234" s="152"/>
    </row>
    <row r="235">
      <c r="A235" s="38"/>
      <c r="B235" s="45"/>
      <c r="C235" s="226"/>
      <c r="D235" s="212"/>
      <c r="E235" s="213"/>
      <c r="F235" s="62"/>
      <c r="G235" s="210"/>
      <c r="H235" s="152"/>
      <c r="I235" s="152"/>
    </row>
    <row r="236">
      <c r="A236" s="38"/>
      <c r="B236" s="81"/>
      <c r="C236" s="40"/>
      <c r="D236" s="41"/>
      <c r="E236" s="42"/>
      <c r="F236" s="62"/>
      <c r="G236" s="43"/>
      <c r="H236" s="152"/>
      <c r="I236" s="152"/>
    </row>
    <row r="237">
      <c r="A237" s="38"/>
      <c r="B237" s="45"/>
      <c r="C237" s="40"/>
      <c r="D237" s="212"/>
      <c r="E237" s="114"/>
      <c r="F237" s="62"/>
      <c r="G237" s="62"/>
      <c r="H237" s="152"/>
      <c r="I237" s="152"/>
    </row>
    <row r="238">
      <c r="A238" s="38"/>
      <c r="B238" s="39"/>
      <c r="C238" s="170"/>
      <c r="D238" s="212"/>
      <c r="E238" s="42"/>
      <c r="F238" s="253"/>
      <c r="G238" s="125"/>
      <c r="H238" s="53"/>
      <c r="I238" s="152"/>
    </row>
    <row r="239">
      <c r="A239" s="38"/>
      <c r="B239" s="81"/>
      <c r="C239" s="226"/>
      <c r="D239" s="256"/>
      <c r="E239" s="66"/>
      <c r="F239" s="229"/>
      <c r="G239" s="125"/>
      <c r="H239" s="53"/>
      <c r="I239" s="187"/>
    </row>
    <row r="240">
      <c r="A240" s="38"/>
      <c r="B240" s="45"/>
      <c r="C240" s="40"/>
      <c r="D240" s="41"/>
      <c r="E240" s="42"/>
      <c r="F240" s="210"/>
      <c r="G240" s="125"/>
      <c r="H240" s="53"/>
      <c r="I240" s="187"/>
    </row>
    <row r="241">
      <c r="A241" s="38"/>
      <c r="B241" s="45"/>
      <c r="C241" s="40"/>
      <c r="D241" s="41"/>
      <c r="E241" s="42"/>
      <c r="F241" s="257"/>
      <c r="G241" s="125"/>
      <c r="H241" s="53"/>
      <c r="I241" s="187"/>
    </row>
    <row r="242">
      <c r="A242" s="38"/>
      <c r="B242" s="252"/>
      <c r="C242" s="40"/>
      <c r="D242" s="249"/>
      <c r="E242" s="42"/>
      <c r="F242" s="125"/>
      <c r="G242" s="210"/>
      <c r="H242" s="45"/>
      <c r="I242" s="45"/>
    </row>
    <row r="243">
      <c r="A243" s="38"/>
      <c r="B243" s="81"/>
      <c r="C243" s="40"/>
      <c r="D243" s="41"/>
      <c r="E243" s="42"/>
      <c r="F243" s="257"/>
      <c r="G243" s="258"/>
      <c r="H243" s="45"/>
      <c r="I243" s="45"/>
    </row>
    <row r="244">
      <c r="A244" s="259"/>
      <c r="B244" s="76"/>
      <c r="C244" s="43"/>
      <c r="D244" s="41"/>
      <c r="E244" s="42"/>
      <c r="F244" s="257"/>
      <c r="G244" s="257"/>
      <c r="H244" s="76"/>
      <c r="I244" s="76"/>
    </row>
    <row r="245">
      <c r="A245" s="259"/>
      <c r="B245" s="76"/>
      <c r="C245" s="43"/>
      <c r="D245" s="212"/>
      <c r="E245" s="42"/>
      <c r="F245" s="257"/>
      <c r="G245" s="257"/>
      <c r="H245" s="76"/>
      <c r="I245" s="76"/>
    </row>
    <row r="246">
      <c r="A246" s="259"/>
      <c r="B246" s="105"/>
      <c r="C246" s="43"/>
      <c r="D246" s="246"/>
      <c r="E246" s="42"/>
      <c r="F246" s="260"/>
      <c r="G246" s="260"/>
      <c r="H246" s="76"/>
      <c r="I246" s="76"/>
    </row>
    <row r="247">
      <c r="A247" s="259"/>
      <c r="B247" s="76"/>
      <c r="C247" s="43"/>
      <c r="D247" s="212"/>
      <c r="E247" s="213"/>
      <c r="F247" s="260"/>
      <c r="G247" s="260"/>
      <c r="H247" s="76"/>
      <c r="I247" s="76"/>
    </row>
    <row r="248">
      <c r="A248" s="259"/>
      <c r="B248" s="76"/>
      <c r="C248" s="43"/>
      <c r="D248" s="41"/>
      <c r="E248" s="42"/>
      <c r="F248" s="260"/>
      <c r="G248" s="260"/>
      <c r="H248" s="76"/>
      <c r="I248" s="76"/>
    </row>
    <row r="249">
      <c r="A249" s="259"/>
      <c r="B249" s="45"/>
      <c r="C249" s="40"/>
      <c r="D249" s="212"/>
      <c r="E249" s="42"/>
      <c r="F249" s="62"/>
      <c r="G249" s="125"/>
      <c r="H249" s="45"/>
      <c r="I249" s="45"/>
    </row>
    <row r="250">
      <c r="A250" s="38"/>
      <c r="B250" s="45"/>
      <c r="C250" s="40"/>
      <c r="D250" s="212"/>
      <c r="E250" s="114"/>
      <c r="F250" s="257"/>
      <c r="G250" s="257"/>
      <c r="H250" s="76"/>
      <c r="I250" s="76"/>
    </row>
    <row r="251">
      <c r="A251" s="38"/>
      <c r="B251" s="45"/>
      <c r="C251" s="172"/>
      <c r="D251" s="246"/>
      <c r="E251" s="42"/>
      <c r="F251" s="257"/>
      <c r="G251" s="257"/>
      <c r="H251" s="45"/>
      <c r="I251" s="45"/>
    </row>
    <row r="252">
      <c r="A252" s="259"/>
      <c r="B252" s="45"/>
      <c r="C252" s="40"/>
      <c r="D252" s="212"/>
      <c r="E252" s="42"/>
      <c r="F252" s="62"/>
      <c r="G252" s="125"/>
      <c r="H252" s="45"/>
      <c r="I252" s="45"/>
    </row>
    <row r="253">
      <c r="A253" s="259"/>
      <c r="B253" s="45"/>
      <c r="C253" s="172"/>
      <c r="D253" s="51"/>
      <c r="E253" s="42"/>
      <c r="F253" s="62"/>
      <c r="G253" s="125"/>
      <c r="H253" s="45"/>
      <c r="I253" s="45"/>
    </row>
    <row r="254">
      <c r="A254" s="259"/>
      <c r="B254" s="45"/>
      <c r="C254" s="40"/>
      <c r="D254" s="212"/>
      <c r="E254" s="42"/>
      <c r="F254" s="62"/>
      <c r="G254" s="125"/>
      <c r="H254" s="45"/>
      <c r="I254" s="45"/>
    </row>
    <row r="255">
      <c r="A255" s="38"/>
      <c r="B255" s="45"/>
      <c r="C255" s="40"/>
      <c r="D255" s="41"/>
      <c r="E255" s="42"/>
      <c r="F255" s="260"/>
      <c r="G255" s="260"/>
      <c r="H255" s="45"/>
      <c r="I255" s="45"/>
    </row>
    <row r="256">
      <c r="A256" s="259"/>
      <c r="B256" s="105"/>
      <c r="C256" s="43"/>
      <c r="D256" s="246"/>
      <c r="E256" s="42"/>
      <c r="F256" s="260"/>
      <c r="G256" s="260"/>
      <c r="H256" s="45"/>
      <c r="I256" s="45"/>
    </row>
    <row r="257">
      <c r="A257" s="38"/>
      <c r="B257" s="45"/>
      <c r="C257" s="40"/>
      <c r="D257" s="41"/>
      <c r="E257" s="42"/>
      <c r="F257" s="261"/>
      <c r="G257" s="260"/>
      <c r="H257" s="45"/>
      <c r="I257" s="45"/>
    </row>
    <row r="258">
      <c r="A258" s="38"/>
      <c r="B258" s="45"/>
      <c r="C258" s="40"/>
      <c r="D258" s="212"/>
      <c r="E258" s="42"/>
      <c r="F258" s="262"/>
      <c r="G258" s="257"/>
      <c r="H258" s="45"/>
      <c r="I258" s="45"/>
    </row>
    <row r="259">
      <c r="A259" s="38"/>
      <c r="B259" s="45"/>
      <c r="C259" s="40"/>
      <c r="D259" s="227"/>
      <c r="E259" s="228"/>
      <c r="F259" s="62"/>
      <c r="G259" s="43"/>
      <c r="H259" s="45"/>
      <c r="I259" s="45"/>
    </row>
    <row r="260">
      <c r="A260" s="38"/>
      <c r="B260" s="45"/>
      <c r="C260" s="40"/>
      <c r="D260" s="246"/>
      <c r="E260" s="42"/>
      <c r="F260" s="262"/>
      <c r="G260" s="257"/>
      <c r="H260" s="45"/>
      <c r="I260" s="45"/>
    </row>
    <row r="261">
      <c r="A261" s="38"/>
      <c r="B261" s="45"/>
      <c r="C261" s="40"/>
      <c r="D261" s="41"/>
      <c r="E261" s="42"/>
      <c r="F261" s="14"/>
      <c r="G261" s="14"/>
      <c r="H261" s="45"/>
      <c r="I261" s="45"/>
    </row>
    <row r="262">
      <c r="A262" s="38"/>
      <c r="B262" s="45"/>
      <c r="C262" s="40"/>
      <c r="D262" s="41"/>
      <c r="E262" s="42"/>
      <c r="F262" s="262"/>
      <c r="G262" s="262"/>
      <c r="H262" s="45"/>
      <c r="I262" s="45"/>
    </row>
    <row r="263">
      <c r="A263" s="63"/>
      <c r="B263" s="47"/>
      <c r="C263" s="226"/>
      <c r="D263" s="65"/>
      <c r="E263" s="66"/>
      <c r="F263" s="263"/>
      <c r="G263" s="48"/>
      <c r="H263" s="47"/>
      <c r="I263" s="47"/>
    </row>
    <row r="264">
      <c r="A264" s="232"/>
      <c r="B264" s="237"/>
      <c r="C264" s="264"/>
      <c r="D264" s="265"/>
      <c r="E264" s="265"/>
      <c r="F264" s="266"/>
      <c r="G264" s="266"/>
      <c r="H264" s="237"/>
      <c r="I264" s="237"/>
    </row>
    <row r="265">
      <c r="A265" s="38"/>
      <c r="B265" s="45"/>
      <c r="C265" s="40"/>
      <c r="D265" s="212"/>
      <c r="E265" s="114"/>
      <c r="F265" s="261"/>
      <c r="G265" s="43"/>
      <c r="H265" s="45"/>
      <c r="I265" s="45"/>
    </row>
    <row r="266">
      <c r="A266" s="259"/>
      <c r="B266" s="105"/>
      <c r="C266" s="43"/>
      <c r="D266" s="246"/>
      <c r="E266" s="42"/>
      <c r="F266" s="261"/>
      <c r="G266" s="261"/>
      <c r="H266" s="45"/>
      <c r="I266" s="45"/>
    </row>
    <row r="267">
      <c r="A267" s="259"/>
      <c r="B267" s="45"/>
      <c r="C267" s="40"/>
      <c r="D267" s="246"/>
      <c r="E267" s="42"/>
      <c r="F267" s="261"/>
      <c r="G267" s="261"/>
      <c r="H267" s="45"/>
      <c r="I267" s="45"/>
    </row>
    <row r="268">
      <c r="A268" s="259"/>
      <c r="B268" s="105"/>
      <c r="C268" s="43"/>
      <c r="D268" s="246"/>
      <c r="E268" s="42"/>
      <c r="F268" s="261"/>
      <c r="G268" s="261"/>
      <c r="H268" s="45"/>
      <c r="I268" s="45"/>
    </row>
    <row r="269">
      <c r="A269" s="259"/>
      <c r="B269" s="45"/>
      <c r="C269" s="40"/>
      <c r="D269" s="159"/>
      <c r="E269" s="267"/>
      <c r="F269" s="261"/>
      <c r="G269" s="261"/>
      <c r="H269" s="45"/>
      <c r="I269" s="45"/>
    </row>
    <row r="270">
      <c r="A270" s="259"/>
      <c r="B270" s="45"/>
      <c r="C270" s="40"/>
      <c r="D270" s="212"/>
      <c r="E270" s="114"/>
      <c r="F270" s="268"/>
      <c r="G270" s="43"/>
      <c r="H270" s="45"/>
      <c r="I270" s="45"/>
    </row>
    <row r="271">
      <c r="A271" s="259"/>
      <c r="B271" s="45"/>
      <c r="C271" s="226"/>
      <c r="D271" s="65"/>
      <c r="E271" s="66"/>
      <c r="F271" s="62"/>
      <c r="G271" s="43"/>
      <c r="H271" s="152"/>
      <c r="I271" s="152"/>
    </row>
    <row r="272">
      <c r="A272" s="259"/>
      <c r="B272" s="45"/>
      <c r="C272" s="40"/>
      <c r="D272" s="212"/>
      <c r="E272" s="114"/>
      <c r="F272" s="62"/>
      <c r="G272" s="43"/>
      <c r="H272" s="152"/>
      <c r="I272" s="152"/>
    </row>
    <row r="273">
      <c r="A273" s="259"/>
      <c r="B273" s="45"/>
      <c r="C273" s="40"/>
      <c r="D273" s="212"/>
      <c r="E273" s="114"/>
      <c r="F273" s="268"/>
      <c r="G273" s="268"/>
      <c r="H273" s="152"/>
      <c r="I273" s="152"/>
    </row>
    <row r="274">
      <c r="A274" s="259"/>
      <c r="B274" s="76"/>
      <c r="C274" s="43"/>
      <c r="D274" s="41"/>
      <c r="E274" s="42"/>
      <c r="F274" s="62"/>
      <c r="G274" s="62"/>
      <c r="H274" s="152"/>
      <c r="I274" s="152"/>
    </row>
    <row r="275">
      <c r="A275" s="259"/>
      <c r="B275" s="45"/>
      <c r="C275" s="40"/>
      <c r="D275" s="51"/>
      <c r="E275" s="42"/>
      <c r="F275" s="62"/>
      <c r="G275" s="62"/>
      <c r="H275" s="152"/>
      <c r="I275" s="152"/>
    </row>
    <row r="276">
      <c r="A276" s="259"/>
      <c r="B276" s="45"/>
      <c r="C276" s="40"/>
      <c r="D276" s="212"/>
      <c r="E276" s="114"/>
      <c r="F276" s="62"/>
      <c r="G276" s="62"/>
      <c r="H276" s="152"/>
      <c r="I276" s="152"/>
    </row>
    <row r="277">
      <c r="A277" s="259"/>
      <c r="B277" s="45"/>
      <c r="C277" s="43"/>
      <c r="D277" s="246"/>
      <c r="E277" s="42"/>
      <c r="F277" s="229"/>
      <c r="G277" s="229"/>
      <c r="H277" s="187"/>
      <c r="I277" s="152"/>
    </row>
    <row r="278">
      <c r="A278" s="259"/>
      <c r="B278" s="45"/>
      <c r="C278" s="43"/>
      <c r="D278" s="41"/>
      <c r="E278" s="42"/>
      <c r="F278" s="62"/>
      <c r="G278" s="62"/>
      <c r="H278" s="152"/>
      <c r="I278" s="152"/>
    </row>
    <row r="279">
      <c r="A279" s="269"/>
      <c r="B279" s="47"/>
      <c r="C279" s="48"/>
      <c r="D279" s="65"/>
      <c r="E279" s="66"/>
      <c r="F279" s="229"/>
      <c r="G279" s="229"/>
      <c r="H279" s="187"/>
      <c r="I279" s="187"/>
    </row>
    <row r="280">
      <c r="A280" s="270"/>
      <c r="B280" s="237"/>
      <c r="C280" s="271"/>
      <c r="D280" s="249"/>
      <c r="E280" s="250"/>
      <c r="F280" s="236"/>
      <c r="G280" s="236"/>
      <c r="H280" s="225"/>
      <c r="I280" s="225"/>
    </row>
    <row r="281">
      <c r="A281" s="259"/>
      <c r="B281" s="45"/>
      <c r="C281" s="43"/>
      <c r="D281" s="41"/>
      <c r="E281" s="42"/>
      <c r="F281" s="224"/>
      <c r="G281" s="210"/>
      <c r="H281" s="53"/>
      <c r="I281" s="112"/>
    </row>
    <row r="282">
      <c r="A282" s="259"/>
      <c r="B282" s="45"/>
      <c r="C282" s="40"/>
      <c r="D282" s="51"/>
      <c r="E282" s="42"/>
      <c r="F282" s="224"/>
      <c r="G282" s="210"/>
      <c r="H282" s="53"/>
      <c r="I282" s="112"/>
    </row>
    <row r="283">
      <c r="A283" s="38"/>
      <c r="B283" s="45"/>
      <c r="C283" s="40"/>
      <c r="D283" s="41"/>
      <c r="E283" s="42"/>
      <c r="F283" s="224"/>
      <c r="G283" s="210"/>
      <c r="H283" s="53"/>
      <c r="I283" s="112"/>
    </row>
    <row r="284">
      <c r="A284" s="38"/>
      <c r="B284" s="272"/>
      <c r="C284" s="40"/>
      <c r="D284" s="41"/>
      <c r="E284" s="42"/>
      <c r="F284" s="62"/>
      <c r="G284" s="210"/>
      <c r="H284" s="53"/>
      <c r="I284" s="152"/>
    </row>
    <row r="285">
      <c r="A285" s="38"/>
      <c r="B285" s="45"/>
      <c r="C285" s="226"/>
      <c r="D285" s="65"/>
      <c r="E285" s="66"/>
      <c r="F285" s="62"/>
      <c r="G285" s="210"/>
      <c r="H285" s="53"/>
      <c r="I285" s="152"/>
    </row>
    <row r="286">
      <c r="A286" s="38"/>
      <c r="B286" s="238"/>
      <c r="C286" s="40"/>
      <c r="D286" s="212"/>
      <c r="E286" s="114"/>
      <c r="F286" s="62"/>
      <c r="G286" s="273"/>
      <c r="H286" s="53"/>
      <c r="I286" s="152"/>
    </row>
    <row r="287">
      <c r="A287" s="38"/>
      <c r="B287" s="45"/>
      <c r="C287" s="40"/>
      <c r="D287" s="212"/>
      <c r="E287" s="114"/>
      <c r="F287" s="62"/>
      <c r="G287" s="43"/>
      <c r="H287" s="152"/>
      <c r="I287" s="152"/>
    </row>
    <row r="288">
      <c r="A288" s="259"/>
      <c r="B288" s="45"/>
      <c r="C288" s="226"/>
      <c r="D288" s="65"/>
      <c r="E288" s="66"/>
      <c r="F288" s="62"/>
      <c r="G288" s="43"/>
      <c r="H288" s="152"/>
      <c r="I288" s="152"/>
    </row>
    <row r="289">
      <c r="A289" s="259"/>
      <c r="B289" s="45"/>
      <c r="C289" s="40"/>
      <c r="D289" s="51"/>
      <c r="E289" s="42"/>
      <c r="F289" s="62"/>
      <c r="G289" s="211"/>
      <c r="H289" s="152"/>
      <c r="I289" s="152"/>
    </row>
    <row r="290">
      <c r="A290" s="259"/>
      <c r="B290" s="45"/>
      <c r="C290" s="43"/>
      <c r="D290" s="41"/>
      <c r="E290" s="42"/>
      <c r="F290" s="62"/>
      <c r="G290" s="62"/>
      <c r="H290" s="152"/>
      <c r="I290" s="152"/>
    </row>
    <row r="291">
      <c r="A291" s="259"/>
      <c r="B291" s="45"/>
      <c r="C291" s="43"/>
      <c r="D291" s="246"/>
      <c r="E291" s="42"/>
      <c r="F291" s="14"/>
      <c r="G291" s="210"/>
      <c r="H291" s="53"/>
      <c r="I291" s="152"/>
    </row>
    <row r="292">
      <c r="A292" s="259"/>
      <c r="B292" s="45"/>
      <c r="C292" s="274"/>
      <c r="D292" s="51"/>
      <c r="E292" s="110"/>
      <c r="F292" s="14"/>
      <c r="G292" s="275"/>
      <c r="H292" s="53"/>
      <c r="I292" s="152"/>
    </row>
    <row r="293" ht="15.75" customHeight="1">
      <c r="A293" s="259"/>
      <c r="B293" s="45"/>
      <c r="C293" s="40"/>
      <c r="D293" s="212"/>
      <c r="E293" s="114"/>
      <c r="F293" s="62"/>
      <c r="G293" s="43"/>
      <c r="H293" s="152"/>
      <c r="I293" s="152"/>
    </row>
    <row r="294">
      <c r="A294" s="38"/>
      <c r="B294" s="272"/>
      <c r="C294" s="40"/>
      <c r="D294" s="41"/>
      <c r="E294" s="42"/>
      <c r="F294" s="229"/>
      <c r="G294" s="48"/>
      <c r="H294" s="187"/>
      <c r="I294" s="187"/>
    </row>
    <row r="295">
      <c r="A295" s="259"/>
      <c r="B295" s="272"/>
      <c r="C295" s="226"/>
      <c r="D295" s="256"/>
      <c r="E295" s="228"/>
      <c r="F295" s="229"/>
      <c r="G295" s="48"/>
      <c r="H295" s="187"/>
      <c r="I295" s="187"/>
    </row>
    <row r="296">
      <c r="A296" s="259"/>
      <c r="B296" s="45"/>
      <c r="C296" s="40"/>
      <c r="D296" s="51"/>
      <c r="E296" s="42"/>
      <c r="F296" s="229"/>
      <c r="G296" s="48"/>
      <c r="H296" s="187"/>
      <c r="I296" s="187"/>
    </row>
    <row r="297">
      <c r="A297" s="259"/>
      <c r="B297" s="45"/>
      <c r="C297" s="226"/>
      <c r="D297" s="65"/>
      <c r="E297" s="66"/>
      <c r="H297" s="187"/>
      <c r="I297" s="187"/>
    </row>
    <row r="298">
      <c r="A298" s="259"/>
      <c r="B298" s="47"/>
      <c r="C298" s="226"/>
      <c r="D298" s="256"/>
      <c r="E298" s="228"/>
      <c r="F298" s="229"/>
      <c r="G298" s="48"/>
      <c r="H298" s="187"/>
      <c r="I298" s="187"/>
    </row>
    <row r="299">
      <c r="A299" s="259"/>
      <c r="B299" s="47"/>
      <c r="C299" s="226"/>
      <c r="D299" s="256"/>
      <c r="E299" s="228"/>
      <c r="F299" s="229"/>
      <c r="G299" s="48"/>
      <c r="H299" s="187"/>
      <c r="I299" s="187"/>
    </row>
    <row r="300">
      <c r="A300" s="259"/>
      <c r="B300" s="47"/>
      <c r="C300" s="226"/>
      <c r="D300" s="256"/>
      <c r="E300" s="228"/>
      <c r="F300" s="229"/>
      <c r="G300" s="48"/>
      <c r="H300" s="187"/>
      <c r="I300" s="187"/>
    </row>
    <row r="301">
      <c r="A301" s="259"/>
      <c r="B301" s="47"/>
      <c r="C301" s="226"/>
      <c r="D301" s="276"/>
      <c r="E301" s="277"/>
      <c r="F301" s="278"/>
      <c r="G301" s="48"/>
      <c r="H301" s="187"/>
      <c r="I301" s="187"/>
    </row>
    <row r="302">
      <c r="A302" s="259"/>
      <c r="B302" s="47"/>
      <c r="C302" s="64"/>
      <c r="D302" s="276"/>
      <c r="E302" s="277"/>
      <c r="F302" s="278"/>
      <c r="G302" s="48"/>
      <c r="H302" s="187"/>
      <c r="I302" s="187"/>
    </row>
    <row r="303">
      <c r="A303" s="259"/>
      <c r="B303" s="47"/>
      <c r="C303" s="226"/>
      <c r="D303" s="276"/>
      <c r="E303" s="277"/>
      <c r="F303" s="278"/>
      <c r="G303" s="48"/>
      <c r="H303" s="187"/>
      <c r="I303" s="187"/>
    </row>
    <row r="304">
      <c r="A304" s="259"/>
      <c r="B304" s="45"/>
      <c r="C304" s="40"/>
      <c r="D304" s="51"/>
      <c r="E304" s="42"/>
      <c r="F304" s="278"/>
      <c r="G304" s="48"/>
      <c r="H304" s="187"/>
      <c r="I304" s="187"/>
    </row>
    <row r="305">
      <c r="A305" s="259"/>
      <c r="B305" s="45"/>
      <c r="C305" s="43"/>
      <c r="D305" s="41"/>
      <c r="E305" s="42"/>
      <c r="F305" s="278"/>
      <c r="G305" s="48"/>
      <c r="H305" s="187"/>
      <c r="I305" s="187"/>
    </row>
    <row r="306">
      <c r="A306" s="269"/>
      <c r="B306" s="47"/>
      <c r="C306" s="48"/>
      <c r="D306" s="279"/>
      <c r="E306" s="66"/>
      <c r="F306" s="278"/>
      <c r="G306" s="48"/>
      <c r="H306" s="187"/>
      <c r="I306" s="187"/>
    </row>
    <row r="307">
      <c r="A307" s="280"/>
      <c r="B307" s="237"/>
      <c r="C307" s="234"/>
      <c r="D307" s="281"/>
      <c r="E307" s="250"/>
      <c r="F307" s="236"/>
      <c r="G307" s="282"/>
      <c r="H307" s="225"/>
      <c r="I307" s="225"/>
    </row>
    <row r="308">
      <c r="A308" s="259"/>
      <c r="B308" s="45"/>
      <c r="C308" s="43"/>
      <c r="D308" s="246"/>
      <c r="E308" s="42"/>
      <c r="F308" s="62"/>
      <c r="G308" s="241"/>
      <c r="H308" s="45"/>
      <c r="I308" s="45"/>
    </row>
    <row r="309">
      <c r="A309" s="259"/>
      <c r="B309" s="45"/>
      <c r="C309" s="226"/>
      <c r="D309" s="65"/>
      <c r="E309" s="66"/>
      <c r="F309" s="62"/>
      <c r="G309" s="43"/>
      <c r="H309" s="45"/>
      <c r="I309" s="45"/>
    </row>
    <row r="310">
      <c r="A310" s="259"/>
      <c r="B310" s="45"/>
      <c r="C310" s="40"/>
      <c r="D310" s="283"/>
      <c r="E310" s="284"/>
      <c r="F310" s="14"/>
      <c r="G310" s="125"/>
      <c r="H310" s="45"/>
      <c r="I310" s="45"/>
    </row>
    <row r="311">
      <c r="A311" s="259"/>
      <c r="B311" s="45"/>
      <c r="C311" s="14"/>
      <c r="D311" s="212"/>
      <c r="E311" s="114"/>
      <c r="F311" s="62"/>
      <c r="G311" s="241"/>
      <c r="H311" s="45"/>
      <c r="I311" s="45"/>
    </row>
    <row r="312">
      <c r="A312" s="259"/>
      <c r="B312" s="45"/>
      <c r="C312" s="40"/>
      <c r="D312" s="51"/>
      <c r="E312" s="42"/>
      <c r="F312" s="261"/>
      <c r="G312" s="261"/>
      <c r="H312" s="45"/>
      <c r="I312" s="45"/>
    </row>
    <row r="313">
      <c r="A313" s="259"/>
      <c r="B313" s="76"/>
      <c r="C313" s="43"/>
      <c r="D313" s="212"/>
      <c r="E313" s="114"/>
      <c r="F313" s="62"/>
      <c r="G313" s="43"/>
      <c r="H313" s="45"/>
      <c r="I313" s="45"/>
    </row>
    <row r="314">
      <c r="A314" s="259"/>
      <c r="B314" s="45"/>
      <c r="C314" s="274"/>
      <c r="D314" s="212"/>
      <c r="E314" s="114"/>
      <c r="F314" s="62"/>
      <c r="G314" s="211"/>
      <c r="H314" s="45"/>
      <c r="I314" s="45"/>
    </row>
    <row r="315">
      <c r="A315" s="259"/>
      <c r="B315" s="45"/>
      <c r="C315" s="274"/>
      <c r="D315" s="212"/>
      <c r="E315" s="114"/>
      <c r="F315" s="62"/>
      <c r="G315" s="211"/>
      <c r="H315" s="45"/>
      <c r="I315" s="45"/>
    </row>
    <row r="316">
      <c r="A316" s="259"/>
      <c r="B316" s="76"/>
      <c r="C316" s="43"/>
      <c r="D316" s="212"/>
      <c r="E316" s="114"/>
      <c r="F316" s="62"/>
      <c r="G316" s="211"/>
      <c r="H316" s="45"/>
      <c r="I316" s="45"/>
    </row>
    <row r="317">
      <c r="A317" s="259"/>
      <c r="B317" s="45"/>
      <c r="C317" s="226"/>
      <c r="D317" s="65"/>
      <c r="E317" s="66"/>
      <c r="F317" s="62"/>
      <c r="G317" s="211"/>
      <c r="H317" s="45"/>
      <c r="I317" s="45"/>
    </row>
    <row r="318">
      <c r="A318" s="259"/>
      <c r="B318" s="45"/>
      <c r="C318" s="40"/>
      <c r="D318" s="212"/>
      <c r="E318" s="114"/>
      <c r="F318" s="62"/>
      <c r="G318" s="211"/>
      <c r="H318" s="45"/>
      <c r="I318" s="45"/>
    </row>
    <row r="319">
      <c r="A319" s="259"/>
      <c r="B319" s="45"/>
      <c r="C319" s="40"/>
      <c r="D319" s="212"/>
      <c r="E319" s="114"/>
      <c r="F319" s="62"/>
      <c r="G319" s="211"/>
      <c r="H319" s="45"/>
      <c r="I319" s="45"/>
    </row>
    <row r="320">
      <c r="A320" s="259"/>
      <c r="B320" s="45"/>
      <c r="C320" s="40"/>
      <c r="D320" s="51"/>
      <c r="E320" s="42"/>
      <c r="F320" s="62"/>
      <c r="G320" s="211"/>
      <c r="H320" s="45"/>
      <c r="I320" s="45"/>
    </row>
    <row r="321">
      <c r="A321" s="259"/>
      <c r="B321" s="45"/>
      <c r="C321" s="43"/>
      <c r="D321" s="41"/>
      <c r="E321" s="42"/>
      <c r="F321" s="62"/>
      <c r="G321" s="211"/>
      <c r="H321" s="45"/>
      <c r="I321" s="45"/>
    </row>
    <row r="322">
      <c r="A322" s="259"/>
      <c r="B322" s="45"/>
      <c r="C322" s="226"/>
      <c r="D322" s="65"/>
      <c r="E322" s="66"/>
      <c r="F322" s="14"/>
      <c r="G322" s="125"/>
      <c r="H322" s="53"/>
      <c r="I322" s="45"/>
    </row>
    <row r="323">
      <c r="A323" s="259"/>
      <c r="B323" s="45"/>
      <c r="C323" s="40"/>
      <c r="D323" s="51"/>
      <c r="E323" s="42"/>
      <c r="F323" s="62"/>
      <c r="G323" s="211"/>
      <c r="H323" s="45"/>
      <c r="I323" s="45"/>
    </row>
    <row r="324">
      <c r="A324" s="259"/>
      <c r="B324" s="45"/>
      <c r="C324" s="40"/>
      <c r="D324" s="212"/>
      <c r="E324" s="114"/>
      <c r="F324" s="62"/>
      <c r="G324" s="43"/>
      <c r="H324" s="45"/>
      <c r="I324" s="45"/>
    </row>
    <row r="325">
      <c r="A325" s="259"/>
      <c r="B325" s="45"/>
      <c r="C325" s="40"/>
      <c r="D325" s="279"/>
      <c r="E325" s="66"/>
      <c r="F325" s="241"/>
      <c r="G325" s="211"/>
      <c r="H325" s="45"/>
      <c r="I325" s="45"/>
    </row>
    <row r="326">
      <c r="A326" s="269"/>
      <c r="B326" s="47"/>
      <c r="C326" s="226"/>
      <c r="D326" s="65"/>
      <c r="E326" s="66"/>
      <c r="F326" s="244"/>
      <c r="G326" s="285"/>
      <c r="H326" s="47"/>
      <c r="I326" s="47"/>
    </row>
    <row r="327">
      <c r="A327" s="280"/>
      <c r="B327" s="237"/>
      <c r="C327" s="248"/>
      <c r="D327" s="286"/>
      <c r="E327" s="287"/>
      <c r="F327" s="266"/>
      <c r="G327" s="288"/>
      <c r="H327" s="289"/>
      <c r="I327" s="237"/>
    </row>
    <row r="328">
      <c r="A328" s="259"/>
      <c r="B328" s="45"/>
      <c r="C328" s="40"/>
      <c r="D328" s="51"/>
      <c r="E328" s="42"/>
      <c r="F328" s="202"/>
      <c r="G328" s="202"/>
      <c r="H328" s="39"/>
      <c r="I328" s="39"/>
    </row>
    <row r="329">
      <c r="A329" s="259"/>
      <c r="B329" s="45"/>
      <c r="C329" s="43"/>
      <c r="D329" s="41"/>
      <c r="E329" s="42"/>
      <c r="F329" s="202"/>
      <c r="G329" s="216"/>
      <c r="H329" s="39"/>
      <c r="I329" s="39"/>
    </row>
    <row r="330">
      <c r="A330" s="259"/>
      <c r="B330" s="45"/>
      <c r="C330" s="40"/>
      <c r="D330" s="212"/>
      <c r="E330" s="114"/>
      <c r="F330" s="241"/>
      <c r="G330" s="211"/>
      <c r="H330" s="45"/>
      <c r="I330" s="45"/>
    </row>
    <row r="331">
      <c r="A331" s="259"/>
      <c r="B331" s="45"/>
      <c r="C331" s="43"/>
      <c r="D331" s="41"/>
      <c r="E331" s="42"/>
      <c r="F331" s="241"/>
      <c r="G331" s="211"/>
      <c r="H331" s="45"/>
      <c r="I331" s="45"/>
    </row>
    <row r="332">
      <c r="A332" s="259"/>
      <c r="B332" s="45"/>
      <c r="C332" s="54"/>
      <c r="D332" s="212"/>
      <c r="E332" s="114"/>
      <c r="F332" s="62"/>
      <c r="G332" s="211"/>
      <c r="H332" s="45"/>
      <c r="I332" s="45"/>
    </row>
    <row r="333">
      <c r="A333" s="259"/>
      <c r="B333" s="45"/>
      <c r="C333" s="40"/>
      <c r="D333" s="212"/>
      <c r="E333" s="114"/>
      <c r="F333" s="241"/>
      <c r="G333" s="211"/>
      <c r="H333" s="45"/>
      <c r="I333" s="45"/>
    </row>
    <row r="334">
      <c r="A334" s="259"/>
      <c r="B334" s="45"/>
      <c r="C334" s="226"/>
      <c r="D334" s="65"/>
      <c r="E334" s="66"/>
      <c r="F334" s="62"/>
      <c r="G334" s="43"/>
      <c r="H334" s="45"/>
      <c r="I334" s="45"/>
    </row>
    <row r="335">
      <c r="A335" s="259"/>
      <c r="B335" s="45"/>
      <c r="C335" s="43"/>
      <c r="D335" s="41"/>
      <c r="E335" s="42"/>
      <c r="F335" s="241"/>
      <c r="G335" s="211"/>
      <c r="H335" s="45"/>
      <c r="I335" s="45"/>
    </row>
    <row r="336">
      <c r="A336" s="259"/>
      <c r="B336" s="45"/>
      <c r="C336" s="43"/>
      <c r="D336" s="41"/>
      <c r="E336" s="42"/>
      <c r="F336" s="244"/>
      <c r="G336" s="285"/>
      <c r="H336" s="47"/>
      <c r="I336" s="45"/>
    </row>
    <row r="337">
      <c r="A337" s="259"/>
      <c r="B337" s="45"/>
      <c r="C337" s="226"/>
      <c r="D337" s="65"/>
      <c r="E337" s="66"/>
      <c r="F337" s="244"/>
      <c r="G337" s="285"/>
      <c r="H337" s="47"/>
      <c r="I337" s="45"/>
    </row>
    <row r="338">
      <c r="A338" s="259"/>
      <c r="B338" s="45"/>
      <c r="C338" s="226"/>
      <c r="D338" s="65"/>
      <c r="E338" s="66"/>
      <c r="H338" s="45"/>
      <c r="I338" s="45"/>
    </row>
    <row r="339">
      <c r="A339" s="259"/>
      <c r="B339" s="45"/>
      <c r="C339" s="40"/>
      <c r="D339" s="212"/>
      <c r="E339" s="114"/>
      <c r="H339" s="45"/>
      <c r="I339" s="45"/>
    </row>
    <row r="340">
      <c r="A340" s="259"/>
      <c r="B340" s="45"/>
      <c r="C340" s="43"/>
      <c r="D340" s="41"/>
      <c r="E340" s="42"/>
      <c r="F340" s="268"/>
      <c r="G340" s="290"/>
      <c r="H340" s="45"/>
      <c r="I340" s="45"/>
    </row>
    <row r="341">
      <c r="A341" s="259"/>
      <c r="B341" s="45"/>
      <c r="C341" s="291"/>
      <c r="D341" s="212"/>
      <c r="E341" s="114"/>
      <c r="F341" s="292"/>
      <c r="G341" s="292"/>
      <c r="H341" s="45"/>
      <c r="I341" s="45"/>
    </row>
    <row r="342">
      <c r="A342" s="259"/>
      <c r="B342" s="45"/>
      <c r="C342" s="40"/>
      <c r="D342" s="212"/>
      <c r="E342" s="114"/>
      <c r="F342" s="62"/>
      <c r="G342" s="43"/>
      <c r="H342" s="45"/>
      <c r="I342" s="45"/>
    </row>
    <row r="343">
      <c r="A343" s="259"/>
      <c r="B343" s="45"/>
      <c r="C343" s="43"/>
      <c r="D343" s="41"/>
      <c r="E343" s="42"/>
      <c r="F343" s="62"/>
      <c r="G343" s="211"/>
      <c r="H343" s="45"/>
      <c r="I343" s="45"/>
    </row>
    <row r="344">
      <c r="A344" s="38"/>
      <c r="B344" s="45"/>
      <c r="C344" s="40"/>
      <c r="D344" s="293"/>
      <c r="E344" s="294"/>
      <c r="F344" s="295"/>
      <c r="G344" s="43"/>
      <c r="H344" s="45"/>
      <c r="I344" s="45"/>
    </row>
    <row r="345">
      <c r="A345" s="38"/>
      <c r="B345" s="39"/>
      <c r="C345" s="242"/>
      <c r="D345" s="212"/>
      <c r="E345" s="114"/>
      <c r="F345" s="62"/>
      <c r="G345" s="43"/>
      <c r="H345" s="152"/>
      <c r="I345" s="152"/>
    </row>
    <row r="346">
      <c r="A346" s="38"/>
      <c r="B346" s="45"/>
      <c r="C346" s="242"/>
      <c r="D346" s="212"/>
      <c r="E346" s="114"/>
      <c r="F346" s="62"/>
      <c r="G346" s="211"/>
      <c r="H346" s="152"/>
      <c r="I346" s="152"/>
    </row>
    <row r="347">
      <c r="A347" s="38"/>
      <c r="B347" s="45"/>
      <c r="C347" s="40"/>
      <c r="D347" s="212"/>
      <c r="E347" s="114"/>
      <c r="F347" s="241"/>
      <c r="G347" s="211"/>
      <c r="H347" s="152"/>
      <c r="I347" s="152"/>
    </row>
    <row r="348">
      <c r="A348" s="38"/>
      <c r="B348" s="39"/>
      <c r="C348" s="40"/>
      <c r="D348" s="212"/>
      <c r="E348" s="114"/>
      <c r="F348" s="241"/>
      <c r="G348" s="211"/>
      <c r="H348" s="152"/>
      <c r="I348" s="152"/>
    </row>
    <row r="349">
      <c r="A349" s="38"/>
      <c r="B349" s="45"/>
      <c r="C349" s="40"/>
      <c r="D349" s="293"/>
      <c r="E349" s="294"/>
      <c r="F349" s="296"/>
      <c r="G349" s="211"/>
      <c r="H349" s="152"/>
      <c r="I349" s="152"/>
    </row>
    <row r="350">
      <c r="A350" s="297"/>
      <c r="B350" s="298"/>
      <c r="C350" s="299"/>
      <c r="D350" s="300"/>
      <c r="E350" s="301"/>
      <c r="F350" s="302"/>
      <c r="G350" s="303"/>
      <c r="H350" s="304"/>
      <c r="I350" s="304"/>
    </row>
    <row r="351">
      <c r="A351" s="204"/>
      <c r="B351" s="39"/>
      <c r="C351" s="170"/>
      <c r="D351" s="293"/>
      <c r="E351" s="294"/>
      <c r="F351" s="295"/>
      <c r="G351" s="216"/>
      <c r="H351" s="112"/>
      <c r="I351" s="112"/>
    </row>
    <row r="352">
      <c r="A352" s="204"/>
      <c r="B352" s="305"/>
      <c r="C352" s="306"/>
      <c r="D352" s="307"/>
      <c r="E352" s="308"/>
      <c r="F352" s="309"/>
      <c r="G352" s="310"/>
      <c r="H352" s="311"/>
      <c r="I352" s="311"/>
    </row>
    <row r="353">
      <c r="A353" s="38"/>
      <c r="B353" s="39"/>
      <c r="C353" s="40"/>
      <c r="D353" s="212"/>
      <c r="E353" s="114"/>
      <c r="F353" s="62"/>
      <c r="G353" s="43"/>
      <c r="H353" s="152"/>
      <c r="I353" s="152"/>
    </row>
    <row r="354">
      <c r="A354" s="38"/>
      <c r="B354" s="45"/>
      <c r="C354" s="40"/>
      <c r="D354" s="212"/>
      <c r="E354" s="114"/>
      <c r="F354" s="62"/>
      <c r="G354" s="43"/>
      <c r="H354" s="152"/>
      <c r="I354" s="152"/>
    </row>
    <row r="355">
      <c r="A355" s="38"/>
      <c r="B355" s="45"/>
      <c r="C355" s="40"/>
      <c r="D355" s="212"/>
      <c r="E355" s="114"/>
      <c r="F355" s="62"/>
      <c r="G355" s="43"/>
      <c r="H355" s="152"/>
      <c r="I355" s="152"/>
    </row>
    <row r="356">
      <c r="A356" s="38"/>
      <c r="B356" s="45"/>
      <c r="C356" s="40"/>
      <c r="D356" s="212"/>
      <c r="E356" s="114"/>
      <c r="F356" s="62"/>
      <c r="G356" s="43"/>
      <c r="H356" s="152"/>
      <c r="I356" s="152"/>
    </row>
    <row r="357">
      <c r="A357" s="38"/>
      <c r="B357" s="45"/>
      <c r="C357" s="40"/>
      <c r="D357" s="212"/>
      <c r="E357" s="114"/>
      <c r="F357" s="62"/>
      <c r="G357" s="43"/>
      <c r="H357" s="152"/>
      <c r="I357" s="152"/>
    </row>
    <row r="358">
      <c r="A358" s="38"/>
      <c r="B358" s="312"/>
      <c r="C358" s="313"/>
      <c r="D358" s="314"/>
      <c r="E358" s="315"/>
      <c r="F358" s="316"/>
      <c r="G358" s="317"/>
      <c r="H358" s="318"/>
      <c r="I358" s="318"/>
    </row>
    <row r="359">
      <c r="A359" s="38"/>
      <c r="B359" s="39"/>
      <c r="C359" s="40"/>
      <c r="D359" s="212"/>
      <c r="E359" s="114"/>
      <c r="F359" s="62"/>
      <c r="G359" s="273"/>
      <c r="H359" s="53"/>
      <c r="I359" s="152"/>
    </row>
    <row r="360">
      <c r="A360" s="38"/>
      <c r="B360" s="39"/>
      <c r="C360" s="40"/>
      <c r="D360" s="212"/>
      <c r="E360" s="114"/>
      <c r="F360" s="62"/>
      <c r="G360" s="273"/>
      <c r="H360" s="53"/>
      <c r="I360" s="152"/>
    </row>
    <row r="361">
      <c r="A361" s="38"/>
      <c r="B361" s="39"/>
      <c r="C361" s="40"/>
      <c r="D361" s="212"/>
      <c r="E361" s="114"/>
      <c r="F361" s="62"/>
      <c r="G361" s="273"/>
      <c r="H361" s="53"/>
      <c r="I361" s="152"/>
    </row>
    <row r="362">
      <c r="A362" s="38"/>
      <c r="B362" s="39"/>
      <c r="C362" s="40"/>
      <c r="D362" s="212"/>
      <c r="E362" s="114"/>
      <c r="F362" s="62"/>
      <c r="G362" s="43"/>
      <c r="H362" s="152"/>
      <c r="I362" s="152"/>
    </row>
    <row r="363">
      <c r="A363" s="38"/>
      <c r="B363" s="312"/>
      <c r="C363" s="313"/>
      <c r="D363" s="314"/>
      <c r="E363" s="315"/>
      <c r="F363" s="316"/>
      <c r="G363" s="317"/>
      <c r="H363" s="318"/>
      <c r="I363" s="318"/>
    </row>
    <row r="364">
      <c r="A364" s="297"/>
      <c r="B364" s="319"/>
      <c r="C364" s="299"/>
      <c r="D364" s="300"/>
      <c r="E364" s="301"/>
      <c r="F364" s="320"/>
      <c r="G364" s="321"/>
      <c r="H364" s="322"/>
      <c r="I364" s="322"/>
    </row>
    <row r="365">
      <c r="A365" s="323"/>
      <c r="B365" s="305"/>
      <c r="C365" s="14"/>
      <c r="D365" s="324"/>
      <c r="E365" s="325"/>
      <c r="F365" s="326"/>
      <c r="G365" s="125"/>
      <c r="H365" s="112"/>
      <c r="I365" s="112"/>
    </row>
    <row r="366">
      <c r="A366" s="327"/>
      <c r="B366" s="305"/>
      <c r="C366" s="14"/>
      <c r="D366" s="324"/>
      <c r="E366" s="325"/>
      <c r="F366" s="326"/>
      <c r="G366" s="125"/>
      <c r="H366" s="45"/>
      <c r="I366" s="45"/>
    </row>
    <row r="367">
      <c r="A367" s="327"/>
      <c r="B367" s="45"/>
      <c r="C367" s="40"/>
      <c r="D367" s="324"/>
      <c r="E367" s="325"/>
      <c r="F367" s="326"/>
      <c r="G367" s="125"/>
      <c r="H367" s="45"/>
      <c r="I367" s="45"/>
    </row>
    <row r="368">
      <c r="A368" s="327"/>
      <c r="B368" s="305"/>
      <c r="C368" s="328"/>
      <c r="D368" s="324"/>
      <c r="E368" s="325"/>
      <c r="F368" s="326"/>
      <c r="G368" s="125"/>
      <c r="H368" s="45"/>
      <c r="I368" s="45"/>
    </row>
    <row r="369">
      <c r="A369" s="327"/>
      <c r="B369" s="45"/>
      <c r="C369" s="40"/>
      <c r="D369" s="324"/>
      <c r="E369" s="325"/>
      <c r="F369" s="326"/>
      <c r="G369" s="125"/>
      <c r="H369" s="45"/>
      <c r="I369" s="45"/>
    </row>
    <row r="370">
      <c r="A370" s="327"/>
      <c r="B370" s="45"/>
      <c r="C370" s="14"/>
      <c r="D370" s="324"/>
      <c r="E370" s="325"/>
      <c r="F370" s="326"/>
      <c r="G370" s="125"/>
      <c r="H370" s="45"/>
      <c r="I370" s="45"/>
    </row>
    <row r="371">
      <c r="A371" s="327"/>
      <c r="B371" s="45"/>
      <c r="C371" s="14"/>
      <c r="D371" s="324"/>
      <c r="E371" s="325"/>
      <c r="F371" s="326"/>
      <c r="G371" s="43"/>
      <c r="H371" s="45"/>
      <c r="I371" s="45"/>
    </row>
    <row r="372">
      <c r="A372" s="327"/>
      <c r="B372" s="45"/>
      <c r="C372" s="14"/>
      <c r="D372" s="324"/>
      <c r="E372" s="325"/>
      <c r="F372" s="326"/>
      <c r="G372" s="125"/>
      <c r="H372" s="45"/>
      <c r="I372" s="45"/>
    </row>
    <row r="373">
      <c r="A373" s="327"/>
      <c r="B373" s="305"/>
      <c r="C373" s="328"/>
      <c r="D373" s="324"/>
      <c r="E373" s="325"/>
      <c r="F373" s="326"/>
      <c r="G373" s="125"/>
      <c r="H373" s="45"/>
      <c r="I373" s="45"/>
    </row>
    <row r="374">
      <c r="A374" s="327"/>
      <c r="B374" s="305"/>
      <c r="C374" s="14"/>
      <c r="D374" s="324"/>
      <c r="E374" s="325"/>
      <c r="F374" s="326"/>
      <c r="G374" s="329"/>
      <c r="H374" s="53"/>
      <c r="I374" s="45"/>
    </row>
    <row r="375">
      <c r="A375" s="327"/>
      <c r="B375" s="305"/>
      <c r="C375" s="14"/>
      <c r="D375" s="324"/>
      <c r="E375" s="325"/>
      <c r="F375" s="326"/>
      <c r="G375" s="125"/>
      <c r="H375" s="45"/>
      <c r="I375" s="45"/>
    </row>
    <row r="376">
      <c r="A376" s="327"/>
      <c r="B376" s="305"/>
      <c r="C376" s="14"/>
      <c r="D376" s="324"/>
      <c r="E376" s="325"/>
      <c r="F376" s="326"/>
      <c r="G376" s="125"/>
      <c r="H376" s="45"/>
      <c r="I376" s="45"/>
    </row>
    <row r="377">
      <c r="A377" s="327"/>
      <c r="B377" s="305"/>
      <c r="C377" s="328"/>
      <c r="D377" s="324"/>
      <c r="E377" s="325"/>
      <c r="F377" s="326"/>
      <c r="G377" s="125"/>
      <c r="H377" s="45"/>
      <c r="I377" s="45"/>
    </row>
    <row r="378">
      <c r="A378" s="327"/>
      <c r="B378" s="45"/>
      <c r="C378" s="40"/>
      <c r="D378" s="324"/>
      <c r="E378" s="325"/>
      <c r="F378" s="326"/>
      <c r="G378" s="125"/>
      <c r="H378" s="22"/>
      <c r="I378" s="22"/>
    </row>
    <row r="379">
      <c r="A379" s="327"/>
      <c r="B379" s="45"/>
      <c r="C379" s="14"/>
      <c r="D379" s="324"/>
      <c r="E379" s="325"/>
      <c r="F379" s="326"/>
      <c r="G379" s="125"/>
      <c r="H379" s="45"/>
      <c r="I379" s="45"/>
    </row>
    <row r="380">
      <c r="A380" s="327"/>
      <c r="B380" s="305"/>
      <c r="C380" s="328"/>
      <c r="D380" s="324"/>
      <c r="E380" s="325"/>
      <c r="F380" s="326"/>
      <c r="G380" s="125"/>
      <c r="H380" s="45"/>
      <c r="I380" s="45"/>
    </row>
    <row r="381">
      <c r="A381" s="327"/>
      <c r="B381" s="305"/>
      <c r="C381" s="14"/>
      <c r="D381" s="324"/>
      <c r="E381" s="325"/>
      <c r="F381" s="326"/>
      <c r="G381" s="326"/>
      <c r="H381" s="45"/>
      <c r="I381" s="45"/>
    </row>
    <row r="382">
      <c r="A382" s="327"/>
      <c r="B382" s="305"/>
      <c r="C382" s="328"/>
      <c r="D382" s="324"/>
      <c r="E382" s="325"/>
      <c r="F382" s="326"/>
      <c r="G382" s="125"/>
      <c r="H382" s="45"/>
      <c r="I382" s="45"/>
    </row>
    <row r="383">
      <c r="A383" s="327"/>
      <c r="B383" s="305"/>
      <c r="C383" s="14"/>
      <c r="D383" s="324"/>
      <c r="E383" s="325"/>
      <c r="F383" s="326"/>
      <c r="G383" s="62"/>
      <c r="H383" s="45"/>
      <c r="I383" s="45"/>
    </row>
    <row r="384">
      <c r="A384" s="327"/>
      <c r="B384" s="305"/>
      <c r="C384" s="14"/>
      <c r="D384" s="324"/>
      <c r="E384" s="325"/>
      <c r="F384" s="326"/>
      <c r="G384" s="125"/>
      <c r="H384" s="45"/>
      <c r="I384" s="45"/>
    </row>
    <row r="385">
      <c r="A385" s="327"/>
      <c r="B385" s="305"/>
      <c r="C385" s="328"/>
      <c r="D385" s="212"/>
      <c r="E385" s="114"/>
      <c r="F385" s="62"/>
      <c r="G385" s="43"/>
      <c r="H385" s="45"/>
      <c r="I385" s="45"/>
    </row>
    <row r="386">
      <c r="A386" s="330"/>
      <c r="B386" s="331"/>
      <c r="C386" s="299"/>
      <c r="D386" s="300"/>
      <c r="E386" s="301"/>
      <c r="F386" s="320"/>
      <c r="G386" s="332"/>
      <c r="H386" s="298"/>
      <c r="I386" s="298"/>
    </row>
    <row r="387">
      <c r="A387" s="323"/>
      <c r="B387" s="305"/>
      <c r="C387" s="170"/>
      <c r="D387" s="333"/>
      <c r="E387" s="334"/>
      <c r="F387" s="224"/>
      <c r="G387" s="169"/>
      <c r="H387" s="39"/>
      <c r="I387" s="45"/>
    </row>
    <row r="388">
      <c r="A388" s="323"/>
      <c r="B388" s="305"/>
      <c r="C388" s="40"/>
      <c r="D388" s="212"/>
      <c r="E388" s="114"/>
      <c r="F388" s="62"/>
      <c r="G388" s="43"/>
      <c r="H388" s="45"/>
      <c r="I388" s="45"/>
    </row>
    <row r="389">
      <c r="A389" s="323"/>
      <c r="B389" s="305"/>
      <c r="C389" s="40"/>
      <c r="D389" s="212"/>
      <c r="E389" s="114"/>
      <c r="F389" s="62"/>
      <c r="G389" s="43"/>
      <c r="H389" s="45"/>
      <c r="I389" s="45"/>
    </row>
    <row r="390">
      <c r="A390" s="323"/>
      <c r="B390" s="305"/>
      <c r="C390" s="40"/>
      <c r="D390" s="212"/>
      <c r="E390" s="114"/>
      <c r="F390" s="62"/>
      <c r="G390" s="43"/>
      <c r="H390" s="45"/>
      <c r="I390" s="45"/>
    </row>
    <row r="391">
      <c r="A391" s="38"/>
      <c r="B391" s="305"/>
      <c r="C391" s="335"/>
      <c r="D391" s="212"/>
      <c r="E391" s="114"/>
      <c r="F391" s="62"/>
      <c r="G391" s="62"/>
      <c r="H391" s="45"/>
      <c r="I391" s="45"/>
    </row>
    <row r="392">
      <c r="A392" s="38"/>
      <c r="B392" s="45"/>
      <c r="C392" s="40"/>
      <c r="D392" s="212"/>
      <c r="E392" s="114"/>
      <c r="F392" s="62"/>
      <c r="G392" s="62"/>
      <c r="H392" s="152"/>
      <c r="I392" s="152"/>
    </row>
    <row r="393">
      <c r="A393" s="38"/>
      <c r="B393" s="45"/>
      <c r="C393" s="40"/>
      <c r="D393" s="212"/>
      <c r="E393" s="114"/>
      <c r="F393" s="62"/>
      <c r="G393" s="62"/>
      <c r="H393" s="152"/>
      <c r="I393" s="152"/>
    </row>
    <row r="394">
      <c r="A394" s="38"/>
      <c r="B394" s="305"/>
      <c r="C394" s="40"/>
      <c r="D394" s="212"/>
      <c r="E394" s="114"/>
      <c r="F394" s="62"/>
      <c r="G394" s="62"/>
      <c r="H394" s="152"/>
      <c r="I394" s="152"/>
    </row>
    <row r="395">
      <c r="A395" s="38"/>
      <c r="B395" s="45"/>
      <c r="C395" s="40"/>
      <c r="D395" s="212"/>
      <c r="E395" s="114"/>
      <c r="F395" s="62"/>
      <c r="G395" s="62"/>
      <c r="H395" s="152"/>
      <c r="I395" s="152"/>
    </row>
    <row r="396">
      <c r="A396" s="38"/>
      <c r="B396" s="305"/>
      <c r="C396" s="40"/>
      <c r="D396" s="212"/>
      <c r="E396" s="114"/>
      <c r="F396" s="62"/>
      <c r="G396" s="62"/>
      <c r="H396" s="152"/>
      <c r="I396" s="152"/>
    </row>
    <row r="397">
      <c r="A397" s="38"/>
      <c r="B397" s="305"/>
      <c r="C397" s="40"/>
      <c r="D397" s="212"/>
      <c r="E397" s="114"/>
      <c r="F397" s="62"/>
      <c r="G397" s="62"/>
      <c r="H397" s="152"/>
      <c r="I397" s="152"/>
    </row>
    <row r="398">
      <c r="A398" s="38"/>
      <c r="B398" s="45"/>
      <c r="C398" s="40"/>
      <c r="D398" s="212"/>
      <c r="E398" s="114"/>
      <c r="F398" s="62"/>
      <c r="G398" s="62"/>
      <c r="H398" s="152"/>
      <c r="I398" s="152"/>
    </row>
    <row r="399">
      <c r="A399" s="38"/>
      <c r="B399" s="45"/>
      <c r="C399" s="14"/>
      <c r="D399" s="324"/>
      <c r="E399" s="325"/>
      <c r="F399" s="326"/>
      <c r="G399" s="326"/>
      <c r="H399" s="152"/>
      <c r="I399" s="152"/>
    </row>
    <row r="400">
      <c r="A400" s="38"/>
      <c r="B400" s="305"/>
      <c r="C400" s="40"/>
      <c r="D400" s="212"/>
      <c r="E400" s="114"/>
      <c r="F400" s="62"/>
      <c r="G400" s="43"/>
      <c r="H400" s="152"/>
      <c r="I400" s="152"/>
    </row>
    <row r="401">
      <c r="A401" s="38"/>
      <c r="B401" s="305"/>
      <c r="C401" s="40"/>
      <c r="D401" s="212"/>
      <c r="E401" s="114"/>
      <c r="F401" s="62"/>
      <c r="G401" s="62"/>
      <c r="H401" s="152"/>
      <c r="I401" s="152"/>
    </row>
    <row r="402">
      <c r="A402" s="38"/>
      <c r="B402" s="305"/>
      <c r="C402" s="40"/>
      <c r="D402" s="212"/>
      <c r="E402" s="114"/>
      <c r="F402" s="62"/>
      <c r="G402" s="62"/>
      <c r="H402" s="152"/>
      <c r="I402" s="152"/>
    </row>
    <row r="403">
      <c r="A403" s="38"/>
      <c r="B403" s="305"/>
      <c r="C403" s="40"/>
      <c r="D403" s="212"/>
      <c r="E403" s="114"/>
      <c r="F403" s="62"/>
      <c r="G403" s="62"/>
      <c r="H403" s="152"/>
      <c r="I403" s="152"/>
    </row>
    <row r="404">
      <c r="A404" s="38"/>
      <c r="B404" s="305"/>
      <c r="C404" s="40"/>
      <c r="D404" s="212"/>
      <c r="E404" s="114"/>
      <c r="F404" s="62"/>
      <c r="G404" s="43"/>
      <c r="H404" s="152"/>
      <c r="I404" s="152"/>
    </row>
    <row r="405">
      <c r="A405" s="38"/>
      <c r="B405" s="305"/>
      <c r="C405" s="40"/>
      <c r="D405" s="212"/>
      <c r="E405" s="114"/>
      <c r="F405" s="62"/>
      <c r="G405" s="62"/>
      <c r="H405" s="152"/>
      <c r="I405" s="152"/>
    </row>
    <row r="406">
      <c r="A406" s="38"/>
      <c r="B406" s="305"/>
      <c r="C406" s="40"/>
      <c r="D406" s="212"/>
      <c r="E406" s="114"/>
      <c r="F406" s="62"/>
      <c r="G406" s="62"/>
      <c r="H406" s="152"/>
      <c r="I406" s="152"/>
    </row>
    <row r="407">
      <c r="A407" s="38"/>
      <c r="B407" s="45"/>
      <c r="C407" s="14"/>
      <c r="D407" s="324"/>
      <c r="E407" s="325"/>
      <c r="F407" s="326"/>
      <c r="G407" s="329"/>
      <c r="H407" s="53"/>
      <c r="I407" s="152"/>
    </row>
    <row r="408">
      <c r="A408" s="38"/>
      <c r="B408" s="305"/>
      <c r="C408" s="40"/>
      <c r="D408" s="212"/>
      <c r="E408" s="114"/>
      <c r="F408" s="62"/>
      <c r="G408" s="296"/>
      <c r="H408" s="53"/>
      <c r="I408" s="152"/>
    </row>
    <row r="409">
      <c r="A409" s="38"/>
      <c r="B409" s="305"/>
      <c r="C409" s="40"/>
      <c r="D409" s="212"/>
      <c r="E409" s="114"/>
      <c r="F409" s="62"/>
      <c r="G409" s="62"/>
      <c r="H409" s="152"/>
      <c r="I409" s="152"/>
    </row>
    <row r="410">
      <c r="A410" s="38"/>
      <c r="B410" s="305"/>
      <c r="C410" s="40"/>
      <c r="D410" s="212"/>
      <c r="E410" s="114"/>
      <c r="F410" s="62"/>
      <c r="G410" s="62"/>
      <c r="H410" s="152"/>
      <c r="I410" s="152"/>
    </row>
    <row r="411">
      <c r="A411" s="38"/>
      <c r="B411" s="305"/>
      <c r="C411" s="40"/>
      <c r="D411" s="212"/>
      <c r="E411" s="114"/>
      <c r="F411" s="62"/>
      <c r="G411" s="43"/>
      <c r="H411" s="152"/>
      <c r="I411" s="152"/>
    </row>
    <row r="412">
      <c r="A412" s="38"/>
      <c r="B412" s="305"/>
      <c r="C412" s="40"/>
      <c r="D412" s="212"/>
      <c r="E412" s="114"/>
      <c r="F412" s="62"/>
      <c r="G412" s="43"/>
      <c r="H412" s="152"/>
      <c r="I412" s="152"/>
    </row>
    <row r="413">
      <c r="A413" s="38"/>
      <c r="B413" s="305"/>
      <c r="C413" s="40"/>
      <c r="D413" s="212"/>
      <c r="E413" s="114"/>
      <c r="F413" s="62"/>
      <c r="G413" s="43"/>
      <c r="H413" s="152"/>
      <c r="I413" s="152"/>
    </row>
    <row r="414">
      <c r="A414" s="38"/>
      <c r="B414" s="305"/>
      <c r="C414" s="40"/>
      <c r="D414" s="212"/>
      <c r="E414" s="114"/>
      <c r="F414" s="62"/>
      <c r="G414" s="43"/>
      <c r="H414" s="152"/>
      <c r="I414" s="152"/>
    </row>
    <row r="415">
      <c r="A415" s="38"/>
      <c r="B415" s="305"/>
      <c r="C415" s="336"/>
      <c r="D415" s="212"/>
      <c r="E415" s="114"/>
      <c r="F415" s="62"/>
      <c r="G415" s="62"/>
      <c r="H415" s="152"/>
      <c r="I415" s="152"/>
    </row>
    <row r="416">
      <c r="A416" s="38"/>
      <c r="B416" s="45"/>
      <c r="C416" s="336"/>
      <c r="D416" s="212"/>
      <c r="E416" s="114"/>
      <c r="F416" s="62"/>
      <c r="G416" s="62"/>
      <c r="H416" s="152"/>
      <c r="I416" s="152"/>
    </row>
    <row r="417">
      <c r="A417" s="38"/>
      <c r="B417" s="45"/>
      <c r="C417" s="40"/>
      <c r="D417" s="212"/>
      <c r="E417" s="114"/>
      <c r="F417" s="62"/>
      <c r="G417" s="62"/>
      <c r="H417" s="152"/>
      <c r="I417" s="152"/>
    </row>
    <row r="418">
      <c r="A418" s="297"/>
      <c r="B418" s="331"/>
      <c r="C418" s="299"/>
      <c r="D418" s="300"/>
      <c r="E418" s="301"/>
      <c r="F418" s="320"/>
      <c r="G418" s="332"/>
      <c r="H418" s="304"/>
      <c r="I418" s="304"/>
    </row>
    <row r="419">
      <c r="A419" s="38"/>
      <c r="B419" s="45"/>
      <c r="C419" s="336"/>
      <c r="D419" s="41"/>
      <c r="E419" s="42"/>
      <c r="F419" s="43"/>
      <c r="G419" s="62"/>
      <c r="H419" s="152"/>
      <c r="I419" s="152"/>
    </row>
    <row r="420">
      <c r="A420" s="38"/>
      <c r="B420" s="45"/>
      <c r="C420" s="40"/>
      <c r="D420" s="41"/>
      <c r="E420" s="42"/>
      <c r="F420" s="43"/>
      <c r="G420" s="43"/>
      <c r="H420" s="152"/>
      <c r="I420" s="152"/>
    </row>
    <row r="421">
      <c r="A421" s="38"/>
      <c r="B421" s="45"/>
      <c r="C421" s="40"/>
      <c r="D421" s="41"/>
      <c r="E421" s="42"/>
      <c r="F421" s="43"/>
      <c r="G421" s="62"/>
      <c r="H421" s="152"/>
      <c r="I421" s="152"/>
    </row>
    <row r="422">
      <c r="A422" s="38"/>
      <c r="B422" s="45"/>
      <c r="C422" s="40"/>
      <c r="D422" s="41"/>
      <c r="E422" s="42"/>
      <c r="F422" s="43"/>
      <c r="G422" s="62"/>
      <c r="H422" s="152"/>
      <c r="I422" s="152"/>
    </row>
    <row r="423">
      <c r="A423" s="38"/>
      <c r="B423" s="45"/>
      <c r="C423" s="40"/>
      <c r="D423" s="41"/>
      <c r="E423" s="42"/>
      <c r="F423" s="43"/>
      <c r="G423" s="43"/>
      <c r="H423" s="152"/>
      <c r="I423" s="152"/>
    </row>
    <row r="424">
      <c r="A424" s="38"/>
      <c r="B424" s="45"/>
      <c r="C424" s="40"/>
      <c r="D424" s="41"/>
      <c r="E424" s="42"/>
      <c r="F424" s="43"/>
      <c r="G424" s="43"/>
      <c r="H424" s="152"/>
      <c r="I424" s="152"/>
    </row>
    <row r="425">
      <c r="A425" s="38"/>
      <c r="B425" s="45"/>
      <c r="C425" s="40"/>
      <c r="D425" s="41"/>
      <c r="E425" s="42"/>
      <c r="F425" s="43"/>
      <c r="G425" s="43"/>
      <c r="H425" s="152"/>
      <c r="I425" s="152"/>
    </row>
    <row r="426">
      <c r="A426" s="38"/>
      <c r="B426" s="45"/>
      <c r="C426" s="40"/>
      <c r="D426" s="41"/>
      <c r="E426" s="42"/>
      <c r="F426" s="43"/>
      <c r="G426" s="43"/>
      <c r="H426" s="152"/>
      <c r="I426" s="152"/>
    </row>
    <row r="427">
      <c r="A427" s="38"/>
      <c r="B427" s="45"/>
      <c r="C427" s="40"/>
      <c r="D427" s="41"/>
      <c r="E427" s="42"/>
      <c r="F427" s="43"/>
      <c r="G427" s="62"/>
      <c r="H427" s="152"/>
      <c r="I427" s="152"/>
    </row>
    <row r="428">
      <c r="A428" s="38"/>
      <c r="B428" s="45"/>
      <c r="C428" s="40"/>
      <c r="D428" s="41"/>
      <c r="E428" s="42"/>
      <c r="F428" s="43"/>
      <c r="G428" s="62"/>
      <c r="H428" s="152"/>
      <c r="I428" s="152"/>
    </row>
    <row r="429">
      <c r="A429" s="38"/>
      <c r="B429" s="45"/>
      <c r="C429" s="40"/>
      <c r="D429" s="212"/>
      <c r="E429" s="114"/>
      <c r="F429" s="62"/>
      <c r="G429" s="43"/>
      <c r="H429" s="152"/>
      <c r="I429" s="152"/>
    </row>
    <row r="430">
      <c r="A430" s="38"/>
      <c r="B430" s="45"/>
      <c r="C430" s="40"/>
      <c r="D430" s="41"/>
      <c r="E430" s="42"/>
      <c r="F430" s="43"/>
      <c r="G430" s="43"/>
      <c r="H430" s="152"/>
      <c r="I430" s="152"/>
    </row>
    <row r="431">
      <c r="A431" s="38"/>
      <c r="B431" s="45"/>
      <c r="C431" s="40"/>
      <c r="D431" s="41"/>
      <c r="E431" s="42"/>
      <c r="F431" s="43"/>
      <c r="G431" s="62"/>
      <c r="H431" s="152"/>
      <c r="I431" s="152"/>
    </row>
    <row r="432">
      <c r="A432" s="38"/>
      <c r="B432" s="45"/>
      <c r="C432" s="54"/>
      <c r="D432" s="41"/>
      <c r="E432" s="42"/>
      <c r="F432" s="43"/>
      <c r="G432" s="43"/>
      <c r="H432" s="152"/>
      <c r="I432" s="152"/>
    </row>
    <row r="433">
      <c r="A433" s="38"/>
      <c r="B433" s="45"/>
      <c r="C433" s="40"/>
      <c r="D433" s="41"/>
      <c r="E433" s="42"/>
      <c r="F433" s="43"/>
      <c r="G433" s="43"/>
      <c r="H433" s="152"/>
      <c r="I433" s="152"/>
    </row>
    <row r="434">
      <c r="A434" s="38"/>
      <c r="B434" s="45"/>
      <c r="C434" s="40"/>
      <c r="D434" s="41"/>
      <c r="E434" s="42"/>
      <c r="F434" s="43"/>
      <c r="G434" s="62"/>
      <c r="H434" s="152"/>
      <c r="I434" s="152"/>
    </row>
    <row r="435">
      <c r="A435" s="38"/>
      <c r="B435" s="45"/>
      <c r="C435" s="40"/>
      <c r="D435" s="41"/>
      <c r="E435" s="42"/>
      <c r="F435" s="43"/>
      <c r="G435" s="43"/>
      <c r="H435" s="152"/>
      <c r="I435" s="152"/>
    </row>
    <row r="436">
      <c r="A436" s="38"/>
      <c r="B436" s="45"/>
      <c r="C436" s="40"/>
      <c r="D436" s="41"/>
      <c r="E436" s="42"/>
      <c r="F436" s="43"/>
      <c r="G436" s="43"/>
      <c r="H436" s="152"/>
      <c r="I436" s="152"/>
    </row>
    <row r="437">
      <c r="A437" s="38"/>
      <c r="B437" s="337"/>
      <c r="C437" s="54"/>
      <c r="D437" s="41"/>
      <c r="E437" s="42"/>
      <c r="F437" s="43"/>
      <c r="G437" s="43"/>
      <c r="H437" s="152"/>
      <c r="I437" s="152"/>
    </row>
    <row r="438">
      <c r="A438" s="38"/>
      <c r="B438" s="45"/>
      <c r="C438" s="54"/>
      <c r="D438" s="41"/>
      <c r="E438" s="42"/>
      <c r="F438" s="43"/>
      <c r="G438" s="62"/>
      <c r="H438" s="152"/>
      <c r="I438" s="152"/>
    </row>
    <row r="439">
      <c r="A439" s="38"/>
      <c r="B439" s="45"/>
      <c r="C439" s="40"/>
      <c r="D439" s="41"/>
      <c r="E439" s="42"/>
      <c r="F439" s="43"/>
      <c r="G439" s="43"/>
      <c r="H439" s="152"/>
      <c r="I439" s="152"/>
    </row>
    <row r="440">
      <c r="A440" s="337"/>
      <c r="B440" s="337"/>
      <c r="C440" s="338"/>
      <c r="D440" s="339"/>
      <c r="E440" s="340"/>
      <c r="F440" s="341"/>
      <c r="G440" s="341"/>
      <c r="H440" s="342"/>
      <c r="I440" s="342"/>
    </row>
    <row r="441">
      <c r="A441" s="337"/>
      <c r="B441" s="337"/>
      <c r="C441" s="338"/>
      <c r="D441" s="339"/>
      <c r="E441" s="340"/>
      <c r="F441" s="341"/>
      <c r="G441" s="341"/>
      <c r="H441" s="342"/>
      <c r="I441" s="342"/>
    </row>
    <row r="442">
      <c r="A442" s="337"/>
      <c r="B442" s="337"/>
      <c r="C442" s="338"/>
      <c r="D442" s="339"/>
      <c r="E442" s="340"/>
      <c r="F442" s="341"/>
      <c r="G442" s="341"/>
      <c r="H442" s="342"/>
      <c r="I442" s="342"/>
    </row>
    <row r="443">
      <c r="A443" s="337"/>
      <c r="B443" s="337"/>
      <c r="C443" s="338"/>
      <c r="D443" s="339"/>
      <c r="E443" s="340"/>
      <c r="F443" s="341"/>
      <c r="G443" s="341"/>
      <c r="H443" s="342"/>
      <c r="I443" s="342"/>
    </row>
    <row r="444">
      <c r="A444" s="337"/>
      <c r="B444" s="337"/>
      <c r="C444" s="338"/>
      <c r="D444" s="339"/>
      <c r="E444" s="340"/>
      <c r="F444" s="341"/>
      <c r="G444" s="341"/>
      <c r="H444" s="342"/>
      <c r="I444" s="342"/>
    </row>
    <row r="445">
      <c r="A445" s="337"/>
      <c r="B445" s="337"/>
      <c r="C445" s="338"/>
      <c r="D445" s="339"/>
      <c r="E445" s="340"/>
      <c r="F445" s="341"/>
      <c r="G445" s="341"/>
      <c r="H445" s="342"/>
      <c r="I445" s="342"/>
    </row>
    <row r="446">
      <c r="A446" s="337"/>
      <c r="B446" s="337"/>
      <c r="C446" s="338"/>
      <c r="D446" s="339"/>
      <c r="E446" s="340"/>
      <c r="F446" s="341"/>
      <c r="G446" s="341"/>
      <c r="H446" s="342"/>
      <c r="I446" s="342"/>
    </row>
    <row r="447">
      <c r="A447" s="337"/>
      <c r="B447" s="337"/>
      <c r="C447" s="338"/>
      <c r="D447" s="339"/>
      <c r="E447" s="340"/>
      <c r="F447" s="341"/>
      <c r="G447" s="341"/>
      <c r="H447" s="342"/>
      <c r="I447" s="342"/>
    </row>
    <row r="448">
      <c r="A448" s="337"/>
      <c r="B448" s="337"/>
      <c r="C448" s="338"/>
      <c r="D448" s="339"/>
      <c r="E448" s="340"/>
      <c r="F448" s="341"/>
      <c r="G448" s="341"/>
      <c r="H448" s="342"/>
      <c r="I448" s="342"/>
    </row>
    <row r="449">
      <c r="A449" s="337"/>
      <c r="B449" s="337"/>
      <c r="C449" s="338"/>
      <c r="D449" s="339"/>
      <c r="E449" s="340"/>
      <c r="F449" s="341"/>
      <c r="G449" s="341"/>
      <c r="H449" s="342"/>
      <c r="I449" s="342"/>
    </row>
    <row r="450">
      <c r="A450" s="337"/>
      <c r="B450" s="337"/>
      <c r="C450" s="338"/>
      <c r="D450" s="339"/>
      <c r="E450" s="340"/>
      <c r="F450" s="341"/>
      <c r="G450" s="341"/>
      <c r="H450" s="342"/>
      <c r="I450" s="342"/>
    </row>
    <row r="451">
      <c r="A451" s="337"/>
      <c r="B451" s="337"/>
      <c r="C451" s="338"/>
      <c r="D451" s="339"/>
      <c r="E451" s="340"/>
      <c r="F451" s="341"/>
      <c r="G451" s="341"/>
      <c r="H451" s="342"/>
      <c r="I451" s="342"/>
    </row>
    <row r="452">
      <c r="A452" s="337"/>
      <c r="B452" s="337"/>
      <c r="C452" s="338"/>
      <c r="D452" s="339"/>
      <c r="E452" s="340"/>
      <c r="F452" s="341"/>
      <c r="G452" s="341"/>
      <c r="H452" s="342"/>
      <c r="I452" s="342"/>
    </row>
    <row r="453">
      <c r="A453" s="337"/>
      <c r="B453" s="337"/>
      <c r="C453" s="338"/>
      <c r="D453" s="339"/>
      <c r="E453" s="340"/>
      <c r="F453" s="341"/>
      <c r="G453" s="341"/>
      <c r="H453" s="342"/>
      <c r="I453" s="342"/>
    </row>
    <row r="454">
      <c r="A454" s="337"/>
      <c r="B454" s="337"/>
      <c r="C454" s="338"/>
      <c r="D454" s="339"/>
      <c r="E454" s="340"/>
      <c r="F454" s="341"/>
      <c r="G454" s="341"/>
      <c r="H454" s="342"/>
      <c r="I454" s="342"/>
    </row>
    <row r="455">
      <c r="A455" s="337"/>
      <c r="B455" s="337"/>
      <c r="C455" s="338"/>
      <c r="D455" s="339"/>
      <c r="E455" s="340"/>
      <c r="F455" s="341"/>
      <c r="G455" s="341"/>
      <c r="H455" s="342"/>
      <c r="I455" s="342"/>
    </row>
    <row r="456">
      <c r="A456" s="337"/>
      <c r="B456" s="337"/>
      <c r="C456" s="338"/>
      <c r="D456" s="339"/>
      <c r="E456" s="340"/>
      <c r="F456" s="341"/>
      <c r="G456" s="341"/>
      <c r="H456" s="342"/>
      <c r="I456" s="342"/>
    </row>
    <row r="457">
      <c r="A457" s="337"/>
      <c r="B457" s="337"/>
      <c r="C457" s="338"/>
      <c r="D457" s="339"/>
      <c r="E457" s="340"/>
      <c r="F457" s="341"/>
      <c r="G457" s="341"/>
      <c r="H457" s="342"/>
      <c r="I457" s="342"/>
    </row>
    <row r="458">
      <c r="A458" s="337"/>
      <c r="B458" s="337"/>
      <c r="C458" s="338"/>
      <c r="D458" s="339"/>
      <c r="E458" s="340"/>
      <c r="F458" s="341"/>
      <c r="G458" s="341"/>
      <c r="H458" s="342"/>
      <c r="I458" s="342"/>
    </row>
    <row r="459">
      <c r="A459" s="337"/>
      <c r="B459" s="337"/>
      <c r="C459" s="338"/>
      <c r="D459" s="339"/>
      <c r="E459" s="340"/>
      <c r="F459" s="341"/>
      <c r="G459" s="341"/>
      <c r="H459" s="342"/>
      <c r="I459" s="342"/>
    </row>
    <row r="460">
      <c r="A460" s="337"/>
      <c r="B460" s="337"/>
      <c r="C460" s="338"/>
      <c r="D460" s="339"/>
      <c r="E460" s="340"/>
      <c r="F460" s="341"/>
      <c r="G460" s="341"/>
      <c r="H460" s="342"/>
      <c r="I460" s="342"/>
    </row>
    <row r="461">
      <c r="A461" s="337"/>
      <c r="B461" s="337"/>
      <c r="C461" s="338"/>
      <c r="D461" s="339"/>
      <c r="E461" s="340"/>
      <c r="F461" s="341"/>
      <c r="G461" s="341"/>
      <c r="H461" s="342"/>
      <c r="I461" s="342"/>
    </row>
    <row r="462">
      <c r="A462" s="337"/>
      <c r="B462" s="337"/>
      <c r="C462" s="338"/>
      <c r="D462" s="339"/>
      <c r="E462" s="340"/>
      <c r="F462" s="341"/>
      <c r="G462" s="341"/>
      <c r="H462" s="342"/>
      <c r="I462" s="342"/>
    </row>
    <row r="463">
      <c r="A463" s="337"/>
      <c r="B463" s="337"/>
      <c r="C463" s="338"/>
      <c r="D463" s="339"/>
      <c r="E463" s="340"/>
      <c r="F463" s="341"/>
      <c r="G463" s="341"/>
      <c r="H463" s="342"/>
      <c r="I463" s="342"/>
    </row>
    <row r="464">
      <c r="A464" s="337"/>
      <c r="B464" s="337"/>
      <c r="C464" s="338"/>
      <c r="D464" s="339"/>
      <c r="E464" s="340"/>
      <c r="F464" s="341"/>
      <c r="G464" s="341"/>
      <c r="H464" s="342"/>
      <c r="I464" s="342"/>
    </row>
    <row r="465">
      <c r="A465" s="337"/>
      <c r="B465" s="337"/>
      <c r="C465" s="338"/>
      <c r="D465" s="339"/>
      <c r="E465" s="340"/>
      <c r="F465" s="341"/>
      <c r="G465" s="341"/>
      <c r="H465" s="342"/>
      <c r="I465" s="342"/>
    </row>
    <row r="466">
      <c r="A466" s="337"/>
      <c r="B466" s="337"/>
      <c r="C466" s="338"/>
      <c r="D466" s="339"/>
      <c r="E466" s="340"/>
      <c r="F466" s="341"/>
      <c r="G466" s="341"/>
      <c r="H466" s="342"/>
      <c r="I466" s="342"/>
    </row>
    <row r="467">
      <c r="A467" s="337"/>
      <c r="B467" s="337"/>
      <c r="C467" s="338"/>
      <c r="D467" s="339"/>
      <c r="E467" s="340"/>
      <c r="F467" s="341"/>
      <c r="G467" s="341"/>
      <c r="H467" s="342"/>
      <c r="I467" s="342"/>
    </row>
    <row r="468">
      <c r="A468" s="337"/>
      <c r="B468" s="337"/>
      <c r="C468" s="338"/>
      <c r="D468" s="339"/>
      <c r="E468" s="340"/>
      <c r="F468" s="341"/>
      <c r="G468" s="341"/>
      <c r="H468" s="342"/>
      <c r="I468" s="342"/>
    </row>
    <row r="469">
      <c r="A469" s="337"/>
      <c r="B469" s="337"/>
      <c r="C469" s="338"/>
      <c r="D469" s="339"/>
      <c r="E469" s="340"/>
      <c r="F469" s="341"/>
      <c r="G469" s="341"/>
      <c r="H469" s="342"/>
      <c r="I469" s="342"/>
    </row>
    <row r="470">
      <c r="A470" s="337"/>
      <c r="B470" s="337"/>
      <c r="C470" s="338"/>
      <c r="D470" s="339"/>
      <c r="E470" s="340"/>
      <c r="F470" s="341"/>
      <c r="G470" s="341"/>
      <c r="H470" s="342"/>
      <c r="I470" s="342"/>
    </row>
    <row r="471">
      <c r="A471" s="337"/>
      <c r="B471" s="337"/>
      <c r="C471" s="338"/>
      <c r="D471" s="339"/>
      <c r="E471" s="340"/>
      <c r="F471" s="341"/>
      <c r="G471" s="341"/>
      <c r="H471" s="342"/>
      <c r="I471" s="342"/>
    </row>
    <row r="472">
      <c r="A472" s="337"/>
      <c r="B472" s="337"/>
      <c r="C472" s="338"/>
      <c r="D472" s="339"/>
      <c r="E472" s="340"/>
      <c r="F472" s="341"/>
      <c r="G472" s="341"/>
      <c r="H472" s="342"/>
      <c r="I472" s="342"/>
    </row>
    <row r="473">
      <c r="A473" s="337"/>
      <c r="B473" s="337"/>
      <c r="C473" s="338"/>
      <c r="D473" s="339"/>
      <c r="E473" s="340"/>
      <c r="F473" s="341"/>
      <c r="G473" s="341"/>
      <c r="H473" s="342"/>
      <c r="I473" s="342"/>
    </row>
    <row r="474">
      <c r="A474" s="337"/>
      <c r="B474" s="337"/>
      <c r="C474" s="338"/>
      <c r="D474" s="339"/>
      <c r="E474" s="340"/>
      <c r="F474" s="341"/>
      <c r="G474" s="341"/>
      <c r="H474" s="342"/>
      <c r="I474" s="342"/>
    </row>
    <row r="475">
      <c r="A475" s="337"/>
      <c r="B475" s="337"/>
      <c r="C475" s="338"/>
      <c r="D475" s="339"/>
      <c r="E475" s="340"/>
      <c r="F475" s="341"/>
      <c r="G475" s="341"/>
      <c r="H475" s="342"/>
      <c r="I475" s="342"/>
    </row>
    <row r="476">
      <c r="A476" s="337"/>
      <c r="B476" s="337"/>
      <c r="C476" s="338"/>
      <c r="D476" s="339"/>
      <c r="E476" s="340"/>
      <c r="F476" s="341"/>
      <c r="G476" s="341"/>
      <c r="H476" s="342"/>
      <c r="I476" s="342"/>
    </row>
    <row r="477">
      <c r="A477" s="337"/>
      <c r="B477" s="337"/>
      <c r="C477" s="338"/>
      <c r="D477" s="339"/>
      <c r="E477" s="340"/>
      <c r="F477" s="341"/>
      <c r="G477" s="341"/>
      <c r="H477" s="342"/>
      <c r="I477" s="342"/>
    </row>
    <row r="478">
      <c r="A478" s="337"/>
      <c r="B478" s="337"/>
      <c r="C478" s="338"/>
      <c r="D478" s="339"/>
      <c r="E478" s="340"/>
      <c r="F478" s="341"/>
      <c r="G478" s="341"/>
      <c r="H478" s="342"/>
      <c r="I478" s="342"/>
    </row>
    <row r="479">
      <c r="A479" s="337"/>
      <c r="B479" s="337"/>
      <c r="C479" s="338"/>
      <c r="D479" s="339"/>
      <c r="E479" s="340"/>
      <c r="F479" s="341"/>
      <c r="G479" s="341"/>
      <c r="H479" s="342"/>
      <c r="I479" s="342"/>
    </row>
    <row r="480">
      <c r="A480" s="337"/>
      <c r="B480" s="337"/>
      <c r="C480" s="338"/>
      <c r="D480" s="339"/>
      <c r="E480" s="340"/>
      <c r="F480" s="341"/>
      <c r="G480" s="341"/>
      <c r="H480" s="342"/>
      <c r="I480" s="342"/>
    </row>
    <row r="481">
      <c r="A481" s="337"/>
      <c r="B481" s="337"/>
      <c r="C481" s="338"/>
      <c r="D481" s="339"/>
      <c r="E481" s="340"/>
      <c r="F481" s="341"/>
      <c r="G481" s="341"/>
      <c r="H481" s="342"/>
      <c r="I481" s="342"/>
    </row>
    <row r="482">
      <c r="A482" s="337"/>
      <c r="B482" s="337"/>
      <c r="C482" s="338"/>
      <c r="D482" s="339"/>
      <c r="E482" s="340"/>
      <c r="F482" s="341"/>
      <c r="G482" s="341"/>
      <c r="H482" s="342"/>
      <c r="I482" s="342"/>
    </row>
    <row r="483">
      <c r="A483" s="337"/>
      <c r="B483" s="337"/>
      <c r="C483" s="338"/>
      <c r="D483" s="339"/>
      <c r="E483" s="340"/>
      <c r="F483" s="341"/>
      <c r="G483" s="341"/>
      <c r="H483" s="342"/>
      <c r="I483" s="342"/>
    </row>
    <row r="484">
      <c r="A484" s="337"/>
      <c r="B484" s="337"/>
      <c r="C484" s="338"/>
      <c r="D484" s="339"/>
      <c r="E484" s="340"/>
      <c r="F484" s="341"/>
      <c r="G484" s="341"/>
      <c r="H484" s="342"/>
      <c r="I484" s="342"/>
    </row>
    <row r="485">
      <c r="A485" s="337"/>
      <c r="B485" s="337"/>
      <c r="C485" s="338"/>
      <c r="D485" s="339"/>
      <c r="E485" s="340"/>
      <c r="F485" s="341"/>
      <c r="G485" s="341"/>
      <c r="H485" s="342"/>
      <c r="I485" s="342"/>
    </row>
    <row r="486">
      <c r="A486" s="337"/>
      <c r="B486" s="337"/>
      <c r="C486" s="338"/>
      <c r="D486" s="339"/>
      <c r="E486" s="340"/>
      <c r="F486" s="341"/>
      <c r="G486" s="341"/>
      <c r="H486" s="342"/>
      <c r="I486" s="342"/>
    </row>
    <row r="487">
      <c r="A487" s="337"/>
      <c r="B487" s="337"/>
      <c r="C487" s="338"/>
      <c r="D487" s="339"/>
      <c r="E487" s="340"/>
      <c r="F487" s="341"/>
      <c r="G487" s="341"/>
      <c r="H487" s="342"/>
      <c r="I487" s="342"/>
    </row>
    <row r="488">
      <c r="A488" s="337"/>
      <c r="B488" s="337"/>
      <c r="C488" s="338"/>
      <c r="D488" s="339"/>
      <c r="E488" s="340"/>
      <c r="F488" s="341"/>
      <c r="G488" s="341"/>
      <c r="H488" s="342"/>
      <c r="I488" s="342"/>
    </row>
    <row r="489">
      <c r="A489" s="337"/>
      <c r="B489" s="337"/>
      <c r="C489" s="338"/>
      <c r="D489" s="339"/>
      <c r="E489" s="340"/>
      <c r="F489" s="341"/>
      <c r="G489" s="341"/>
      <c r="H489" s="342"/>
      <c r="I489" s="342"/>
    </row>
    <row r="490">
      <c r="A490" s="337"/>
      <c r="B490" s="337"/>
      <c r="C490" s="338"/>
      <c r="D490" s="339"/>
      <c r="E490" s="340"/>
      <c r="F490" s="341"/>
      <c r="G490" s="341"/>
      <c r="H490" s="342"/>
      <c r="I490" s="342"/>
    </row>
    <row r="491">
      <c r="A491" s="337"/>
      <c r="B491" s="337"/>
      <c r="C491" s="338"/>
      <c r="D491" s="339"/>
      <c r="E491" s="340"/>
      <c r="F491" s="341"/>
      <c r="G491" s="341"/>
      <c r="H491" s="342"/>
      <c r="I491" s="342"/>
    </row>
    <row r="492">
      <c r="A492" s="337"/>
      <c r="B492" s="337"/>
      <c r="C492" s="338"/>
      <c r="D492" s="339"/>
      <c r="E492" s="340"/>
      <c r="F492" s="341"/>
      <c r="G492" s="341"/>
      <c r="H492" s="342"/>
      <c r="I492" s="342"/>
    </row>
    <row r="493">
      <c r="A493" s="337"/>
      <c r="B493" s="337"/>
      <c r="C493" s="338"/>
      <c r="D493" s="339"/>
      <c r="E493" s="340"/>
      <c r="F493" s="341"/>
      <c r="G493" s="341"/>
      <c r="H493" s="342"/>
      <c r="I493" s="342"/>
    </row>
    <row r="494">
      <c r="A494" s="337"/>
      <c r="B494" s="337"/>
      <c r="C494" s="338"/>
      <c r="D494" s="339"/>
      <c r="E494" s="340"/>
      <c r="F494" s="341"/>
      <c r="G494" s="341"/>
      <c r="H494" s="342"/>
      <c r="I494" s="342"/>
    </row>
    <row r="495">
      <c r="A495" s="337"/>
      <c r="B495" s="337"/>
      <c r="C495" s="338"/>
      <c r="D495" s="339"/>
      <c r="E495" s="340"/>
      <c r="F495" s="341"/>
      <c r="G495" s="341"/>
      <c r="H495" s="342"/>
      <c r="I495" s="342"/>
    </row>
    <row r="496">
      <c r="A496" s="337"/>
      <c r="B496" s="337"/>
      <c r="C496" s="338"/>
      <c r="D496" s="339"/>
      <c r="E496" s="340"/>
      <c r="F496" s="341"/>
      <c r="G496" s="341"/>
      <c r="H496" s="342"/>
      <c r="I496" s="342"/>
    </row>
    <row r="497">
      <c r="A497" s="337"/>
      <c r="B497" s="337"/>
      <c r="C497" s="338"/>
      <c r="D497" s="339"/>
      <c r="E497" s="340"/>
      <c r="F497" s="341"/>
      <c r="G497" s="341"/>
      <c r="H497" s="342"/>
      <c r="I497" s="342"/>
    </row>
    <row r="498">
      <c r="A498" s="337"/>
      <c r="B498" s="337"/>
      <c r="C498" s="338"/>
      <c r="D498" s="339"/>
      <c r="E498" s="340"/>
      <c r="F498" s="341"/>
      <c r="G498" s="341"/>
      <c r="H498" s="342"/>
      <c r="I498" s="342"/>
    </row>
    <row r="499">
      <c r="A499" s="337"/>
      <c r="B499" s="337"/>
      <c r="C499" s="338"/>
      <c r="D499" s="339"/>
      <c r="E499" s="340"/>
      <c r="F499" s="341"/>
      <c r="G499" s="341"/>
      <c r="H499" s="342"/>
      <c r="I499" s="342"/>
    </row>
    <row r="500">
      <c r="A500" s="337"/>
      <c r="B500" s="337"/>
      <c r="C500" s="338"/>
      <c r="D500" s="339"/>
      <c r="E500" s="340"/>
      <c r="F500" s="341"/>
      <c r="G500" s="341"/>
      <c r="H500" s="342"/>
      <c r="I500" s="342"/>
    </row>
    <row r="501">
      <c r="A501" s="337"/>
      <c r="B501" s="337"/>
      <c r="C501" s="338"/>
      <c r="D501" s="339"/>
      <c r="E501" s="340"/>
      <c r="F501" s="341"/>
      <c r="G501" s="341"/>
      <c r="H501" s="342"/>
      <c r="I501" s="342"/>
    </row>
    <row r="502">
      <c r="A502" s="337"/>
      <c r="B502" s="337"/>
      <c r="C502" s="338"/>
      <c r="D502" s="339"/>
      <c r="E502" s="340"/>
      <c r="F502" s="341"/>
      <c r="G502" s="341"/>
      <c r="H502" s="342"/>
      <c r="I502" s="342"/>
    </row>
    <row r="503">
      <c r="A503" s="337"/>
      <c r="B503" s="337"/>
      <c r="C503" s="338"/>
      <c r="D503" s="339"/>
      <c r="E503" s="340"/>
      <c r="F503" s="341"/>
      <c r="G503" s="341"/>
      <c r="H503" s="342"/>
      <c r="I503" s="342"/>
    </row>
    <row r="504">
      <c r="A504" s="337"/>
      <c r="B504" s="337"/>
      <c r="C504" s="338"/>
      <c r="D504" s="339"/>
      <c r="E504" s="340"/>
      <c r="F504" s="341"/>
      <c r="G504" s="341"/>
      <c r="H504" s="342"/>
      <c r="I504" s="342"/>
    </row>
    <row r="505">
      <c r="A505" s="337"/>
      <c r="B505" s="337"/>
      <c r="C505" s="338"/>
      <c r="D505" s="339"/>
      <c r="E505" s="340"/>
      <c r="F505" s="341"/>
      <c r="G505" s="341"/>
      <c r="H505" s="342"/>
      <c r="I505" s="342"/>
    </row>
    <row r="506">
      <c r="A506" s="337"/>
      <c r="B506" s="337"/>
      <c r="C506" s="338"/>
      <c r="D506" s="339"/>
      <c r="E506" s="340"/>
      <c r="F506" s="341"/>
      <c r="G506" s="341"/>
      <c r="H506" s="342"/>
      <c r="I506" s="342"/>
    </row>
    <row r="507">
      <c r="A507" s="337"/>
      <c r="B507" s="337"/>
      <c r="C507" s="338"/>
      <c r="D507" s="339"/>
      <c r="E507" s="340"/>
      <c r="F507" s="341"/>
      <c r="G507" s="341"/>
      <c r="H507" s="342"/>
      <c r="I507" s="342"/>
    </row>
    <row r="508">
      <c r="A508" s="337"/>
      <c r="B508" s="337"/>
      <c r="C508" s="338"/>
      <c r="D508" s="339"/>
      <c r="E508" s="340"/>
      <c r="F508" s="341"/>
      <c r="G508" s="341"/>
      <c r="H508" s="342"/>
      <c r="I508" s="342"/>
    </row>
    <row r="509">
      <c r="A509" s="337"/>
      <c r="B509" s="337"/>
      <c r="C509" s="338"/>
      <c r="D509" s="339"/>
      <c r="E509" s="340"/>
      <c r="F509" s="341"/>
      <c r="G509" s="341"/>
      <c r="H509" s="342"/>
      <c r="I509" s="342"/>
    </row>
    <row r="510">
      <c r="A510" s="337"/>
      <c r="B510" s="337"/>
      <c r="C510" s="338"/>
      <c r="D510" s="339"/>
      <c r="E510" s="340"/>
      <c r="F510" s="341"/>
      <c r="G510" s="341"/>
      <c r="H510" s="342"/>
      <c r="I510" s="342"/>
    </row>
    <row r="511">
      <c r="A511" s="337"/>
      <c r="B511" s="337"/>
      <c r="C511" s="338"/>
      <c r="D511" s="339"/>
      <c r="E511" s="340"/>
      <c r="F511" s="341"/>
      <c r="G511" s="341"/>
      <c r="H511" s="342"/>
      <c r="I511" s="342"/>
    </row>
    <row r="512">
      <c r="A512" s="337"/>
      <c r="B512" s="337"/>
      <c r="C512" s="338"/>
      <c r="D512" s="339"/>
      <c r="E512" s="340"/>
      <c r="F512" s="341"/>
      <c r="G512" s="341"/>
      <c r="H512" s="342"/>
      <c r="I512" s="342"/>
    </row>
    <row r="513">
      <c r="A513" s="337"/>
      <c r="B513" s="337"/>
      <c r="C513" s="338"/>
      <c r="D513" s="339"/>
      <c r="E513" s="340"/>
      <c r="F513" s="341"/>
      <c r="G513" s="341"/>
      <c r="H513" s="342"/>
      <c r="I513" s="342"/>
    </row>
    <row r="514">
      <c r="A514" s="337"/>
      <c r="B514" s="337"/>
      <c r="C514" s="338"/>
      <c r="D514" s="339"/>
      <c r="E514" s="340"/>
      <c r="F514" s="341"/>
      <c r="G514" s="341"/>
      <c r="H514" s="342"/>
      <c r="I514" s="342"/>
    </row>
    <row r="515">
      <c r="A515" s="337"/>
      <c r="B515" s="337"/>
      <c r="C515" s="338"/>
      <c r="D515" s="339"/>
      <c r="E515" s="340"/>
      <c r="F515" s="341"/>
      <c r="G515" s="341"/>
      <c r="H515" s="342"/>
      <c r="I515" s="342"/>
    </row>
    <row r="516">
      <c r="A516" s="337"/>
      <c r="B516" s="337"/>
      <c r="C516" s="338"/>
      <c r="D516" s="339"/>
      <c r="E516" s="340"/>
      <c r="F516" s="341"/>
      <c r="G516" s="341"/>
      <c r="H516" s="342"/>
      <c r="I516" s="342"/>
    </row>
    <row r="517">
      <c r="A517" s="337"/>
      <c r="B517" s="337"/>
      <c r="C517" s="338"/>
      <c r="D517" s="339"/>
      <c r="E517" s="340"/>
      <c r="F517" s="341"/>
      <c r="G517" s="341"/>
      <c r="H517" s="342"/>
      <c r="I517" s="342"/>
    </row>
    <row r="518">
      <c r="A518" s="337"/>
      <c r="B518" s="337"/>
      <c r="C518" s="338"/>
      <c r="D518" s="339"/>
      <c r="E518" s="340"/>
      <c r="F518" s="341"/>
      <c r="G518" s="341"/>
      <c r="H518" s="342"/>
      <c r="I518" s="342"/>
    </row>
    <row r="519">
      <c r="A519" s="337"/>
      <c r="B519" s="337"/>
      <c r="C519" s="338"/>
      <c r="D519" s="339"/>
      <c r="E519" s="340"/>
      <c r="F519" s="341"/>
      <c r="G519" s="341"/>
      <c r="H519" s="342"/>
      <c r="I519" s="342"/>
    </row>
    <row r="520">
      <c r="A520" s="337"/>
      <c r="B520" s="337"/>
      <c r="C520" s="338"/>
      <c r="D520" s="339"/>
      <c r="E520" s="340"/>
      <c r="F520" s="341"/>
      <c r="G520" s="341"/>
      <c r="H520" s="342"/>
      <c r="I520" s="342"/>
    </row>
    <row r="521">
      <c r="A521" s="337"/>
      <c r="B521" s="337"/>
      <c r="C521" s="338"/>
      <c r="D521" s="339"/>
      <c r="E521" s="340"/>
      <c r="F521" s="341"/>
      <c r="G521" s="341"/>
      <c r="H521" s="342"/>
      <c r="I521" s="342"/>
    </row>
    <row r="522">
      <c r="A522" s="337"/>
      <c r="B522" s="337"/>
      <c r="C522" s="338"/>
      <c r="D522" s="339"/>
      <c r="E522" s="340"/>
      <c r="F522" s="341"/>
      <c r="G522" s="341"/>
      <c r="H522" s="342"/>
      <c r="I522" s="342"/>
    </row>
    <row r="523">
      <c r="A523" s="337"/>
      <c r="B523" s="337"/>
      <c r="C523" s="338"/>
      <c r="D523" s="339"/>
      <c r="E523" s="340"/>
      <c r="F523" s="341"/>
      <c r="G523" s="341"/>
      <c r="H523" s="342"/>
      <c r="I523" s="342"/>
    </row>
    <row r="524">
      <c r="A524" s="337"/>
      <c r="B524" s="337"/>
      <c r="C524" s="338"/>
      <c r="D524" s="339"/>
      <c r="E524" s="340"/>
      <c r="F524" s="341"/>
      <c r="G524" s="341"/>
      <c r="H524" s="342"/>
      <c r="I524" s="342"/>
    </row>
    <row r="525">
      <c r="A525" s="337"/>
      <c r="B525" s="337"/>
      <c r="C525" s="338"/>
      <c r="D525" s="339"/>
      <c r="E525" s="340"/>
      <c r="F525" s="341"/>
      <c r="G525" s="341"/>
      <c r="H525" s="342"/>
      <c r="I525" s="342"/>
    </row>
    <row r="526">
      <c r="A526" s="337"/>
      <c r="B526" s="337"/>
      <c r="C526" s="338"/>
      <c r="D526" s="339"/>
      <c r="E526" s="340"/>
      <c r="F526" s="341"/>
      <c r="G526" s="341"/>
      <c r="H526" s="342"/>
      <c r="I526" s="342"/>
    </row>
    <row r="527">
      <c r="A527" s="337"/>
      <c r="B527" s="337"/>
      <c r="C527" s="338"/>
      <c r="D527" s="339"/>
      <c r="E527" s="340"/>
      <c r="F527" s="341"/>
      <c r="G527" s="341"/>
      <c r="H527" s="342"/>
      <c r="I527" s="342"/>
    </row>
    <row r="528">
      <c r="A528" s="337"/>
      <c r="B528" s="337"/>
      <c r="C528" s="338"/>
      <c r="D528" s="339"/>
      <c r="E528" s="340"/>
      <c r="F528" s="341"/>
      <c r="G528" s="341"/>
      <c r="H528" s="342"/>
      <c r="I528" s="342"/>
    </row>
    <row r="529">
      <c r="A529" s="337"/>
      <c r="B529" s="337"/>
      <c r="C529" s="338"/>
      <c r="D529" s="339"/>
      <c r="E529" s="340"/>
      <c r="F529" s="341"/>
      <c r="G529" s="341"/>
      <c r="H529" s="342"/>
      <c r="I529" s="342"/>
    </row>
    <row r="530">
      <c r="A530" s="337"/>
      <c r="B530" s="337"/>
      <c r="C530" s="338"/>
      <c r="D530" s="339"/>
      <c r="E530" s="340"/>
      <c r="F530" s="341"/>
      <c r="G530" s="341"/>
      <c r="H530" s="342"/>
      <c r="I530" s="342"/>
    </row>
    <row r="531">
      <c r="A531" s="337"/>
      <c r="B531" s="337"/>
      <c r="C531" s="338"/>
      <c r="D531" s="339"/>
      <c r="E531" s="340"/>
      <c r="F531" s="341"/>
      <c r="G531" s="341"/>
      <c r="H531" s="342"/>
      <c r="I531" s="342"/>
    </row>
    <row r="532">
      <c r="A532" s="337"/>
      <c r="B532" s="337"/>
      <c r="C532" s="338"/>
      <c r="D532" s="339"/>
      <c r="E532" s="340"/>
      <c r="F532" s="341"/>
      <c r="G532" s="341"/>
      <c r="H532" s="342"/>
      <c r="I532" s="342"/>
    </row>
    <row r="533">
      <c r="A533" s="337"/>
      <c r="B533" s="337"/>
      <c r="C533" s="338"/>
      <c r="D533" s="339"/>
      <c r="E533" s="340"/>
      <c r="F533" s="341"/>
      <c r="G533" s="341"/>
      <c r="H533" s="342"/>
      <c r="I533" s="342"/>
    </row>
    <row r="534">
      <c r="A534" s="337"/>
      <c r="B534" s="337"/>
      <c r="C534" s="338"/>
      <c r="D534" s="339"/>
      <c r="E534" s="340"/>
      <c r="F534" s="341"/>
      <c r="G534" s="341"/>
      <c r="H534" s="342"/>
      <c r="I534" s="342"/>
    </row>
    <row r="535">
      <c r="A535" s="337"/>
      <c r="B535" s="337"/>
      <c r="C535" s="338"/>
      <c r="D535" s="339"/>
      <c r="E535" s="340"/>
      <c r="F535" s="341"/>
      <c r="G535" s="341"/>
      <c r="H535" s="342"/>
      <c r="I535" s="342"/>
    </row>
    <row r="536">
      <c r="A536" s="337"/>
      <c r="B536" s="337"/>
      <c r="C536" s="338"/>
      <c r="D536" s="339"/>
      <c r="E536" s="340"/>
      <c r="F536" s="341"/>
      <c r="G536" s="341"/>
      <c r="H536" s="342"/>
      <c r="I536" s="342"/>
    </row>
    <row r="537">
      <c r="A537" s="337"/>
      <c r="B537" s="337"/>
      <c r="C537" s="338"/>
      <c r="D537" s="339"/>
      <c r="E537" s="340"/>
      <c r="F537" s="341"/>
      <c r="G537" s="341"/>
      <c r="H537" s="342"/>
      <c r="I537" s="342"/>
    </row>
    <row r="538">
      <c r="A538" s="337"/>
      <c r="B538" s="337"/>
      <c r="C538" s="338"/>
      <c r="D538" s="339"/>
      <c r="E538" s="340"/>
      <c r="F538" s="341"/>
      <c r="G538" s="341"/>
      <c r="H538" s="342"/>
      <c r="I538" s="342"/>
    </row>
    <row r="539">
      <c r="A539" s="337"/>
      <c r="B539" s="337"/>
      <c r="C539" s="338"/>
      <c r="D539" s="339"/>
      <c r="E539" s="340"/>
      <c r="F539" s="341"/>
      <c r="G539" s="341"/>
      <c r="H539" s="342"/>
      <c r="I539" s="342"/>
    </row>
    <row r="540">
      <c r="A540" s="337"/>
      <c r="B540" s="337"/>
      <c r="C540" s="338"/>
      <c r="D540" s="339"/>
      <c r="E540" s="340"/>
      <c r="F540" s="341"/>
      <c r="G540" s="341"/>
      <c r="H540" s="342"/>
      <c r="I540" s="342"/>
    </row>
    <row r="541">
      <c r="A541" s="337"/>
      <c r="B541" s="337"/>
      <c r="C541" s="338"/>
      <c r="D541" s="339"/>
      <c r="E541" s="340"/>
      <c r="F541" s="341"/>
      <c r="G541" s="341"/>
      <c r="H541" s="342"/>
      <c r="I541" s="342"/>
    </row>
    <row r="542">
      <c r="A542" s="337"/>
      <c r="B542" s="337"/>
      <c r="C542" s="338"/>
      <c r="D542" s="339"/>
      <c r="E542" s="340"/>
      <c r="F542" s="341"/>
      <c r="G542" s="341"/>
      <c r="H542" s="342"/>
      <c r="I542" s="342"/>
    </row>
    <row r="543">
      <c r="A543" s="337"/>
      <c r="B543" s="337"/>
      <c r="C543" s="338"/>
      <c r="D543" s="339"/>
      <c r="E543" s="340"/>
      <c r="F543" s="341"/>
      <c r="G543" s="341"/>
      <c r="H543" s="342"/>
      <c r="I543" s="342"/>
    </row>
    <row r="544">
      <c r="A544" s="337"/>
      <c r="B544" s="337"/>
      <c r="C544" s="338"/>
      <c r="D544" s="339"/>
      <c r="E544" s="340"/>
      <c r="F544" s="341"/>
      <c r="G544" s="341"/>
      <c r="H544" s="342"/>
      <c r="I544" s="342"/>
    </row>
    <row r="545">
      <c r="A545" s="337"/>
      <c r="B545" s="337"/>
      <c r="C545" s="338"/>
      <c r="D545" s="339"/>
      <c r="E545" s="340"/>
      <c r="F545" s="341"/>
      <c r="G545" s="341"/>
      <c r="H545" s="342"/>
      <c r="I545" s="342"/>
    </row>
    <row r="546">
      <c r="A546" s="337"/>
      <c r="B546" s="337"/>
      <c r="C546" s="338"/>
      <c r="D546" s="339"/>
      <c r="E546" s="340"/>
      <c r="F546" s="341"/>
      <c r="G546" s="341"/>
      <c r="H546" s="342"/>
      <c r="I546" s="342"/>
    </row>
    <row r="547">
      <c r="A547" s="337"/>
      <c r="B547" s="337"/>
      <c r="C547" s="338"/>
      <c r="D547" s="339"/>
      <c r="E547" s="340"/>
      <c r="F547" s="341"/>
      <c r="G547" s="341"/>
      <c r="H547" s="342"/>
      <c r="I547" s="342"/>
    </row>
    <row r="548">
      <c r="A548" s="337"/>
      <c r="B548" s="337"/>
      <c r="C548" s="338"/>
      <c r="D548" s="339"/>
      <c r="E548" s="340"/>
      <c r="F548" s="341"/>
      <c r="G548" s="341"/>
      <c r="H548" s="342"/>
      <c r="I548" s="342"/>
    </row>
    <row r="549">
      <c r="A549" s="337"/>
      <c r="B549" s="337"/>
      <c r="C549" s="338"/>
      <c r="D549" s="339"/>
      <c r="E549" s="340"/>
      <c r="F549" s="341"/>
      <c r="G549" s="341"/>
      <c r="H549" s="342"/>
      <c r="I549" s="342"/>
    </row>
    <row r="550">
      <c r="A550" s="337"/>
      <c r="B550" s="337"/>
      <c r="C550" s="338"/>
      <c r="D550" s="339"/>
      <c r="E550" s="340"/>
      <c r="F550" s="341"/>
      <c r="G550" s="341"/>
      <c r="H550" s="342"/>
      <c r="I550" s="342"/>
    </row>
    <row r="551">
      <c r="A551" s="337"/>
      <c r="B551" s="337"/>
      <c r="C551" s="338"/>
      <c r="D551" s="339"/>
      <c r="E551" s="340"/>
      <c r="F551" s="341"/>
      <c r="G551" s="341"/>
      <c r="H551" s="342"/>
      <c r="I551" s="342"/>
    </row>
    <row r="552">
      <c r="A552" s="337"/>
      <c r="B552" s="337"/>
      <c r="C552" s="338"/>
      <c r="D552" s="339"/>
      <c r="E552" s="340"/>
      <c r="F552" s="341"/>
      <c r="G552" s="341"/>
      <c r="H552" s="342"/>
      <c r="I552" s="342"/>
    </row>
    <row r="553">
      <c r="A553" s="337"/>
      <c r="B553" s="337"/>
      <c r="C553" s="338"/>
      <c r="D553" s="339"/>
      <c r="E553" s="340"/>
      <c r="F553" s="341"/>
      <c r="G553" s="341"/>
      <c r="H553" s="342"/>
      <c r="I553" s="342"/>
    </row>
    <row r="554">
      <c r="A554" s="337"/>
      <c r="B554" s="337"/>
      <c r="C554" s="338"/>
      <c r="D554" s="339"/>
      <c r="E554" s="340"/>
      <c r="F554" s="341"/>
      <c r="G554" s="341"/>
      <c r="H554" s="342"/>
      <c r="I554" s="342"/>
    </row>
    <row r="555">
      <c r="A555" s="337"/>
      <c r="B555" s="337"/>
      <c r="C555" s="338"/>
      <c r="D555" s="339"/>
      <c r="E555" s="340"/>
      <c r="F555" s="341"/>
      <c r="G555" s="341"/>
      <c r="H555" s="342"/>
      <c r="I555" s="342"/>
    </row>
    <row r="556">
      <c r="A556" s="337"/>
      <c r="B556" s="337"/>
      <c r="C556" s="338"/>
      <c r="D556" s="339"/>
      <c r="E556" s="340"/>
      <c r="F556" s="341"/>
      <c r="G556" s="341"/>
      <c r="H556" s="342"/>
      <c r="I556" s="342"/>
    </row>
    <row r="557">
      <c r="A557" s="337"/>
      <c r="B557" s="337"/>
      <c r="C557" s="338"/>
      <c r="D557" s="339"/>
      <c r="E557" s="340"/>
      <c r="F557" s="341"/>
      <c r="G557" s="341"/>
      <c r="H557" s="342"/>
      <c r="I557" s="342"/>
    </row>
    <row r="558">
      <c r="A558" s="337"/>
      <c r="B558" s="337"/>
      <c r="C558" s="338"/>
      <c r="D558" s="339"/>
      <c r="E558" s="340"/>
      <c r="F558" s="341"/>
      <c r="G558" s="341"/>
      <c r="H558" s="342"/>
      <c r="I558" s="342"/>
    </row>
    <row r="559">
      <c r="A559" s="337"/>
      <c r="B559" s="337"/>
      <c r="C559" s="338"/>
      <c r="D559" s="339"/>
      <c r="E559" s="340"/>
      <c r="F559" s="341"/>
      <c r="G559" s="341"/>
      <c r="H559" s="342"/>
      <c r="I559" s="342"/>
    </row>
    <row r="560">
      <c r="A560" s="337"/>
      <c r="B560" s="337"/>
      <c r="C560" s="338"/>
      <c r="D560" s="339"/>
      <c r="E560" s="340"/>
      <c r="F560" s="341"/>
      <c r="G560" s="341"/>
      <c r="H560" s="342"/>
      <c r="I560" s="342"/>
    </row>
    <row r="561">
      <c r="A561" s="337"/>
      <c r="B561" s="337"/>
      <c r="C561" s="338"/>
      <c r="D561" s="339"/>
      <c r="E561" s="340"/>
      <c r="F561" s="341"/>
      <c r="G561" s="341"/>
      <c r="H561" s="342"/>
      <c r="I561" s="342"/>
    </row>
    <row r="562">
      <c r="A562" s="337"/>
      <c r="B562" s="337"/>
      <c r="C562" s="338"/>
      <c r="D562" s="339"/>
      <c r="E562" s="340"/>
      <c r="F562" s="341"/>
      <c r="G562" s="341"/>
      <c r="H562" s="342"/>
      <c r="I562" s="342"/>
    </row>
    <row r="563">
      <c r="A563" s="337"/>
      <c r="B563" s="337"/>
      <c r="C563" s="338"/>
      <c r="D563" s="339"/>
      <c r="E563" s="340"/>
      <c r="F563" s="341"/>
      <c r="G563" s="341"/>
      <c r="H563" s="342"/>
      <c r="I563" s="342"/>
    </row>
    <row r="564">
      <c r="A564" s="337"/>
      <c r="B564" s="337"/>
      <c r="C564" s="338"/>
      <c r="D564" s="339"/>
      <c r="E564" s="340"/>
      <c r="F564" s="341"/>
      <c r="G564" s="341"/>
      <c r="H564" s="342"/>
      <c r="I564" s="342"/>
    </row>
    <row r="565">
      <c r="A565" s="337"/>
      <c r="B565" s="337"/>
      <c r="C565" s="338"/>
      <c r="D565" s="339"/>
      <c r="E565" s="340"/>
      <c r="F565" s="341"/>
      <c r="G565" s="341"/>
      <c r="H565" s="342"/>
      <c r="I565" s="342"/>
    </row>
    <row r="566">
      <c r="A566" s="337"/>
      <c r="B566" s="337"/>
      <c r="C566" s="338"/>
      <c r="D566" s="339"/>
      <c r="E566" s="340"/>
      <c r="F566" s="341"/>
      <c r="G566" s="341"/>
      <c r="H566" s="342"/>
      <c r="I566" s="342"/>
    </row>
    <row r="567">
      <c r="A567" s="337"/>
      <c r="B567" s="337"/>
      <c r="C567" s="338"/>
      <c r="D567" s="339"/>
      <c r="E567" s="340"/>
      <c r="F567" s="341"/>
      <c r="G567" s="341"/>
      <c r="H567" s="342"/>
      <c r="I567" s="342"/>
    </row>
    <row r="568">
      <c r="A568" s="337"/>
      <c r="B568" s="337"/>
      <c r="C568" s="338"/>
      <c r="D568" s="339"/>
      <c r="E568" s="340"/>
      <c r="F568" s="341"/>
      <c r="G568" s="341"/>
      <c r="H568" s="342"/>
      <c r="I568" s="342"/>
    </row>
    <row r="569">
      <c r="A569" s="337"/>
      <c r="B569" s="337"/>
      <c r="C569" s="338"/>
      <c r="D569" s="339"/>
      <c r="E569" s="340"/>
      <c r="F569" s="341"/>
      <c r="G569" s="341"/>
      <c r="H569" s="342"/>
      <c r="I569" s="342"/>
    </row>
    <row r="570">
      <c r="A570" s="337"/>
      <c r="B570" s="337"/>
      <c r="C570" s="338"/>
      <c r="D570" s="339"/>
      <c r="E570" s="340"/>
      <c r="F570" s="341"/>
      <c r="G570" s="341"/>
      <c r="H570" s="342"/>
      <c r="I570" s="342"/>
    </row>
    <row r="571">
      <c r="A571" s="337"/>
      <c r="B571" s="337"/>
      <c r="C571" s="338"/>
      <c r="D571" s="339"/>
      <c r="E571" s="340"/>
      <c r="F571" s="341"/>
      <c r="G571" s="341"/>
      <c r="H571" s="342"/>
      <c r="I571" s="342"/>
    </row>
    <row r="572">
      <c r="A572" s="337"/>
      <c r="B572" s="337"/>
      <c r="C572" s="338"/>
      <c r="D572" s="339"/>
      <c r="E572" s="340"/>
      <c r="F572" s="341"/>
      <c r="G572" s="341"/>
      <c r="H572" s="342"/>
      <c r="I572" s="342"/>
    </row>
    <row r="573">
      <c r="A573" s="337"/>
      <c r="B573" s="337"/>
      <c r="C573" s="338"/>
      <c r="D573" s="339"/>
      <c r="E573" s="340"/>
      <c r="F573" s="341"/>
      <c r="G573" s="341"/>
      <c r="H573" s="342"/>
      <c r="I573" s="342"/>
    </row>
    <row r="574">
      <c r="A574" s="337"/>
      <c r="B574" s="337"/>
      <c r="C574" s="338"/>
      <c r="D574" s="339"/>
      <c r="E574" s="340"/>
      <c r="F574" s="341"/>
      <c r="G574" s="341"/>
      <c r="H574" s="342"/>
      <c r="I574" s="342"/>
    </row>
    <row r="575">
      <c r="A575" s="337"/>
      <c r="B575" s="337"/>
      <c r="C575" s="338"/>
      <c r="D575" s="339"/>
      <c r="E575" s="340"/>
      <c r="F575" s="341"/>
      <c r="G575" s="341"/>
      <c r="H575" s="342"/>
      <c r="I575" s="342"/>
    </row>
    <row r="576">
      <c r="A576" s="337"/>
      <c r="B576" s="337"/>
      <c r="C576" s="338"/>
      <c r="D576" s="339"/>
      <c r="E576" s="340"/>
      <c r="F576" s="341"/>
      <c r="G576" s="341"/>
      <c r="H576" s="342"/>
      <c r="I576" s="342"/>
    </row>
    <row r="577">
      <c r="A577" s="337"/>
      <c r="B577" s="337"/>
      <c r="C577" s="338"/>
      <c r="D577" s="339"/>
      <c r="E577" s="340"/>
      <c r="F577" s="341"/>
      <c r="G577" s="341"/>
      <c r="H577" s="342"/>
      <c r="I577" s="342"/>
    </row>
    <row r="578">
      <c r="A578" s="337"/>
      <c r="B578" s="337"/>
      <c r="C578" s="338"/>
      <c r="D578" s="339"/>
      <c r="E578" s="340"/>
      <c r="F578" s="341"/>
      <c r="G578" s="341"/>
      <c r="H578" s="342"/>
      <c r="I578" s="342"/>
    </row>
    <row r="579">
      <c r="A579" s="337"/>
      <c r="B579" s="337"/>
      <c r="C579" s="338"/>
      <c r="D579" s="339"/>
      <c r="E579" s="340"/>
      <c r="F579" s="341"/>
      <c r="G579" s="341"/>
      <c r="H579" s="342"/>
      <c r="I579" s="342"/>
    </row>
    <row r="580">
      <c r="A580" s="337"/>
      <c r="B580" s="337"/>
      <c r="C580" s="338"/>
      <c r="D580" s="339"/>
      <c r="E580" s="340"/>
      <c r="F580" s="341"/>
      <c r="G580" s="341"/>
      <c r="H580" s="342"/>
      <c r="I580" s="342"/>
    </row>
    <row r="581">
      <c r="A581" s="337"/>
      <c r="B581" s="337"/>
      <c r="C581" s="338"/>
      <c r="D581" s="339"/>
      <c r="E581" s="340"/>
      <c r="F581" s="341"/>
      <c r="G581" s="341"/>
      <c r="H581" s="342"/>
      <c r="I581" s="342"/>
    </row>
    <row r="582">
      <c r="A582" s="337"/>
      <c r="B582" s="337"/>
      <c r="C582" s="338"/>
      <c r="D582" s="339"/>
      <c r="E582" s="340"/>
      <c r="F582" s="341"/>
      <c r="G582" s="341"/>
      <c r="H582" s="342"/>
      <c r="I582" s="342"/>
    </row>
    <row r="583">
      <c r="A583" s="337"/>
      <c r="B583" s="337"/>
      <c r="C583" s="338"/>
      <c r="D583" s="339"/>
      <c r="E583" s="340"/>
      <c r="F583" s="341"/>
      <c r="G583" s="341"/>
      <c r="H583" s="342"/>
      <c r="I583" s="342"/>
    </row>
    <row r="584">
      <c r="A584" s="337"/>
      <c r="B584" s="337"/>
      <c r="C584" s="338"/>
      <c r="D584" s="339"/>
      <c r="E584" s="340"/>
      <c r="F584" s="341"/>
      <c r="G584" s="341"/>
      <c r="H584" s="342"/>
      <c r="I584" s="342"/>
    </row>
    <row r="585">
      <c r="A585" s="337"/>
      <c r="B585" s="337"/>
      <c r="C585" s="338"/>
      <c r="D585" s="339"/>
      <c r="E585" s="340"/>
      <c r="F585" s="341"/>
      <c r="G585" s="341"/>
      <c r="H585" s="342"/>
      <c r="I585" s="342"/>
    </row>
    <row r="586">
      <c r="A586" s="337"/>
      <c r="B586" s="337"/>
      <c r="C586" s="338"/>
      <c r="D586" s="339"/>
      <c r="E586" s="340"/>
      <c r="F586" s="341"/>
      <c r="G586" s="341"/>
      <c r="H586" s="342"/>
      <c r="I586" s="342"/>
    </row>
    <row r="587">
      <c r="A587" s="337"/>
      <c r="B587" s="337"/>
      <c r="C587" s="338"/>
      <c r="D587" s="339"/>
      <c r="E587" s="340"/>
      <c r="F587" s="341"/>
      <c r="G587" s="341"/>
      <c r="H587" s="342"/>
      <c r="I587" s="342"/>
    </row>
    <row r="588">
      <c r="A588" s="337"/>
      <c r="B588" s="337"/>
      <c r="C588" s="338"/>
      <c r="D588" s="339"/>
      <c r="E588" s="340"/>
      <c r="F588" s="341"/>
      <c r="G588" s="341"/>
      <c r="H588" s="342"/>
      <c r="I588" s="342"/>
    </row>
    <row r="589">
      <c r="A589" s="337"/>
      <c r="B589" s="337"/>
      <c r="C589" s="338"/>
      <c r="D589" s="339"/>
      <c r="E589" s="340"/>
      <c r="F589" s="341"/>
      <c r="G589" s="341"/>
      <c r="H589" s="342"/>
      <c r="I589" s="342"/>
    </row>
    <row r="590">
      <c r="A590" s="337"/>
      <c r="B590" s="337"/>
      <c r="C590" s="338"/>
      <c r="D590" s="339"/>
      <c r="E590" s="340"/>
      <c r="F590" s="341"/>
      <c r="G590" s="341"/>
      <c r="H590" s="342"/>
      <c r="I590" s="342"/>
    </row>
    <row r="591">
      <c r="A591" s="337"/>
      <c r="B591" s="337"/>
      <c r="C591" s="338"/>
      <c r="D591" s="339"/>
      <c r="E591" s="340"/>
      <c r="F591" s="341"/>
      <c r="G591" s="341"/>
      <c r="H591" s="342"/>
      <c r="I591" s="342"/>
    </row>
    <row r="592">
      <c r="A592" s="337"/>
      <c r="B592" s="337"/>
      <c r="C592" s="338"/>
      <c r="D592" s="339"/>
      <c r="E592" s="340"/>
      <c r="F592" s="341"/>
      <c r="G592" s="341"/>
      <c r="H592" s="342"/>
      <c r="I592" s="342"/>
    </row>
    <row r="593">
      <c r="A593" s="337"/>
      <c r="B593" s="337"/>
      <c r="C593" s="338"/>
      <c r="D593" s="339"/>
      <c r="E593" s="340"/>
      <c r="F593" s="341"/>
      <c r="G593" s="341"/>
      <c r="H593" s="342"/>
      <c r="I593" s="342"/>
    </row>
    <row r="594">
      <c r="A594" s="337"/>
      <c r="B594" s="337"/>
      <c r="C594" s="338"/>
      <c r="D594" s="339"/>
      <c r="E594" s="340"/>
      <c r="F594" s="341"/>
      <c r="G594" s="341"/>
      <c r="H594" s="342"/>
      <c r="I594" s="342"/>
    </row>
    <row r="595">
      <c r="A595" s="337"/>
      <c r="B595" s="337"/>
      <c r="C595" s="338"/>
      <c r="D595" s="339"/>
      <c r="E595" s="340"/>
      <c r="F595" s="341"/>
      <c r="G595" s="341"/>
      <c r="H595" s="342"/>
      <c r="I595" s="342"/>
    </row>
    <row r="596">
      <c r="A596" s="337"/>
      <c r="B596" s="337"/>
      <c r="C596" s="338"/>
      <c r="D596" s="339"/>
      <c r="E596" s="340"/>
      <c r="F596" s="341"/>
      <c r="G596" s="341"/>
      <c r="H596" s="342"/>
      <c r="I596" s="342"/>
    </row>
    <row r="597">
      <c r="A597" s="337"/>
      <c r="B597" s="337"/>
      <c r="C597" s="338"/>
      <c r="D597" s="339"/>
      <c r="E597" s="340"/>
      <c r="F597" s="341"/>
      <c r="G597" s="341"/>
      <c r="H597" s="342"/>
      <c r="I597" s="342"/>
    </row>
    <row r="598">
      <c r="A598" s="337"/>
      <c r="B598" s="337"/>
      <c r="C598" s="338"/>
      <c r="D598" s="339"/>
      <c r="E598" s="340"/>
      <c r="F598" s="341"/>
      <c r="G598" s="341"/>
      <c r="H598" s="342"/>
      <c r="I598" s="342"/>
    </row>
    <row r="599">
      <c r="A599" s="337"/>
      <c r="B599" s="337"/>
      <c r="C599" s="338"/>
      <c r="D599" s="339"/>
      <c r="E599" s="340"/>
      <c r="F599" s="341"/>
      <c r="G599" s="341"/>
      <c r="H599" s="342"/>
      <c r="I599" s="342"/>
    </row>
    <row r="600">
      <c r="A600" s="337"/>
      <c r="B600" s="337"/>
      <c r="C600" s="338"/>
      <c r="D600" s="339"/>
      <c r="E600" s="340"/>
      <c r="F600" s="341"/>
      <c r="G600" s="341"/>
      <c r="H600" s="342"/>
      <c r="I600" s="342"/>
    </row>
    <row r="601">
      <c r="A601" s="337"/>
      <c r="B601" s="337"/>
      <c r="C601" s="338"/>
      <c r="D601" s="339"/>
      <c r="E601" s="340"/>
      <c r="F601" s="341"/>
      <c r="G601" s="341"/>
      <c r="H601" s="342"/>
      <c r="I601" s="342"/>
    </row>
    <row r="602">
      <c r="A602" s="337"/>
      <c r="B602" s="337"/>
      <c r="C602" s="338"/>
      <c r="D602" s="339"/>
      <c r="E602" s="340"/>
      <c r="F602" s="341"/>
      <c r="G602" s="341"/>
      <c r="H602" s="342"/>
      <c r="I602" s="342"/>
    </row>
    <row r="603">
      <c r="A603" s="337"/>
      <c r="B603" s="337"/>
      <c r="C603" s="338"/>
      <c r="D603" s="339"/>
      <c r="E603" s="340"/>
      <c r="F603" s="341"/>
      <c r="G603" s="341"/>
      <c r="H603" s="342"/>
      <c r="I603" s="342"/>
    </row>
    <row r="604">
      <c r="A604" s="337"/>
      <c r="B604" s="337"/>
      <c r="C604" s="338"/>
      <c r="D604" s="339"/>
      <c r="E604" s="340"/>
      <c r="F604" s="341"/>
      <c r="G604" s="341"/>
      <c r="H604" s="342"/>
      <c r="I604" s="342"/>
    </row>
    <row r="605">
      <c r="A605" s="337"/>
      <c r="B605" s="337"/>
      <c r="C605" s="338"/>
      <c r="D605" s="339"/>
      <c r="E605" s="340"/>
      <c r="F605" s="341"/>
      <c r="G605" s="341"/>
      <c r="H605" s="342"/>
      <c r="I605" s="342"/>
    </row>
    <row r="606">
      <c r="A606" s="337"/>
      <c r="B606" s="337"/>
      <c r="C606" s="338"/>
      <c r="D606" s="339"/>
      <c r="E606" s="340"/>
      <c r="F606" s="341"/>
      <c r="G606" s="341"/>
      <c r="H606" s="342"/>
      <c r="I606" s="342"/>
    </row>
    <row r="607">
      <c r="A607" s="337"/>
      <c r="B607" s="337"/>
      <c r="C607" s="338"/>
      <c r="D607" s="339"/>
      <c r="E607" s="340"/>
      <c r="F607" s="341"/>
      <c r="G607" s="341"/>
      <c r="H607" s="342"/>
      <c r="I607" s="342"/>
    </row>
    <row r="608">
      <c r="A608" s="337"/>
      <c r="B608" s="337"/>
      <c r="C608" s="338"/>
      <c r="D608" s="339"/>
      <c r="E608" s="340"/>
      <c r="F608" s="341"/>
      <c r="G608" s="341"/>
      <c r="H608" s="342"/>
      <c r="I608" s="342"/>
    </row>
    <row r="609">
      <c r="A609" s="337"/>
      <c r="B609" s="337"/>
      <c r="C609" s="338"/>
      <c r="D609" s="339"/>
      <c r="E609" s="340"/>
      <c r="F609" s="341"/>
      <c r="G609" s="341"/>
      <c r="H609" s="342"/>
      <c r="I609" s="342"/>
    </row>
    <row r="610">
      <c r="A610" s="337"/>
      <c r="B610" s="337"/>
      <c r="C610" s="338"/>
      <c r="D610" s="339"/>
      <c r="E610" s="340"/>
      <c r="F610" s="341"/>
      <c r="G610" s="341"/>
      <c r="H610" s="342"/>
      <c r="I610" s="342"/>
    </row>
    <row r="611">
      <c r="A611" s="337"/>
      <c r="B611" s="337"/>
      <c r="C611" s="338"/>
      <c r="D611" s="339"/>
      <c r="E611" s="340"/>
      <c r="F611" s="341"/>
      <c r="G611" s="341"/>
      <c r="H611" s="342"/>
      <c r="I611" s="342"/>
    </row>
    <row r="612">
      <c r="A612" s="337"/>
      <c r="B612" s="337"/>
      <c r="C612" s="338"/>
      <c r="D612" s="339"/>
      <c r="E612" s="340"/>
      <c r="F612" s="341"/>
      <c r="G612" s="341"/>
      <c r="H612" s="342"/>
      <c r="I612" s="342"/>
    </row>
    <row r="613">
      <c r="A613" s="337"/>
      <c r="B613" s="337"/>
      <c r="C613" s="338"/>
      <c r="D613" s="339"/>
      <c r="E613" s="340"/>
      <c r="F613" s="341"/>
      <c r="G613" s="341"/>
      <c r="H613" s="342"/>
      <c r="I613" s="342"/>
    </row>
    <row r="614">
      <c r="A614" s="337"/>
      <c r="B614" s="337"/>
      <c r="C614" s="338"/>
      <c r="D614" s="339"/>
      <c r="E614" s="340"/>
      <c r="F614" s="341"/>
      <c r="G614" s="341"/>
      <c r="H614" s="342"/>
      <c r="I614" s="342"/>
    </row>
    <row r="615">
      <c r="A615" s="337"/>
      <c r="B615" s="337"/>
      <c r="C615" s="338"/>
      <c r="D615" s="339"/>
      <c r="E615" s="340"/>
      <c r="F615" s="341"/>
      <c r="G615" s="341"/>
      <c r="H615" s="342"/>
      <c r="I615" s="342"/>
    </row>
    <row r="616">
      <c r="A616" s="337"/>
      <c r="B616" s="337"/>
      <c r="C616" s="338"/>
      <c r="D616" s="339"/>
      <c r="E616" s="340"/>
      <c r="F616" s="341"/>
      <c r="G616" s="341"/>
      <c r="H616" s="342"/>
      <c r="I616" s="342"/>
    </row>
    <row r="617">
      <c r="A617" s="337"/>
      <c r="B617" s="337"/>
      <c r="C617" s="338"/>
      <c r="D617" s="339"/>
      <c r="E617" s="340"/>
      <c r="F617" s="341"/>
      <c r="G617" s="341"/>
      <c r="H617" s="342"/>
      <c r="I617" s="342"/>
    </row>
    <row r="618">
      <c r="A618" s="337"/>
      <c r="B618" s="337"/>
      <c r="C618" s="338"/>
      <c r="D618" s="339"/>
      <c r="E618" s="340"/>
      <c r="F618" s="341"/>
      <c r="G618" s="341"/>
      <c r="H618" s="342"/>
      <c r="I618" s="342"/>
    </row>
    <row r="619">
      <c r="A619" s="337"/>
      <c r="B619" s="337"/>
      <c r="C619" s="338"/>
      <c r="D619" s="339"/>
      <c r="E619" s="340"/>
      <c r="F619" s="341"/>
      <c r="G619" s="341"/>
      <c r="H619" s="342"/>
      <c r="I619" s="342"/>
    </row>
    <row r="620">
      <c r="A620" s="337"/>
      <c r="B620" s="337"/>
      <c r="C620" s="338"/>
      <c r="D620" s="339"/>
      <c r="E620" s="340"/>
      <c r="F620" s="341"/>
      <c r="G620" s="341"/>
      <c r="H620" s="342"/>
      <c r="I620" s="342"/>
    </row>
    <row r="621">
      <c r="A621" s="337"/>
      <c r="B621" s="337"/>
      <c r="C621" s="338"/>
      <c r="D621" s="339"/>
      <c r="E621" s="340"/>
      <c r="F621" s="341"/>
      <c r="G621" s="341"/>
      <c r="H621" s="342"/>
      <c r="I621" s="342"/>
    </row>
    <row r="622">
      <c r="A622" s="337"/>
      <c r="B622" s="337"/>
      <c r="C622" s="338"/>
      <c r="D622" s="339"/>
      <c r="E622" s="340"/>
      <c r="F622" s="341"/>
      <c r="G622" s="341"/>
      <c r="H622" s="342"/>
      <c r="I622" s="342"/>
    </row>
    <row r="623">
      <c r="A623" s="337"/>
      <c r="B623" s="337"/>
      <c r="C623" s="338"/>
      <c r="D623" s="339"/>
      <c r="E623" s="340"/>
      <c r="F623" s="341"/>
      <c r="G623" s="341"/>
      <c r="H623" s="342"/>
      <c r="I623" s="342"/>
    </row>
    <row r="624">
      <c r="A624" s="337"/>
      <c r="B624" s="337"/>
      <c r="C624" s="338"/>
      <c r="D624" s="339"/>
      <c r="E624" s="340"/>
      <c r="F624" s="341"/>
      <c r="G624" s="341"/>
      <c r="H624" s="342"/>
      <c r="I624" s="342"/>
    </row>
    <row r="625">
      <c r="A625" s="337"/>
      <c r="B625" s="337"/>
      <c r="C625" s="338"/>
      <c r="D625" s="339"/>
      <c r="E625" s="340"/>
      <c r="F625" s="341"/>
      <c r="G625" s="341"/>
      <c r="H625" s="342"/>
      <c r="I625" s="342"/>
    </row>
    <row r="626">
      <c r="A626" s="337"/>
      <c r="B626" s="337"/>
      <c r="C626" s="338"/>
      <c r="D626" s="339"/>
      <c r="E626" s="340"/>
      <c r="F626" s="341"/>
      <c r="G626" s="341"/>
      <c r="H626" s="342"/>
      <c r="I626" s="342"/>
    </row>
    <row r="627">
      <c r="A627" s="337"/>
      <c r="B627" s="337"/>
      <c r="C627" s="338"/>
      <c r="D627" s="339"/>
      <c r="E627" s="340"/>
      <c r="F627" s="341"/>
      <c r="G627" s="341"/>
      <c r="H627" s="342"/>
      <c r="I627" s="342"/>
    </row>
    <row r="628">
      <c r="A628" s="337"/>
      <c r="B628" s="337"/>
      <c r="C628" s="338"/>
      <c r="D628" s="339"/>
      <c r="E628" s="340"/>
      <c r="F628" s="341"/>
      <c r="G628" s="341"/>
      <c r="H628" s="342"/>
      <c r="I628" s="342"/>
    </row>
    <row r="629">
      <c r="A629" s="337"/>
      <c r="B629" s="337"/>
      <c r="C629" s="338"/>
      <c r="D629" s="339"/>
      <c r="E629" s="340"/>
      <c r="F629" s="341"/>
      <c r="G629" s="341"/>
      <c r="H629" s="342"/>
      <c r="I629" s="342"/>
    </row>
    <row r="630">
      <c r="A630" s="337"/>
      <c r="B630" s="337"/>
      <c r="C630" s="338"/>
      <c r="D630" s="339"/>
      <c r="E630" s="340"/>
      <c r="F630" s="341"/>
      <c r="G630" s="341"/>
      <c r="H630" s="342"/>
      <c r="I630" s="342"/>
    </row>
    <row r="631">
      <c r="A631" s="337"/>
      <c r="B631" s="337"/>
      <c r="C631" s="338"/>
      <c r="D631" s="339"/>
      <c r="E631" s="340"/>
      <c r="F631" s="341"/>
      <c r="G631" s="341"/>
      <c r="H631" s="342"/>
      <c r="I631" s="342"/>
    </row>
    <row r="632">
      <c r="A632" s="337"/>
      <c r="B632" s="337"/>
      <c r="C632" s="338"/>
      <c r="D632" s="339"/>
      <c r="E632" s="340"/>
      <c r="F632" s="341"/>
      <c r="G632" s="341"/>
      <c r="H632" s="342"/>
      <c r="I632" s="342"/>
    </row>
    <row r="633">
      <c r="A633" s="337"/>
      <c r="B633" s="337"/>
      <c r="C633" s="338"/>
      <c r="D633" s="339"/>
      <c r="E633" s="340"/>
      <c r="F633" s="341"/>
      <c r="G633" s="341"/>
      <c r="H633" s="342"/>
      <c r="I633" s="342"/>
    </row>
    <row r="634">
      <c r="A634" s="337"/>
      <c r="B634" s="337"/>
      <c r="C634" s="338"/>
      <c r="D634" s="339"/>
      <c r="E634" s="340"/>
      <c r="F634" s="341"/>
      <c r="G634" s="341"/>
      <c r="H634" s="342"/>
      <c r="I634" s="342"/>
    </row>
    <row r="635">
      <c r="A635" s="337"/>
      <c r="B635" s="337"/>
      <c r="C635" s="338"/>
      <c r="D635" s="339"/>
      <c r="E635" s="340"/>
      <c r="F635" s="341"/>
      <c r="G635" s="341"/>
      <c r="H635" s="342"/>
      <c r="I635" s="342"/>
    </row>
    <row r="636">
      <c r="A636" s="337"/>
      <c r="B636" s="337"/>
      <c r="C636" s="338"/>
      <c r="D636" s="339"/>
      <c r="E636" s="340"/>
      <c r="F636" s="341"/>
      <c r="G636" s="341"/>
      <c r="H636" s="342"/>
      <c r="I636" s="342"/>
    </row>
    <row r="637">
      <c r="A637" s="337"/>
      <c r="B637" s="337"/>
      <c r="C637" s="338"/>
      <c r="D637" s="339"/>
      <c r="E637" s="340"/>
      <c r="F637" s="341"/>
      <c r="G637" s="341"/>
      <c r="H637" s="342"/>
      <c r="I637" s="342"/>
    </row>
    <row r="638">
      <c r="A638" s="337"/>
      <c r="B638" s="337"/>
      <c r="C638" s="338"/>
      <c r="D638" s="339"/>
      <c r="E638" s="340"/>
      <c r="F638" s="341"/>
      <c r="G638" s="341"/>
      <c r="H638" s="342"/>
      <c r="I638" s="342"/>
    </row>
    <row r="639">
      <c r="A639" s="337"/>
      <c r="B639" s="337"/>
      <c r="C639" s="338"/>
      <c r="D639" s="339"/>
      <c r="E639" s="340"/>
      <c r="F639" s="341"/>
      <c r="G639" s="341"/>
      <c r="H639" s="342"/>
      <c r="I639" s="342"/>
    </row>
    <row r="640">
      <c r="A640" s="337"/>
      <c r="B640" s="337"/>
      <c r="C640" s="338"/>
      <c r="D640" s="339"/>
      <c r="E640" s="340"/>
      <c r="F640" s="341"/>
      <c r="G640" s="341"/>
      <c r="H640" s="342"/>
      <c r="I640" s="342"/>
    </row>
    <row r="641">
      <c r="A641" s="337"/>
      <c r="B641" s="337"/>
      <c r="C641" s="338"/>
      <c r="D641" s="339"/>
      <c r="E641" s="340"/>
      <c r="F641" s="341"/>
      <c r="G641" s="341"/>
      <c r="H641" s="342"/>
      <c r="I641" s="342"/>
    </row>
    <row r="642">
      <c r="A642" s="337"/>
      <c r="B642" s="337"/>
      <c r="C642" s="338"/>
      <c r="D642" s="339"/>
      <c r="E642" s="340"/>
      <c r="F642" s="341"/>
      <c r="G642" s="341"/>
      <c r="H642" s="342"/>
      <c r="I642" s="342"/>
    </row>
    <row r="643">
      <c r="A643" s="337"/>
      <c r="B643" s="337"/>
      <c r="C643" s="338"/>
      <c r="D643" s="339"/>
      <c r="E643" s="340"/>
      <c r="F643" s="341"/>
      <c r="G643" s="341"/>
      <c r="H643" s="342"/>
      <c r="I643" s="342"/>
    </row>
    <row r="644">
      <c r="A644" s="337"/>
      <c r="B644" s="337"/>
      <c r="C644" s="338"/>
      <c r="D644" s="339"/>
      <c r="E644" s="340"/>
      <c r="F644" s="341"/>
      <c r="G644" s="341"/>
      <c r="H644" s="342"/>
      <c r="I644" s="342"/>
    </row>
    <row r="645">
      <c r="A645" s="337"/>
      <c r="B645" s="337"/>
      <c r="C645" s="338"/>
      <c r="D645" s="339"/>
      <c r="E645" s="340"/>
      <c r="F645" s="341"/>
      <c r="G645" s="341"/>
      <c r="H645" s="342"/>
      <c r="I645" s="342"/>
    </row>
    <row r="646">
      <c r="A646" s="337"/>
      <c r="B646" s="337"/>
      <c r="C646" s="338"/>
      <c r="D646" s="339"/>
      <c r="E646" s="340"/>
      <c r="F646" s="341"/>
      <c r="G646" s="341"/>
      <c r="H646" s="342"/>
      <c r="I646" s="342"/>
    </row>
    <row r="647">
      <c r="A647" s="337"/>
      <c r="B647" s="337"/>
      <c r="C647" s="338"/>
      <c r="D647" s="339"/>
      <c r="E647" s="340"/>
      <c r="F647" s="341"/>
      <c r="G647" s="341"/>
      <c r="H647" s="342"/>
      <c r="I647" s="342"/>
    </row>
    <row r="648">
      <c r="A648" s="337"/>
      <c r="B648" s="337"/>
      <c r="C648" s="338"/>
      <c r="D648" s="339"/>
      <c r="E648" s="340"/>
      <c r="F648" s="341"/>
      <c r="G648" s="341"/>
      <c r="H648" s="342"/>
      <c r="I648" s="342"/>
    </row>
    <row r="649">
      <c r="A649" s="337"/>
      <c r="B649" s="337"/>
      <c r="C649" s="338"/>
      <c r="D649" s="339"/>
      <c r="E649" s="340"/>
      <c r="F649" s="341"/>
      <c r="G649" s="341"/>
      <c r="H649" s="342"/>
      <c r="I649" s="342"/>
    </row>
    <row r="650">
      <c r="A650" s="337"/>
      <c r="B650" s="337"/>
      <c r="C650" s="338"/>
      <c r="D650" s="339"/>
      <c r="E650" s="340"/>
      <c r="F650" s="341"/>
      <c r="G650" s="341"/>
      <c r="H650" s="342"/>
      <c r="I650" s="342"/>
    </row>
    <row r="651">
      <c r="A651" s="337"/>
      <c r="B651" s="337"/>
      <c r="C651" s="338"/>
      <c r="D651" s="339"/>
      <c r="E651" s="340"/>
      <c r="F651" s="341"/>
      <c r="G651" s="341"/>
      <c r="H651" s="342"/>
      <c r="I651" s="342"/>
    </row>
    <row r="652">
      <c r="A652" s="337"/>
      <c r="B652" s="337"/>
      <c r="C652" s="338"/>
      <c r="D652" s="339"/>
      <c r="E652" s="340"/>
      <c r="F652" s="341"/>
      <c r="G652" s="341"/>
      <c r="H652" s="342"/>
      <c r="I652" s="342"/>
    </row>
    <row r="653">
      <c r="A653" s="337"/>
      <c r="B653" s="337"/>
      <c r="C653" s="338"/>
      <c r="D653" s="339"/>
      <c r="E653" s="340"/>
      <c r="F653" s="341"/>
      <c r="G653" s="341"/>
      <c r="H653" s="342"/>
      <c r="I653" s="342"/>
    </row>
    <row r="654">
      <c r="A654" s="337"/>
      <c r="B654" s="337"/>
      <c r="C654" s="338"/>
      <c r="D654" s="339"/>
      <c r="E654" s="340"/>
      <c r="F654" s="341"/>
      <c r="G654" s="341"/>
      <c r="H654" s="342"/>
      <c r="I654" s="342"/>
    </row>
    <row r="655">
      <c r="A655" s="337"/>
      <c r="B655" s="337"/>
      <c r="C655" s="338"/>
      <c r="D655" s="339"/>
      <c r="E655" s="340"/>
      <c r="F655" s="341"/>
      <c r="G655" s="341"/>
      <c r="H655" s="342"/>
      <c r="I655" s="342"/>
    </row>
    <row r="656">
      <c r="A656" s="337"/>
      <c r="B656" s="337"/>
      <c r="C656" s="338"/>
      <c r="D656" s="339"/>
      <c r="E656" s="340"/>
      <c r="F656" s="341"/>
      <c r="G656" s="341"/>
      <c r="H656" s="342"/>
      <c r="I656" s="342"/>
    </row>
    <row r="657">
      <c r="A657" s="337"/>
      <c r="B657" s="337"/>
      <c r="C657" s="338"/>
      <c r="D657" s="339"/>
      <c r="E657" s="340"/>
      <c r="F657" s="341"/>
      <c r="G657" s="341"/>
      <c r="H657" s="342"/>
      <c r="I657" s="342"/>
    </row>
    <row r="658">
      <c r="A658" s="337"/>
      <c r="B658" s="337"/>
      <c r="C658" s="338"/>
      <c r="D658" s="339"/>
      <c r="E658" s="340"/>
      <c r="F658" s="341"/>
      <c r="G658" s="341"/>
      <c r="H658" s="342"/>
      <c r="I658" s="342"/>
    </row>
    <row r="659">
      <c r="A659" s="337"/>
      <c r="B659" s="337"/>
      <c r="C659" s="338"/>
      <c r="D659" s="339"/>
      <c r="E659" s="340"/>
      <c r="F659" s="341"/>
      <c r="G659" s="341"/>
      <c r="H659" s="342"/>
      <c r="I659" s="342"/>
    </row>
    <row r="660">
      <c r="A660" s="337"/>
      <c r="B660" s="337"/>
      <c r="C660" s="338"/>
      <c r="D660" s="339"/>
      <c r="E660" s="340"/>
      <c r="F660" s="341"/>
      <c r="G660" s="341"/>
      <c r="H660" s="342"/>
      <c r="I660" s="342"/>
    </row>
    <row r="661">
      <c r="A661" s="337"/>
      <c r="B661" s="337"/>
      <c r="C661" s="338"/>
      <c r="D661" s="339"/>
      <c r="E661" s="340"/>
      <c r="F661" s="341"/>
      <c r="G661" s="341"/>
      <c r="H661" s="342"/>
      <c r="I661" s="342"/>
    </row>
    <row r="662">
      <c r="A662" s="337"/>
      <c r="B662" s="337"/>
      <c r="C662" s="338"/>
      <c r="D662" s="339"/>
      <c r="E662" s="340"/>
      <c r="F662" s="341"/>
      <c r="G662" s="341"/>
      <c r="H662" s="342"/>
      <c r="I662" s="342"/>
    </row>
    <row r="663">
      <c r="A663" s="337"/>
      <c r="B663" s="337"/>
      <c r="C663" s="338"/>
      <c r="D663" s="339"/>
      <c r="E663" s="340"/>
      <c r="F663" s="341"/>
      <c r="G663" s="341"/>
      <c r="H663" s="342"/>
      <c r="I663" s="342"/>
    </row>
    <row r="664">
      <c r="A664" s="337"/>
      <c r="B664" s="337"/>
      <c r="C664" s="338"/>
      <c r="D664" s="339"/>
      <c r="E664" s="340"/>
      <c r="F664" s="341"/>
      <c r="G664" s="341"/>
      <c r="H664" s="342"/>
      <c r="I664" s="342"/>
    </row>
    <row r="665">
      <c r="A665" s="337"/>
      <c r="B665" s="337"/>
      <c r="C665" s="338"/>
      <c r="D665" s="339"/>
      <c r="E665" s="340"/>
      <c r="F665" s="341"/>
      <c r="G665" s="341"/>
      <c r="H665" s="342"/>
      <c r="I665" s="342"/>
    </row>
    <row r="666">
      <c r="A666" s="337"/>
      <c r="B666" s="337"/>
      <c r="C666" s="338"/>
      <c r="D666" s="339"/>
      <c r="E666" s="340"/>
      <c r="F666" s="341"/>
      <c r="G666" s="341"/>
      <c r="H666" s="342"/>
      <c r="I666" s="342"/>
    </row>
    <row r="667">
      <c r="A667" s="337"/>
      <c r="B667" s="337"/>
      <c r="C667" s="338"/>
      <c r="D667" s="339"/>
      <c r="E667" s="340"/>
      <c r="F667" s="341"/>
      <c r="G667" s="341"/>
      <c r="H667" s="342"/>
      <c r="I667" s="342"/>
    </row>
    <row r="668">
      <c r="A668" s="337"/>
      <c r="B668" s="337"/>
      <c r="C668" s="338"/>
      <c r="D668" s="339"/>
      <c r="E668" s="340"/>
      <c r="F668" s="341"/>
      <c r="G668" s="341"/>
      <c r="H668" s="342"/>
      <c r="I668" s="342"/>
    </row>
    <row r="669">
      <c r="A669" s="337"/>
      <c r="B669" s="337"/>
      <c r="C669" s="338"/>
      <c r="D669" s="339"/>
      <c r="E669" s="340"/>
      <c r="F669" s="341"/>
      <c r="G669" s="341"/>
      <c r="H669" s="342"/>
      <c r="I669" s="342"/>
    </row>
    <row r="670">
      <c r="A670" s="337"/>
      <c r="B670" s="337"/>
      <c r="C670" s="338"/>
      <c r="D670" s="339"/>
      <c r="E670" s="340"/>
      <c r="F670" s="341"/>
      <c r="G670" s="341"/>
      <c r="H670" s="342"/>
      <c r="I670" s="342"/>
    </row>
    <row r="671">
      <c r="A671" s="337"/>
      <c r="B671" s="337"/>
      <c r="C671" s="338"/>
      <c r="D671" s="339"/>
      <c r="E671" s="340"/>
      <c r="F671" s="341"/>
      <c r="G671" s="341"/>
      <c r="H671" s="342"/>
      <c r="I671" s="342"/>
    </row>
    <row r="672">
      <c r="A672" s="337"/>
      <c r="B672" s="337"/>
      <c r="C672" s="338"/>
      <c r="D672" s="339"/>
      <c r="E672" s="340"/>
      <c r="F672" s="341"/>
      <c r="G672" s="341"/>
      <c r="H672" s="342"/>
      <c r="I672" s="342"/>
    </row>
    <row r="673">
      <c r="A673" s="337"/>
      <c r="B673" s="337"/>
      <c r="C673" s="338"/>
      <c r="D673" s="339"/>
      <c r="E673" s="340"/>
      <c r="F673" s="341"/>
      <c r="G673" s="341"/>
      <c r="H673" s="342"/>
      <c r="I673" s="342"/>
    </row>
    <row r="674">
      <c r="A674" s="337"/>
      <c r="B674" s="337"/>
      <c r="C674" s="338"/>
      <c r="D674" s="339"/>
      <c r="E674" s="340"/>
      <c r="F674" s="341"/>
      <c r="G674" s="341"/>
      <c r="H674" s="342"/>
      <c r="I674" s="342"/>
    </row>
    <row r="675">
      <c r="A675" s="337"/>
      <c r="B675" s="337"/>
      <c r="C675" s="338"/>
      <c r="D675" s="339"/>
      <c r="E675" s="340"/>
      <c r="F675" s="341"/>
      <c r="G675" s="341"/>
      <c r="H675" s="342"/>
      <c r="I675" s="342"/>
    </row>
    <row r="676">
      <c r="A676" s="337"/>
      <c r="B676" s="337"/>
      <c r="C676" s="338"/>
      <c r="D676" s="339"/>
      <c r="E676" s="340"/>
      <c r="F676" s="341"/>
      <c r="G676" s="341"/>
      <c r="H676" s="342"/>
      <c r="I676" s="342"/>
    </row>
    <row r="677">
      <c r="A677" s="337"/>
      <c r="B677" s="337"/>
      <c r="C677" s="338"/>
      <c r="D677" s="339"/>
      <c r="E677" s="340"/>
      <c r="F677" s="341"/>
      <c r="G677" s="341"/>
      <c r="H677" s="342"/>
      <c r="I677" s="342"/>
    </row>
    <row r="678">
      <c r="A678" s="337"/>
      <c r="B678" s="337"/>
      <c r="C678" s="338"/>
      <c r="D678" s="339"/>
      <c r="E678" s="340"/>
      <c r="F678" s="341"/>
      <c r="G678" s="341"/>
      <c r="H678" s="342"/>
      <c r="I678" s="342"/>
    </row>
    <row r="679">
      <c r="A679" s="337"/>
      <c r="B679" s="337"/>
      <c r="C679" s="338"/>
      <c r="D679" s="339"/>
      <c r="E679" s="340"/>
      <c r="F679" s="341"/>
      <c r="G679" s="341"/>
      <c r="H679" s="342"/>
      <c r="I679" s="342"/>
    </row>
    <row r="680">
      <c r="A680" s="337"/>
      <c r="B680" s="337"/>
      <c r="C680" s="338"/>
      <c r="D680" s="339"/>
      <c r="E680" s="340"/>
      <c r="F680" s="341"/>
      <c r="G680" s="341"/>
      <c r="H680" s="342"/>
      <c r="I680" s="342"/>
    </row>
    <row r="681">
      <c r="A681" s="337"/>
      <c r="B681" s="337"/>
      <c r="C681" s="338"/>
      <c r="D681" s="339"/>
      <c r="E681" s="340"/>
      <c r="F681" s="341"/>
      <c r="G681" s="341"/>
      <c r="H681" s="342"/>
      <c r="I681" s="342"/>
    </row>
    <row r="682">
      <c r="A682" s="337"/>
      <c r="B682" s="337"/>
      <c r="C682" s="338"/>
      <c r="D682" s="339"/>
      <c r="E682" s="340"/>
      <c r="F682" s="341"/>
      <c r="G682" s="341"/>
      <c r="H682" s="342"/>
      <c r="I682" s="342"/>
    </row>
    <row r="683">
      <c r="A683" s="337"/>
      <c r="B683" s="337"/>
      <c r="C683" s="338"/>
      <c r="D683" s="339"/>
      <c r="E683" s="340"/>
      <c r="F683" s="341"/>
      <c r="G683" s="341"/>
      <c r="H683" s="342"/>
      <c r="I683" s="342"/>
    </row>
    <row r="684">
      <c r="A684" s="337"/>
      <c r="B684" s="337"/>
      <c r="C684" s="338"/>
      <c r="D684" s="339"/>
      <c r="E684" s="340"/>
      <c r="F684" s="341"/>
      <c r="G684" s="341"/>
      <c r="H684" s="342"/>
      <c r="I684" s="342"/>
    </row>
    <row r="685">
      <c r="A685" s="337"/>
      <c r="B685" s="337"/>
      <c r="C685" s="338"/>
      <c r="D685" s="339"/>
      <c r="E685" s="340"/>
      <c r="F685" s="341"/>
      <c r="G685" s="341"/>
      <c r="H685" s="342"/>
      <c r="I685" s="342"/>
    </row>
    <row r="686">
      <c r="A686" s="337"/>
      <c r="B686" s="337"/>
      <c r="C686" s="338"/>
      <c r="D686" s="339"/>
      <c r="E686" s="340"/>
      <c r="F686" s="341"/>
      <c r="G686" s="341"/>
      <c r="H686" s="342"/>
      <c r="I686" s="342"/>
    </row>
    <row r="687">
      <c r="A687" s="337"/>
      <c r="B687" s="337"/>
      <c r="C687" s="338"/>
      <c r="D687" s="339"/>
      <c r="E687" s="340"/>
      <c r="F687" s="341"/>
      <c r="G687" s="341"/>
      <c r="H687" s="342"/>
      <c r="I687" s="342"/>
    </row>
    <row r="688">
      <c r="A688" s="337"/>
      <c r="B688" s="337"/>
      <c r="C688" s="338"/>
      <c r="D688" s="339"/>
      <c r="E688" s="340"/>
      <c r="F688" s="341"/>
      <c r="G688" s="341"/>
      <c r="H688" s="342"/>
      <c r="I688" s="342"/>
    </row>
    <row r="689">
      <c r="A689" s="337"/>
      <c r="B689" s="337"/>
      <c r="C689" s="338"/>
      <c r="D689" s="339"/>
      <c r="E689" s="340"/>
      <c r="F689" s="341"/>
      <c r="G689" s="341"/>
      <c r="H689" s="342"/>
      <c r="I689" s="342"/>
    </row>
    <row r="690">
      <c r="A690" s="337"/>
      <c r="B690" s="337"/>
      <c r="C690" s="338"/>
      <c r="D690" s="339"/>
      <c r="E690" s="340"/>
      <c r="F690" s="341"/>
      <c r="G690" s="341"/>
      <c r="H690" s="342"/>
      <c r="I690" s="342"/>
    </row>
    <row r="691">
      <c r="A691" s="337"/>
      <c r="B691" s="337"/>
      <c r="C691" s="338"/>
      <c r="D691" s="339"/>
      <c r="E691" s="340"/>
      <c r="F691" s="341"/>
      <c r="G691" s="341"/>
      <c r="H691" s="342"/>
      <c r="I691" s="342"/>
    </row>
    <row r="692">
      <c r="A692" s="337"/>
      <c r="B692" s="337"/>
      <c r="C692" s="338"/>
      <c r="D692" s="339"/>
      <c r="E692" s="340"/>
      <c r="F692" s="341"/>
      <c r="G692" s="341"/>
      <c r="H692" s="342"/>
      <c r="I692" s="342"/>
    </row>
    <row r="693">
      <c r="A693" s="337"/>
      <c r="B693" s="337"/>
      <c r="C693" s="338"/>
      <c r="D693" s="339"/>
      <c r="E693" s="340"/>
      <c r="F693" s="341"/>
      <c r="G693" s="341"/>
      <c r="H693" s="342"/>
      <c r="I693" s="342"/>
    </row>
    <row r="694">
      <c r="A694" s="337"/>
      <c r="B694" s="337"/>
      <c r="C694" s="338"/>
      <c r="D694" s="339"/>
      <c r="E694" s="340"/>
      <c r="F694" s="341"/>
      <c r="G694" s="341"/>
      <c r="H694" s="342"/>
      <c r="I694" s="342"/>
    </row>
    <row r="695">
      <c r="A695" s="337"/>
      <c r="B695" s="337"/>
      <c r="C695" s="338"/>
      <c r="D695" s="339"/>
      <c r="E695" s="340"/>
      <c r="F695" s="341"/>
      <c r="G695" s="341"/>
      <c r="H695" s="342"/>
      <c r="I695" s="342"/>
    </row>
    <row r="696">
      <c r="A696" s="337"/>
      <c r="B696" s="337"/>
      <c r="C696" s="338"/>
      <c r="D696" s="339"/>
      <c r="E696" s="340"/>
      <c r="F696" s="341"/>
      <c r="G696" s="341"/>
      <c r="H696" s="342"/>
      <c r="I696" s="342"/>
    </row>
    <row r="697">
      <c r="A697" s="337"/>
      <c r="B697" s="337"/>
      <c r="C697" s="338"/>
      <c r="D697" s="339"/>
      <c r="E697" s="340"/>
      <c r="F697" s="341"/>
      <c r="G697" s="341"/>
      <c r="H697" s="342"/>
      <c r="I697" s="342"/>
    </row>
    <row r="698">
      <c r="A698" s="337"/>
      <c r="B698" s="337"/>
      <c r="C698" s="338"/>
      <c r="D698" s="339"/>
      <c r="E698" s="340"/>
      <c r="F698" s="341"/>
      <c r="G698" s="341"/>
      <c r="H698" s="342"/>
      <c r="I698" s="342"/>
    </row>
    <row r="699">
      <c r="A699" s="337"/>
      <c r="B699" s="337"/>
      <c r="C699" s="338"/>
      <c r="D699" s="339"/>
      <c r="E699" s="340"/>
      <c r="F699" s="341"/>
      <c r="G699" s="341"/>
      <c r="H699" s="342"/>
      <c r="I699" s="342"/>
    </row>
    <row r="700">
      <c r="A700" s="337"/>
      <c r="B700" s="337"/>
      <c r="C700" s="338"/>
      <c r="D700" s="339"/>
      <c r="E700" s="340"/>
      <c r="F700" s="341"/>
      <c r="G700" s="341"/>
      <c r="H700" s="342"/>
      <c r="I700" s="342"/>
    </row>
    <row r="701">
      <c r="A701" s="337"/>
      <c r="B701" s="337"/>
      <c r="C701" s="338"/>
      <c r="D701" s="339"/>
      <c r="E701" s="340"/>
      <c r="F701" s="341"/>
      <c r="G701" s="341"/>
      <c r="H701" s="342"/>
      <c r="I701" s="342"/>
    </row>
    <row r="702">
      <c r="A702" s="337"/>
      <c r="B702" s="337"/>
      <c r="C702" s="338"/>
      <c r="D702" s="339"/>
      <c r="E702" s="340"/>
      <c r="F702" s="341"/>
      <c r="G702" s="341"/>
      <c r="H702" s="342"/>
      <c r="I702" s="342"/>
    </row>
    <row r="703">
      <c r="A703" s="337"/>
      <c r="B703" s="337"/>
      <c r="C703" s="338"/>
      <c r="D703" s="339"/>
      <c r="E703" s="340"/>
      <c r="F703" s="341"/>
      <c r="G703" s="341"/>
      <c r="H703" s="342"/>
      <c r="I703" s="342"/>
    </row>
    <row r="704">
      <c r="A704" s="337"/>
      <c r="B704" s="337"/>
      <c r="C704" s="338"/>
      <c r="D704" s="339"/>
      <c r="E704" s="340"/>
      <c r="F704" s="341"/>
      <c r="G704" s="341"/>
      <c r="H704" s="342"/>
      <c r="I704" s="342"/>
    </row>
    <row r="705">
      <c r="A705" s="337"/>
      <c r="B705" s="337"/>
      <c r="C705" s="338"/>
      <c r="D705" s="339"/>
      <c r="E705" s="340"/>
      <c r="F705" s="341"/>
      <c r="G705" s="341"/>
      <c r="H705" s="342"/>
      <c r="I705" s="342"/>
    </row>
    <row r="706">
      <c r="A706" s="337"/>
      <c r="B706" s="337"/>
      <c r="C706" s="338"/>
      <c r="D706" s="339"/>
      <c r="E706" s="340"/>
      <c r="F706" s="341"/>
      <c r="G706" s="341"/>
      <c r="H706" s="342"/>
      <c r="I706" s="342"/>
    </row>
    <row r="707">
      <c r="A707" s="337"/>
      <c r="B707" s="337"/>
      <c r="C707" s="338"/>
      <c r="D707" s="339"/>
      <c r="E707" s="340"/>
      <c r="F707" s="341"/>
      <c r="G707" s="341"/>
      <c r="H707" s="342"/>
      <c r="I707" s="342"/>
    </row>
    <row r="708">
      <c r="A708" s="337"/>
      <c r="B708" s="337"/>
      <c r="C708" s="338"/>
      <c r="D708" s="339"/>
      <c r="E708" s="340"/>
      <c r="F708" s="341"/>
      <c r="G708" s="341"/>
      <c r="H708" s="342"/>
      <c r="I708" s="342"/>
    </row>
    <row r="709">
      <c r="A709" s="337"/>
      <c r="B709" s="337"/>
      <c r="C709" s="338"/>
      <c r="D709" s="339"/>
      <c r="E709" s="340"/>
      <c r="F709" s="341"/>
      <c r="G709" s="341"/>
      <c r="H709" s="342"/>
      <c r="I709" s="342"/>
    </row>
    <row r="710">
      <c r="A710" s="337"/>
      <c r="B710" s="337"/>
      <c r="C710" s="338"/>
      <c r="D710" s="339"/>
      <c r="E710" s="340"/>
      <c r="F710" s="341"/>
      <c r="G710" s="341"/>
      <c r="H710" s="342"/>
      <c r="I710" s="342"/>
    </row>
    <row r="711">
      <c r="A711" s="337"/>
      <c r="B711" s="337"/>
      <c r="C711" s="338"/>
      <c r="D711" s="339"/>
      <c r="E711" s="340"/>
      <c r="F711" s="341"/>
      <c r="G711" s="341"/>
      <c r="H711" s="342"/>
      <c r="I711" s="342"/>
    </row>
    <row r="712">
      <c r="A712" s="337"/>
      <c r="B712" s="337"/>
      <c r="C712" s="338"/>
      <c r="D712" s="339"/>
      <c r="E712" s="340"/>
      <c r="F712" s="341"/>
      <c r="G712" s="341"/>
      <c r="H712" s="342"/>
      <c r="I712" s="342"/>
    </row>
    <row r="713">
      <c r="A713" s="337"/>
      <c r="B713" s="337"/>
      <c r="C713" s="338"/>
      <c r="D713" s="339"/>
      <c r="E713" s="340"/>
      <c r="F713" s="341"/>
      <c r="G713" s="341"/>
      <c r="H713" s="342"/>
      <c r="I713" s="342"/>
    </row>
    <row r="714">
      <c r="A714" s="337"/>
      <c r="B714" s="337"/>
      <c r="C714" s="338"/>
      <c r="D714" s="339"/>
      <c r="E714" s="340"/>
      <c r="F714" s="341"/>
      <c r="G714" s="341"/>
      <c r="H714" s="342"/>
      <c r="I714" s="342"/>
    </row>
    <row r="715">
      <c r="A715" s="337"/>
      <c r="B715" s="337"/>
      <c r="C715" s="338"/>
      <c r="D715" s="339"/>
      <c r="E715" s="340"/>
      <c r="F715" s="341"/>
      <c r="G715" s="341"/>
      <c r="H715" s="342"/>
      <c r="I715" s="342"/>
    </row>
    <row r="716">
      <c r="A716" s="337"/>
      <c r="B716" s="337"/>
      <c r="C716" s="338"/>
      <c r="D716" s="339"/>
      <c r="E716" s="340"/>
      <c r="F716" s="341"/>
      <c r="G716" s="341"/>
      <c r="H716" s="342"/>
      <c r="I716" s="342"/>
    </row>
    <row r="717">
      <c r="A717" s="337"/>
      <c r="B717" s="337"/>
      <c r="C717" s="338"/>
      <c r="D717" s="339"/>
      <c r="E717" s="340"/>
      <c r="F717" s="341"/>
      <c r="G717" s="341"/>
      <c r="H717" s="342"/>
      <c r="I717" s="342"/>
    </row>
    <row r="718">
      <c r="A718" s="337"/>
      <c r="B718" s="337"/>
      <c r="C718" s="338"/>
      <c r="D718" s="339"/>
      <c r="E718" s="340"/>
      <c r="F718" s="341"/>
      <c r="G718" s="341"/>
      <c r="H718" s="342"/>
      <c r="I718" s="342"/>
    </row>
    <row r="719">
      <c r="A719" s="337"/>
      <c r="B719" s="337"/>
      <c r="C719" s="338"/>
      <c r="D719" s="339"/>
      <c r="E719" s="340"/>
      <c r="F719" s="341"/>
      <c r="G719" s="341"/>
      <c r="H719" s="342"/>
      <c r="I719" s="342"/>
    </row>
    <row r="720">
      <c r="A720" s="337"/>
      <c r="B720" s="337"/>
      <c r="C720" s="338"/>
      <c r="D720" s="339"/>
      <c r="E720" s="340"/>
      <c r="F720" s="341"/>
      <c r="G720" s="341"/>
      <c r="H720" s="342"/>
      <c r="I720" s="342"/>
    </row>
    <row r="721">
      <c r="A721" s="337"/>
      <c r="B721" s="337"/>
      <c r="C721" s="338"/>
      <c r="D721" s="339"/>
      <c r="E721" s="340"/>
      <c r="F721" s="341"/>
      <c r="G721" s="341"/>
      <c r="H721" s="342"/>
      <c r="I721" s="342"/>
    </row>
    <row r="722">
      <c r="A722" s="337"/>
      <c r="B722" s="337"/>
      <c r="C722" s="338"/>
      <c r="D722" s="339"/>
      <c r="E722" s="340"/>
      <c r="F722" s="341"/>
      <c r="G722" s="341"/>
      <c r="H722" s="342"/>
      <c r="I722" s="342"/>
    </row>
    <row r="723">
      <c r="A723" s="337"/>
      <c r="B723" s="337"/>
      <c r="C723" s="338"/>
      <c r="D723" s="339"/>
      <c r="E723" s="340"/>
      <c r="F723" s="341"/>
      <c r="G723" s="341"/>
      <c r="H723" s="342"/>
      <c r="I723" s="342"/>
    </row>
    <row r="724">
      <c r="A724" s="337"/>
      <c r="B724" s="337"/>
      <c r="C724" s="338"/>
      <c r="D724" s="339"/>
      <c r="E724" s="340"/>
      <c r="F724" s="341"/>
      <c r="G724" s="341"/>
      <c r="H724" s="342"/>
      <c r="I724" s="342"/>
    </row>
    <row r="725">
      <c r="A725" s="337"/>
      <c r="B725" s="337"/>
      <c r="C725" s="338"/>
      <c r="D725" s="339"/>
      <c r="E725" s="340"/>
      <c r="F725" s="341"/>
      <c r="G725" s="341"/>
      <c r="H725" s="342"/>
      <c r="I725" s="342"/>
    </row>
    <row r="726">
      <c r="A726" s="337"/>
      <c r="B726" s="337"/>
      <c r="C726" s="338"/>
      <c r="D726" s="339"/>
      <c r="E726" s="340"/>
      <c r="F726" s="341"/>
      <c r="G726" s="341"/>
      <c r="H726" s="342"/>
      <c r="I726" s="342"/>
    </row>
    <row r="727">
      <c r="A727" s="337"/>
      <c r="B727" s="337"/>
      <c r="C727" s="338"/>
      <c r="D727" s="339"/>
      <c r="E727" s="340"/>
      <c r="F727" s="341"/>
      <c r="G727" s="341"/>
      <c r="H727" s="342"/>
      <c r="I727" s="342"/>
    </row>
    <row r="728">
      <c r="A728" s="337"/>
      <c r="B728" s="337"/>
      <c r="C728" s="338"/>
      <c r="D728" s="339"/>
      <c r="E728" s="340"/>
      <c r="F728" s="341"/>
      <c r="G728" s="341"/>
      <c r="H728" s="342"/>
      <c r="I728" s="342"/>
    </row>
    <row r="729">
      <c r="A729" s="337"/>
      <c r="B729" s="337"/>
      <c r="C729" s="338"/>
      <c r="D729" s="339"/>
      <c r="E729" s="340"/>
      <c r="F729" s="341"/>
      <c r="G729" s="341"/>
      <c r="H729" s="342"/>
      <c r="I729" s="342"/>
    </row>
    <row r="730">
      <c r="A730" s="337"/>
      <c r="B730" s="337"/>
      <c r="C730" s="338"/>
      <c r="D730" s="339"/>
      <c r="E730" s="340"/>
      <c r="F730" s="341"/>
      <c r="G730" s="341"/>
      <c r="H730" s="342"/>
      <c r="I730" s="342"/>
    </row>
    <row r="731">
      <c r="A731" s="337"/>
      <c r="B731" s="337"/>
      <c r="C731" s="338"/>
      <c r="D731" s="339"/>
      <c r="E731" s="340"/>
      <c r="F731" s="341"/>
      <c r="G731" s="341"/>
      <c r="H731" s="342"/>
      <c r="I731" s="342"/>
    </row>
    <row r="732">
      <c r="A732" s="337"/>
      <c r="B732" s="337"/>
      <c r="C732" s="338"/>
      <c r="D732" s="339"/>
      <c r="E732" s="340"/>
      <c r="F732" s="341"/>
      <c r="G732" s="341"/>
      <c r="H732" s="342"/>
      <c r="I732" s="342"/>
    </row>
    <row r="733">
      <c r="A733" s="337"/>
      <c r="B733" s="337"/>
      <c r="C733" s="338"/>
      <c r="D733" s="339"/>
      <c r="E733" s="340"/>
      <c r="F733" s="341"/>
      <c r="G733" s="341"/>
      <c r="H733" s="342"/>
      <c r="I733" s="342"/>
    </row>
    <row r="734">
      <c r="A734" s="337"/>
      <c r="B734" s="337"/>
      <c r="C734" s="338"/>
      <c r="D734" s="339"/>
      <c r="E734" s="340"/>
      <c r="F734" s="341"/>
      <c r="G734" s="341"/>
      <c r="H734" s="342"/>
      <c r="I734" s="342"/>
    </row>
    <row r="735">
      <c r="A735" s="337"/>
      <c r="B735" s="337"/>
      <c r="C735" s="338"/>
      <c r="D735" s="339"/>
      <c r="E735" s="340"/>
      <c r="F735" s="341"/>
      <c r="G735" s="341"/>
      <c r="H735" s="342"/>
      <c r="I735" s="342"/>
    </row>
    <row r="736">
      <c r="A736" s="337"/>
      <c r="B736" s="337"/>
      <c r="C736" s="338"/>
      <c r="D736" s="339"/>
      <c r="E736" s="340"/>
      <c r="F736" s="341"/>
      <c r="G736" s="341"/>
      <c r="H736" s="342"/>
      <c r="I736" s="342"/>
    </row>
    <row r="737">
      <c r="A737" s="337"/>
      <c r="B737" s="337"/>
      <c r="C737" s="338"/>
      <c r="D737" s="339"/>
      <c r="E737" s="340"/>
      <c r="F737" s="341"/>
      <c r="G737" s="341"/>
      <c r="H737" s="342"/>
      <c r="I737" s="342"/>
    </row>
    <row r="738">
      <c r="A738" s="337"/>
      <c r="B738" s="337"/>
      <c r="C738" s="338"/>
      <c r="D738" s="339"/>
      <c r="E738" s="340"/>
      <c r="F738" s="341"/>
      <c r="G738" s="341"/>
      <c r="H738" s="342"/>
      <c r="I738" s="342"/>
    </row>
    <row r="739">
      <c r="A739" s="337"/>
      <c r="B739" s="337"/>
      <c r="C739" s="338"/>
      <c r="D739" s="339"/>
      <c r="E739" s="340"/>
      <c r="F739" s="341"/>
      <c r="G739" s="341"/>
      <c r="H739" s="342"/>
      <c r="I739" s="342"/>
    </row>
    <row r="740">
      <c r="A740" s="337"/>
      <c r="B740" s="337"/>
      <c r="C740" s="338"/>
      <c r="D740" s="339"/>
      <c r="E740" s="340"/>
      <c r="F740" s="341"/>
      <c r="G740" s="341"/>
      <c r="H740" s="342"/>
      <c r="I740" s="342"/>
    </row>
    <row r="741">
      <c r="A741" s="337"/>
      <c r="B741" s="337"/>
      <c r="C741" s="338"/>
      <c r="D741" s="339"/>
      <c r="E741" s="340"/>
      <c r="F741" s="341"/>
      <c r="G741" s="341"/>
      <c r="H741" s="342"/>
      <c r="I741" s="342"/>
    </row>
    <row r="742">
      <c r="A742" s="337"/>
      <c r="B742" s="337"/>
      <c r="C742" s="338"/>
      <c r="D742" s="339"/>
      <c r="E742" s="340"/>
      <c r="F742" s="341"/>
      <c r="G742" s="341"/>
      <c r="H742" s="342"/>
      <c r="I742" s="342"/>
    </row>
    <row r="743">
      <c r="A743" s="337"/>
      <c r="B743" s="337"/>
      <c r="C743" s="338"/>
      <c r="D743" s="339"/>
      <c r="E743" s="340"/>
      <c r="F743" s="341"/>
      <c r="G743" s="341"/>
      <c r="H743" s="342"/>
      <c r="I743" s="342"/>
    </row>
    <row r="744">
      <c r="A744" s="337"/>
      <c r="B744" s="337"/>
      <c r="C744" s="338"/>
      <c r="D744" s="339"/>
      <c r="E744" s="340"/>
      <c r="F744" s="341"/>
      <c r="G744" s="341"/>
      <c r="H744" s="342"/>
      <c r="I744" s="342"/>
    </row>
    <row r="745">
      <c r="A745" s="337"/>
      <c r="B745" s="337"/>
      <c r="C745" s="338"/>
      <c r="D745" s="339"/>
      <c r="E745" s="340"/>
      <c r="F745" s="341"/>
      <c r="G745" s="341"/>
      <c r="H745" s="342"/>
      <c r="I745" s="342"/>
    </row>
    <row r="746">
      <c r="A746" s="337"/>
      <c r="B746" s="337"/>
      <c r="C746" s="338"/>
      <c r="D746" s="339"/>
      <c r="E746" s="340"/>
      <c r="F746" s="341"/>
      <c r="G746" s="341"/>
      <c r="H746" s="342"/>
      <c r="I746" s="342"/>
    </row>
    <row r="747">
      <c r="A747" s="337"/>
      <c r="B747" s="337"/>
      <c r="C747" s="338"/>
      <c r="D747" s="339"/>
      <c r="E747" s="340"/>
      <c r="F747" s="341"/>
      <c r="G747" s="341"/>
      <c r="H747" s="342"/>
      <c r="I747" s="342"/>
    </row>
    <row r="748">
      <c r="A748" s="337"/>
      <c r="B748" s="337"/>
      <c r="C748" s="338"/>
      <c r="D748" s="339"/>
      <c r="E748" s="340"/>
      <c r="F748" s="341"/>
      <c r="G748" s="341"/>
      <c r="H748" s="342"/>
      <c r="I748" s="342"/>
    </row>
    <row r="749">
      <c r="A749" s="337"/>
      <c r="B749" s="337"/>
      <c r="C749" s="338"/>
      <c r="D749" s="339"/>
      <c r="E749" s="340"/>
      <c r="F749" s="341"/>
      <c r="G749" s="341"/>
      <c r="H749" s="342"/>
      <c r="I749" s="342"/>
    </row>
    <row r="750">
      <c r="A750" s="337"/>
      <c r="B750" s="337"/>
      <c r="C750" s="338"/>
      <c r="D750" s="339"/>
      <c r="E750" s="340"/>
      <c r="F750" s="341"/>
      <c r="G750" s="341"/>
      <c r="H750" s="342"/>
      <c r="I750" s="342"/>
    </row>
    <row r="751">
      <c r="A751" s="337"/>
      <c r="B751" s="337"/>
      <c r="C751" s="338"/>
      <c r="D751" s="339"/>
      <c r="E751" s="340"/>
      <c r="F751" s="341"/>
      <c r="G751" s="341"/>
      <c r="H751" s="342"/>
      <c r="I751" s="342"/>
    </row>
    <row r="752">
      <c r="A752" s="337"/>
      <c r="B752" s="337"/>
      <c r="C752" s="338"/>
      <c r="D752" s="339"/>
      <c r="E752" s="340"/>
      <c r="F752" s="341"/>
      <c r="G752" s="341"/>
      <c r="H752" s="342"/>
      <c r="I752" s="342"/>
    </row>
    <row r="753">
      <c r="A753" s="337"/>
      <c r="B753" s="337"/>
      <c r="C753" s="338"/>
      <c r="D753" s="339"/>
      <c r="E753" s="340"/>
      <c r="F753" s="341"/>
      <c r="G753" s="341"/>
      <c r="H753" s="342"/>
      <c r="I753" s="342"/>
    </row>
    <row r="754">
      <c r="A754" s="337"/>
      <c r="B754" s="337"/>
      <c r="C754" s="338"/>
      <c r="D754" s="339"/>
      <c r="E754" s="340"/>
      <c r="F754" s="341"/>
      <c r="G754" s="341"/>
      <c r="H754" s="342"/>
      <c r="I754" s="342"/>
    </row>
    <row r="755">
      <c r="A755" s="337"/>
      <c r="B755" s="337"/>
      <c r="C755" s="338"/>
      <c r="D755" s="339"/>
      <c r="E755" s="340"/>
      <c r="F755" s="341"/>
      <c r="G755" s="341"/>
      <c r="H755" s="342"/>
      <c r="I755" s="342"/>
    </row>
    <row r="756">
      <c r="A756" s="337"/>
      <c r="B756" s="337"/>
      <c r="C756" s="338"/>
      <c r="D756" s="339"/>
      <c r="E756" s="340"/>
      <c r="F756" s="341"/>
      <c r="G756" s="341"/>
      <c r="H756" s="342"/>
      <c r="I756" s="342"/>
    </row>
    <row r="757">
      <c r="A757" s="337"/>
      <c r="B757" s="337"/>
      <c r="C757" s="338"/>
      <c r="D757" s="339"/>
      <c r="E757" s="340"/>
      <c r="F757" s="341"/>
      <c r="G757" s="341"/>
      <c r="H757" s="342"/>
      <c r="I757" s="342"/>
    </row>
    <row r="758">
      <c r="A758" s="337"/>
      <c r="B758" s="337"/>
      <c r="C758" s="338"/>
      <c r="D758" s="339"/>
      <c r="E758" s="340"/>
      <c r="F758" s="341"/>
      <c r="G758" s="341"/>
      <c r="H758" s="342"/>
      <c r="I758" s="342"/>
    </row>
    <row r="759">
      <c r="A759" s="337"/>
      <c r="B759" s="337"/>
      <c r="C759" s="338"/>
      <c r="D759" s="339"/>
      <c r="E759" s="340"/>
      <c r="F759" s="341"/>
      <c r="G759" s="341"/>
      <c r="H759" s="342"/>
      <c r="I759" s="342"/>
    </row>
    <row r="760">
      <c r="A760" s="337"/>
      <c r="B760" s="337"/>
      <c r="C760" s="338"/>
      <c r="D760" s="339"/>
      <c r="E760" s="340"/>
      <c r="F760" s="341"/>
      <c r="G760" s="341"/>
      <c r="H760" s="342"/>
      <c r="I760" s="342"/>
    </row>
    <row r="761">
      <c r="A761" s="337"/>
      <c r="B761" s="337"/>
      <c r="C761" s="338"/>
      <c r="D761" s="339"/>
      <c r="E761" s="340"/>
      <c r="F761" s="341"/>
      <c r="G761" s="341"/>
      <c r="H761" s="342"/>
      <c r="I761" s="342"/>
    </row>
    <row r="762">
      <c r="A762" s="337"/>
      <c r="B762" s="337"/>
      <c r="C762" s="338"/>
      <c r="D762" s="339"/>
      <c r="E762" s="340"/>
      <c r="F762" s="341"/>
      <c r="G762" s="341"/>
      <c r="H762" s="342"/>
      <c r="I762" s="342"/>
    </row>
    <row r="763">
      <c r="A763" s="337"/>
      <c r="B763" s="337"/>
      <c r="C763" s="338"/>
      <c r="D763" s="339"/>
      <c r="E763" s="340"/>
      <c r="F763" s="341"/>
      <c r="G763" s="341"/>
      <c r="H763" s="342"/>
      <c r="I763" s="342"/>
    </row>
    <row r="764">
      <c r="A764" s="337"/>
      <c r="B764" s="337"/>
      <c r="C764" s="338"/>
      <c r="D764" s="339"/>
      <c r="E764" s="340"/>
      <c r="F764" s="341"/>
      <c r="G764" s="341"/>
      <c r="H764" s="342"/>
      <c r="I764" s="342"/>
    </row>
    <row r="765">
      <c r="A765" s="337"/>
      <c r="B765" s="337"/>
      <c r="C765" s="338"/>
      <c r="D765" s="339"/>
      <c r="E765" s="340"/>
      <c r="F765" s="341"/>
      <c r="G765" s="341"/>
      <c r="H765" s="342"/>
      <c r="I765" s="342"/>
    </row>
    <row r="766">
      <c r="A766" s="337"/>
      <c r="B766" s="337"/>
      <c r="C766" s="338"/>
      <c r="D766" s="339"/>
      <c r="E766" s="340"/>
      <c r="F766" s="341"/>
      <c r="G766" s="341"/>
      <c r="H766" s="342"/>
      <c r="I766" s="342"/>
    </row>
    <row r="767">
      <c r="A767" s="337"/>
      <c r="B767" s="337"/>
      <c r="C767" s="338"/>
      <c r="D767" s="339"/>
      <c r="E767" s="340"/>
      <c r="F767" s="341"/>
      <c r="G767" s="341"/>
      <c r="H767" s="342"/>
      <c r="I767" s="342"/>
    </row>
    <row r="768">
      <c r="A768" s="337"/>
      <c r="B768" s="337"/>
      <c r="C768" s="338"/>
      <c r="D768" s="339"/>
      <c r="E768" s="340"/>
      <c r="F768" s="341"/>
      <c r="G768" s="341"/>
      <c r="H768" s="342"/>
      <c r="I768" s="342"/>
    </row>
    <row r="769">
      <c r="A769" s="337"/>
      <c r="B769" s="337"/>
      <c r="C769" s="338"/>
      <c r="D769" s="339"/>
      <c r="E769" s="340"/>
      <c r="F769" s="341"/>
      <c r="G769" s="341"/>
      <c r="H769" s="342"/>
      <c r="I769" s="342"/>
    </row>
    <row r="770">
      <c r="A770" s="337"/>
      <c r="B770" s="337"/>
      <c r="C770" s="338"/>
      <c r="D770" s="339"/>
      <c r="E770" s="340"/>
      <c r="F770" s="341"/>
      <c r="G770" s="341"/>
      <c r="H770" s="342"/>
      <c r="I770" s="342"/>
    </row>
    <row r="771">
      <c r="A771" s="337"/>
      <c r="B771" s="337"/>
      <c r="C771" s="338"/>
      <c r="D771" s="339"/>
      <c r="E771" s="340"/>
      <c r="F771" s="341"/>
      <c r="G771" s="341"/>
      <c r="H771" s="342"/>
      <c r="I771" s="342"/>
    </row>
    <row r="772">
      <c r="A772" s="337"/>
      <c r="B772" s="337"/>
      <c r="C772" s="338"/>
      <c r="D772" s="339"/>
      <c r="E772" s="340"/>
      <c r="F772" s="341"/>
      <c r="G772" s="341"/>
      <c r="H772" s="342"/>
      <c r="I772" s="342"/>
    </row>
    <row r="773">
      <c r="A773" s="337"/>
      <c r="B773" s="337"/>
      <c r="C773" s="338"/>
      <c r="D773" s="339"/>
      <c r="E773" s="340"/>
      <c r="F773" s="341"/>
      <c r="G773" s="341"/>
      <c r="H773" s="342"/>
      <c r="I773" s="342"/>
    </row>
    <row r="774">
      <c r="A774" s="337"/>
      <c r="B774" s="337"/>
      <c r="C774" s="338"/>
      <c r="D774" s="339"/>
      <c r="E774" s="340"/>
      <c r="F774" s="341"/>
      <c r="G774" s="341"/>
      <c r="H774" s="342"/>
      <c r="I774" s="342"/>
    </row>
    <row r="775">
      <c r="A775" s="337"/>
      <c r="B775" s="337"/>
      <c r="C775" s="338"/>
      <c r="D775" s="339"/>
      <c r="E775" s="340"/>
      <c r="F775" s="341"/>
      <c r="G775" s="341"/>
      <c r="H775" s="342"/>
      <c r="I775" s="342"/>
    </row>
    <row r="776">
      <c r="A776" s="337"/>
      <c r="B776" s="337"/>
      <c r="C776" s="338"/>
      <c r="D776" s="339"/>
      <c r="E776" s="340"/>
      <c r="F776" s="341"/>
      <c r="G776" s="341"/>
      <c r="H776" s="342"/>
      <c r="I776" s="342"/>
    </row>
    <row r="777">
      <c r="A777" s="337"/>
      <c r="B777" s="337"/>
      <c r="C777" s="338"/>
      <c r="D777" s="339"/>
      <c r="E777" s="340"/>
      <c r="F777" s="341"/>
      <c r="G777" s="341"/>
      <c r="H777" s="342"/>
      <c r="I777" s="342"/>
    </row>
    <row r="778">
      <c r="A778" s="337"/>
      <c r="B778" s="337"/>
      <c r="C778" s="338"/>
      <c r="D778" s="339"/>
      <c r="E778" s="340"/>
      <c r="F778" s="341"/>
      <c r="G778" s="341"/>
      <c r="H778" s="342"/>
      <c r="I778" s="342"/>
    </row>
    <row r="779">
      <c r="A779" s="337"/>
      <c r="B779" s="337"/>
      <c r="C779" s="338"/>
      <c r="D779" s="339"/>
      <c r="E779" s="340"/>
      <c r="F779" s="341"/>
      <c r="G779" s="341"/>
      <c r="H779" s="342"/>
      <c r="I779" s="342"/>
    </row>
    <row r="780">
      <c r="A780" s="337"/>
      <c r="B780" s="337"/>
      <c r="C780" s="338"/>
      <c r="D780" s="339"/>
      <c r="E780" s="340"/>
      <c r="F780" s="341"/>
      <c r="G780" s="341"/>
      <c r="H780" s="342"/>
      <c r="I780" s="342"/>
    </row>
    <row r="781">
      <c r="A781" s="337"/>
      <c r="B781" s="337"/>
      <c r="C781" s="338"/>
      <c r="D781" s="339"/>
      <c r="E781" s="340"/>
      <c r="F781" s="341"/>
      <c r="G781" s="341"/>
      <c r="H781" s="342"/>
      <c r="I781" s="342"/>
    </row>
    <row r="782">
      <c r="A782" s="337"/>
      <c r="B782" s="337"/>
      <c r="C782" s="338"/>
      <c r="D782" s="339"/>
      <c r="E782" s="340"/>
      <c r="F782" s="341"/>
      <c r="G782" s="341"/>
      <c r="H782" s="342"/>
      <c r="I782" s="342"/>
    </row>
    <row r="783">
      <c r="A783" s="337"/>
      <c r="B783" s="337"/>
      <c r="C783" s="338"/>
      <c r="D783" s="339"/>
      <c r="E783" s="340"/>
      <c r="F783" s="341"/>
      <c r="G783" s="341"/>
      <c r="H783" s="342"/>
      <c r="I783" s="342"/>
    </row>
    <row r="784">
      <c r="A784" s="337"/>
      <c r="B784" s="337"/>
      <c r="C784" s="338"/>
      <c r="D784" s="339"/>
      <c r="E784" s="340"/>
      <c r="F784" s="341"/>
      <c r="G784" s="341"/>
      <c r="H784" s="342"/>
      <c r="I784" s="342"/>
    </row>
    <row r="785">
      <c r="A785" s="337"/>
      <c r="B785" s="337"/>
      <c r="C785" s="338"/>
      <c r="D785" s="339"/>
      <c r="E785" s="340"/>
      <c r="F785" s="341"/>
      <c r="G785" s="341"/>
      <c r="H785" s="342"/>
      <c r="I785" s="342"/>
    </row>
    <row r="786">
      <c r="A786" s="337"/>
      <c r="B786" s="337"/>
      <c r="C786" s="338"/>
      <c r="D786" s="339"/>
      <c r="E786" s="340"/>
      <c r="F786" s="341"/>
      <c r="G786" s="341"/>
      <c r="H786" s="342"/>
      <c r="I786" s="342"/>
    </row>
    <row r="787">
      <c r="A787" s="337"/>
      <c r="B787" s="337"/>
      <c r="C787" s="338"/>
      <c r="D787" s="339"/>
      <c r="E787" s="340"/>
      <c r="F787" s="341"/>
      <c r="G787" s="341"/>
      <c r="H787" s="342"/>
      <c r="I787" s="342"/>
    </row>
    <row r="788">
      <c r="A788" s="337"/>
      <c r="B788" s="337"/>
      <c r="C788" s="338"/>
      <c r="D788" s="339"/>
      <c r="E788" s="340"/>
      <c r="F788" s="341"/>
      <c r="G788" s="341"/>
      <c r="H788" s="342"/>
      <c r="I788" s="342"/>
    </row>
    <row r="789">
      <c r="A789" s="337"/>
      <c r="B789" s="337"/>
      <c r="C789" s="338"/>
      <c r="D789" s="339"/>
      <c r="E789" s="340"/>
      <c r="F789" s="341"/>
      <c r="G789" s="341"/>
      <c r="H789" s="342"/>
      <c r="I789" s="342"/>
    </row>
    <row r="790">
      <c r="A790" s="337"/>
      <c r="B790" s="337"/>
      <c r="C790" s="338"/>
      <c r="D790" s="339"/>
      <c r="E790" s="340"/>
      <c r="F790" s="341"/>
      <c r="G790" s="341"/>
      <c r="H790" s="342"/>
      <c r="I790" s="342"/>
    </row>
    <row r="791">
      <c r="A791" s="337"/>
      <c r="B791" s="337"/>
      <c r="C791" s="338"/>
      <c r="D791" s="339"/>
      <c r="E791" s="340"/>
      <c r="F791" s="341"/>
      <c r="G791" s="341"/>
      <c r="H791" s="342"/>
      <c r="I791" s="342"/>
    </row>
    <row r="792">
      <c r="A792" s="337"/>
      <c r="B792" s="337"/>
      <c r="C792" s="338"/>
      <c r="D792" s="339"/>
      <c r="E792" s="340"/>
      <c r="F792" s="341"/>
      <c r="G792" s="341"/>
      <c r="H792" s="342"/>
      <c r="I792" s="342"/>
    </row>
    <row r="793">
      <c r="A793" s="337"/>
      <c r="B793" s="337"/>
      <c r="C793" s="338"/>
      <c r="D793" s="339"/>
      <c r="E793" s="340"/>
      <c r="F793" s="341"/>
      <c r="G793" s="341"/>
      <c r="H793" s="342"/>
      <c r="I793" s="342"/>
    </row>
    <row r="794">
      <c r="A794" s="337"/>
      <c r="B794" s="337"/>
      <c r="C794" s="338"/>
      <c r="D794" s="339"/>
      <c r="E794" s="340"/>
      <c r="F794" s="341"/>
      <c r="G794" s="341"/>
      <c r="H794" s="342"/>
      <c r="I794" s="342"/>
    </row>
    <row r="795">
      <c r="A795" s="337"/>
      <c r="B795" s="337"/>
      <c r="C795" s="338"/>
      <c r="D795" s="339"/>
      <c r="E795" s="340"/>
      <c r="F795" s="341"/>
      <c r="G795" s="341"/>
      <c r="H795" s="342"/>
      <c r="I795" s="342"/>
    </row>
    <row r="796">
      <c r="A796" s="337"/>
      <c r="B796" s="337"/>
      <c r="C796" s="338"/>
      <c r="D796" s="339"/>
      <c r="E796" s="340"/>
      <c r="F796" s="341"/>
      <c r="G796" s="341"/>
      <c r="H796" s="342"/>
      <c r="I796" s="342"/>
    </row>
    <row r="797">
      <c r="A797" s="337"/>
      <c r="B797" s="337"/>
      <c r="C797" s="338"/>
      <c r="D797" s="339"/>
      <c r="E797" s="340"/>
      <c r="F797" s="341"/>
      <c r="G797" s="341"/>
      <c r="H797" s="342"/>
      <c r="I797" s="342"/>
    </row>
    <row r="798">
      <c r="A798" s="337"/>
      <c r="B798" s="337"/>
      <c r="C798" s="338"/>
      <c r="D798" s="339"/>
      <c r="E798" s="340"/>
      <c r="F798" s="341"/>
      <c r="G798" s="341"/>
      <c r="H798" s="342"/>
      <c r="I798" s="342"/>
    </row>
    <row r="799">
      <c r="A799" s="337"/>
      <c r="B799" s="337"/>
      <c r="C799" s="338"/>
      <c r="D799" s="339"/>
      <c r="E799" s="340"/>
      <c r="F799" s="341"/>
      <c r="G799" s="341"/>
      <c r="H799" s="342"/>
      <c r="I799" s="342"/>
    </row>
    <row r="800">
      <c r="A800" s="337"/>
      <c r="B800" s="337"/>
      <c r="C800" s="338"/>
      <c r="D800" s="339"/>
      <c r="E800" s="340"/>
      <c r="F800" s="341"/>
      <c r="G800" s="341"/>
      <c r="H800" s="342"/>
      <c r="I800" s="342"/>
    </row>
    <row r="801">
      <c r="A801" s="337"/>
      <c r="B801" s="337"/>
      <c r="C801" s="338"/>
      <c r="D801" s="339"/>
      <c r="E801" s="340"/>
      <c r="F801" s="341"/>
      <c r="G801" s="341"/>
      <c r="H801" s="342"/>
      <c r="I801" s="342"/>
    </row>
    <row r="802">
      <c r="A802" s="337"/>
      <c r="B802" s="337"/>
      <c r="C802" s="338"/>
      <c r="D802" s="339"/>
      <c r="E802" s="340"/>
      <c r="F802" s="341"/>
      <c r="G802" s="341"/>
      <c r="H802" s="342"/>
      <c r="I802" s="342"/>
    </row>
    <row r="803">
      <c r="A803" s="337"/>
      <c r="B803" s="337"/>
      <c r="C803" s="338"/>
      <c r="D803" s="339"/>
      <c r="E803" s="340"/>
      <c r="F803" s="341"/>
      <c r="G803" s="341"/>
      <c r="H803" s="342"/>
      <c r="I803" s="342"/>
    </row>
    <row r="804">
      <c r="A804" s="337"/>
      <c r="B804" s="337"/>
      <c r="C804" s="338"/>
      <c r="D804" s="339"/>
      <c r="E804" s="340"/>
      <c r="F804" s="341"/>
      <c r="G804" s="341"/>
      <c r="H804" s="342"/>
      <c r="I804" s="342"/>
    </row>
    <row r="805">
      <c r="A805" s="337"/>
      <c r="B805" s="337"/>
      <c r="C805" s="338"/>
      <c r="D805" s="339"/>
      <c r="E805" s="340"/>
      <c r="F805" s="341"/>
      <c r="G805" s="341"/>
      <c r="H805" s="342"/>
      <c r="I805" s="342"/>
    </row>
    <row r="806">
      <c r="A806" s="337"/>
      <c r="B806" s="337"/>
      <c r="C806" s="338"/>
      <c r="D806" s="339"/>
      <c r="E806" s="340"/>
      <c r="F806" s="341"/>
      <c r="G806" s="341"/>
      <c r="H806" s="342"/>
      <c r="I806" s="342"/>
    </row>
    <row r="807">
      <c r="A807" s="337"/>
      <c r="B807" s="337"/>
      <c r="C807" s="338"/>
      <c r="D807" s="339"/>
      <c r="E807" s="340"/>
      <c r="F807" s="341"/>
      <c r="G807" s="341"/>
      <c r="H807" s="342"/>
      <c r="I807" s="342"/>
    </row>
    <row r="808">
      <c r="A808" s="337"/>
      <c r="B808" s="337"/>
      <c r="C808" s="338"/>
      <c r="D808" s="339"/>
      <c r="E808" s="340"/>
      <c r="F808" s="341"/>
      <c r="G808" s="341"/>
      <c r="H808" s="342"/>
      <c r="I808" s="342"/>
    </row>
    <row r="809">
      <c r="A809" s="337"/>
      <c r="B809" s="337"/>
      <c r="C809" s="338"/>
      <c r="D809" s="339"/>
      <c r="E809" s="340"/>
      <c r="F809" s="341"/>
      <c r="G809" s="341"/>
      <c r="H809" s="342"/>
      <c r="I809" s="342"/>
    </row>
    <row r="810">
      <c r="A810" s="337"/>
      <c r="B810" s="337"/>
      <c r="C810" s="338"/>
      <c r="D810" s="339"/>
      <c r="E810" s="340"/>
      <c r="F810" s="341"/>
      <c r="G810" s="341"/>
      <c r="H810" s="342"/>
      <c r="I810" s="342"/>
    </row>
    <row r="811">
      <c r="A811" s="337"/>
      <c r="B811" s="337"/>
      <c r="C811" s="338"/>
      <c r="D811" s="339"/>
      <c r="E811" s="340"/>
      <c r="F811" s="341"/>
      <c r="G811" s="341"/>
      <c r="H811" s="342"/>
      <c r="I811" s="342"/>
    </row>
    <row r="812">
      <c r="A812" s="337"/>
      <c r="B812" s="337"/>
      <c r="C812" s="338"/>
      <c r="D812" s="339"/>
      <c r="E812" s="340"/>
      <c r="F812" s="341"/>
      <c r="G812" s="341"/>
      <c r="H812" s="342"/>
      <c r="I812" s="342"/>
    </row>
    <row r="813">
      <c r="A813" s="337"/>
      <c r="B813" s="337"/>
      <c r="C813" s="338"/>
      <c r="D813" s="339"/>
      <c r="E813" s="340"/>
      <c r="F813" s="341"/>
      <c r="G813" s="341"/>
      <c r="H813" s="342"/>
      <c r="I813" s="342"/>
    </row>
    <row r="814">
      <c r="A814" s="337"/>
      <c r="B814" s="337"/>
      <c r="C814" s="338"/>
      <c r="D814" s="339"/>
      <c r="E814" s="340"/>
      <c r="F814" s="341"/>
      <c r="G814" s="341"/>
      <c r="H814" s="342"/>
      <c r="I814" s="342"/>
    </row>
    <row r="815">
      <c r="A815" s="337"/>
      <c r="B815" s="337"/>
      <c r="C815" s="338"/>
      <c r="D815" s="339"/>
      <c r="E815" s="340"/>
      <c r="F815" s="341"/>
      <c r="G815" s="341"/>
      <c r="H815" s="342"/>
      <c r="I815" s="342"/>
    </row>
    <row r="816">
      <c r="A816" s="337"/>
      <c r="B816" s="337"/>
      <c r="C816" s="338"/>
      <c r="D816" s="339"/>
      <c r="E816" s="340"/>
      <c r="F816" s="341"/>
      <c r="G816" s="341"/>
      <c r="H816" s="342"/>
      <c r="I816" s="342"/>
    </row>
    <row r="817">
      <c r="A817" s="337"/>
      <c r="B817" s="337"/>
      <c r="C817" s="338"/>
      <c r="D817" s="339"/>
      <c r="E817" s="340"/>
      <c r="F817" s="341"/>
      <c r="G817" s="341"/>
      <c r="H817" s="342"/>
      <c r="I817" s="342"/>
    </row>
    <row r="818">
      <c r="A818" s="337"/>
      <c r="B818" s="337"/>
      <c r="C818" s="338"/>
      <c r="D818" s="339"/>
      <c r="E818" s="340"/>
      <c r="F818" s="341"/>
      <c r="G818" s="341"/>
      <c r="H818" s="342"/>
      <c r="I818" s="342"/>
    </row>
    <row r="819">
      <c r="A819" s="337"/>
      <c r="B819" s="337"/>
      <c r="C819" s="338"/>
      <c r="D819" s="339"/>
      <c r="E819" s="340"/>
      <c r="F819" s="341"/>
      <c r="G819" s="341"/>
      <c r="H819" s="342"/>
      <c r="I819" s="342"/>
    </row>
    <row r="820">
      <c r="A820" s="337"/>
      <c r="B820" s="337"/>
      <c r="C820" s="338"/>
      <c r="D820" s="339"/>
      <c r="E820" s="340"/>
      <c r="F820" s="341"/>
      <c r="G820" s="341"/>
      <c r="H820" s="342"/>
      <c r="I820" s="342"/>
    </row>
    <row r="821">
      <c r="A821" s="337"/>
      <c r="B821" s="337"/>
      <c r="C821" s="338"/>
      <c r="D821" s="339"/>
      <c r="E821" s="340"/>
      <c r="F821" s="341"/>
      <c r="G821" s="341"/>
      <c r="H821" s="342"/>
      <c r="I821" s="342"/>
    </row>
    <row r="822">
      <c r="A822" s="337"/>
      <c r="B822" s="337"/>
      <c r="C822" s="338"/>
      <c r="D822" s="339"/>
      <c r="E822" s="340"/>
      <c r="F822" s="341"/>
      <c r="G822" s="341"/>
      <c r="H822" s="342"/>
      <c r="I822" s="342"/>
    </row>
    <row r="823">
      <c r="A823" s="337"/>
      <c r="B823" s="337"/>
      <c r="C823" s="338"/>
      <c r="D823" s="339"/>
      <c r="E823" s="340"/>
      <c r="F823" s="341"/>
      <c r="G823" s="341"/>
      <c r="H823" s="342"/>
      <c r="I823" s="342"/>
    </row>
    <row r="824">
      <c r="A824" s="337"/>
      <c r="B824" s="337"/>
      <c r="C824" s="338"/>
      <c r="D824" s="339"/>
      <c r="E824" s="340"/>
      <c r="F824" s="341"/>
      <c r="G824" s="341"/>
      <c r="H824" s="342"/>
      <c r="I824" s="342"/>
    </row>
    <row r="825">
      <c r="A825" s="337"/>
      <c r="B825" s="337"/>
      <c r="C825" s="338"/>
      <c r="D825" s="339"/>
      <c r="E825" s="340"/>
      <c r="F825" s="341"/>
      <c r="G825" s="341"/>
      <c r="H825" s="342"/>
      <c r="I825" s="342"/>
    </row>
    <row r="826">
      <c r="A826" s="337"/>
      <c r="B826" s="337"/>
      <c r="C826" s="338"/>
      <c r="D826" s="339"/>
      <c r="E826" s="340"/>
      <c r="F826" s="341"/>
      <c r="G826" s="341"/>
      <c r="H826" s="342"/>
      <c r="I826" s="342"/>
    </row>
    <row r="827">
      <c r="A827" s="337"/>
      <c r="B827" s="337"/>
      <c r="C827" s="338"/>
      <c r="D827" s="339"/>
      <c r="E827" s="340"/>
      <c r="F827" s="341"/>
      <c r="G827" s="341"/>
      <c r="H827" s="342"/>
      <c r="I827" s="342"/>
    </row>
    <row r="828">
      <c r="A828" s="337"/>
      <c r="B828" s="337"/>
      <c r="C828" s="338"/>
      <c r="D828" s="339"/>
      <c r="E828" s="340"/>
      <c r="F828" s="341"/>
      <c r="G828" s="341"/>
      <c r="H828" s="342"/>
      <c r="I828" s="342"/>
    </row>
    <row r="829">
      <c r="A829" s="337"/>
      <c r="B829" s="337"/>
      <c r="C829" s="338"/>
      <c r="D829" s="339"/>
      <c r="E829" s="340"/>
      <c r="F829" s="341"/>
      <c r="G829" s="341"/>
      <c r="H829" s="342"/>
      <c r="I829" s="342"/>
    </row>
    <row r="830">
      <c r="A830" s="337"/>
      <c r="B830" s="337"/>
      <c r="C830" s="338"/>
      <c r="D830" s="339"/>
      <c r="E830" s="340"/>
      <c r="F830" s="341"/>
      <c r="G830" s="341"/>
      <c r="H830" s="342"/>
      <c r="I830" s="342"/>
    </row>
    <row r="831">
      <c r="A831" s="337"/>
      <c r="B831" s="337"/>
      <c r="C831" s="338"/>
      <c r="D831" s="339"/>
      <c r="E831" s="340"/>
      <c r="F831" s="341"/>
      <c r="G831" s="341"/>
      <c r="H831" s="342"/>
      <c r="I831" s="342"/>
    </row>
    <row r="832">
      <c r="A832" s="337"/>
      <c r="B832" s="337"/>
      <c r="C832" s="338"/>
      <c r="D832" s="339"/>
      <c r="E832" s="340"/>
      <c r="F832" s="341"/>
      <c r="G832" s="341"/>
      <c r="H832" s="342"/>
      <c r="I832" s="342"/>
    </row>
    <row r="833">
      <c r="A833" s="337"/>
      <c r="B833" s="337"/>
      <c r="C833" s="338"/>
      <c r="D833" s="339"/>
      <c r="E833" s="340"/>
      <c r="F833" s="341"/>
      <c r="G833" s="341"/>
      <c r="H833" s="342"/>
      <c r="I833" s="342"/>
    </row>
    <row r="834">
      <c r="A834" s="337"/>
      <c r="B834" s="337"/>
      <c r="C834" s="338"/>
      <c r="D834" s="339"/>
      <c r="E834" s="340"/>
      <c r="F834" s="341"/>
      <c r="G834" s="341"/>
      <c r="H834" s="342"/>
      <c r="I834" s="342"/>
    </row>
    <row r="835">
      <c r="A835" s="337"/>
      <c r="B835" s="337"/>
      <c r="C835" s="338"/>
      <c r="D835" s="339"/>
      <c r="E835" s="340"/>
      <c r="F835" s="341"/>
      <c r="G835" s="341"/>
      <c r="H835" s="342"/>
      <c r="I835" s="342"/>
    </row>
    <row r="836">
      <c r="A836" s="337"/>
      <c r="B836" s="337"/>
      <c r="C836" s="338"/>
      <c r="D836" s="339"/>
      <c r="E836" s="340"/>
      <c r="F836" s="341"/>
      <c r="G836" s="341"/>
      <c r="H836" s="342"/>
      <c r="I836" s="342"/>
    </row>
    <row r="837">
      <c r="A837" s="337"/>
      <c r="B837" s="337"/>
      <c r="C837" s="338"/>
      <c r="D837" s="339"/>
      <c r="E837" s="340"/>
      <c r="F837" s="341"/>
      <c r="G837" s="341"/>
      <c r="H837" s="342"/>
      <c r="I837" s="342"/>
    </row>
    <row r="838">
      <c r="A838" s="337"/>
      <c r="B838" s="337"/>
      <c r="C838" s="338"/>
      <c r="D838" s="339"/>
      <c r="E838" s="340"/>
      <c r="F838" s="341"/>
      <c r="G838" s="341"/>
      <c r="H838" s="342"/>
      <c r="I838" s="342"/>
    </row>
    <row r="839">
      <c r="A839" s="337"/>
      <c r="B839" s="337"/>
      <c r="C839" s="338"/>
      <c r="D839" s="339"/>
      <c r="E839" s="340"/>
      <c r="F839" s="341"/>
      <c r="G839" s="341"/>
      <c r="H839" s="342"/>
      <c r="I839" s="342"/>
    </row>
    <row r="840">
      <c r="A840" s="337"/>
      <c r="B840" s="337"/>
      <c r="C840" s="338"/>
      <c r="D840" s="339"/>
      <c r="E840" s="340"/>
      <c r="F840" s="341"/>
      <c r="G840" s="341"/>
      <c r="H840" s="342"/>
      <c r="I840" s="342"/>
    </row>
    <row r="841">
      <c r="A841" s="337"/>
      <c r="B841" s="337"/>
      <c r="C841" s="338"/>
      <c r="D841" s="339"/>
      <c r="E841" s="340"/>
      <c r="F841" s="341"/>
      <c r="G841" s="341"/>
      <c r="H841" s="342"/>
      <c r="I841" s="342"/>
    </row>
    <row r="842">
      <c r="A842" s="337"/>
      <c r="B842" s="337"/>
      <c r="C842" s="338"/>
      <c r="D842" s="339"/>
      <c r="E842" s="340"/>
      <c r="F842" s="341"/>
      <c r="G842" s="341"/>
      <c r="H842" s="342"/>
      <c r="I842" s="342"/>
    </row>
    <row r="843">
      <c r="A843" s="337"/>
      <c r="B843" s="337"/>
      <c r="C843" s="338"/>
      <c r="D843" s="339"/>
      <c r="E843" s="340"/>
      <c r="F843" s="341"/>
      <c r="G843" s="341"/>
      <c r="H843" s="342"/>
      <c r="I843" s="342"/>
    </row>
    <row r="844">
      <c r="A844" s="337"/>
      <c r="B844" s="337"/>
      <c r="C844" s="338"/>
      <c r="D844" s="339"/>
      <c r="E844" s="340"/>
      <c r="F844" s="341"/>
      <c r="G844" s="341"/>
      <c r="H844" s="342"/>
      <c r="I844" s="342"/>
    </row>
    <row r="845">
      <c r="A845" s="337"/>
      <c r="B845" s="337"/>
      <c r="C845" s="338"/>
      <c r="D845" s="339"/>
      <c r="E845" s="340"/>
      <c r="F845" s="341"/>
      <c r="G845" s="341"/>
      <c r="H845" s="342"/>
      <c r="I845" s="342"/>
    </row>
    <row r="846">
      <c r="A846" s="337"/>
      <c r="B846" s="337"/>
      <c r="C846" s="338"/>
      <c r="D846" s="339"/>
      <c r="E846" s="340"/>
      <c r="F846" s="341"/>
      <c r="G846" s="341"/>
      <c r="H846" s="342"/>
      <c r="I846" s="342"/>
    </row>
    <row r="847">
      <c r="A847" s="337"/>
      <c r="B847" s="337"/>
      <c r="C847" s="338"/>
      <c r="D847" s="339"/>
      <c r="E847" s="340"/>
      <c r="F847" s="341"/>
      <c r="G847" s="341"/>
      <c r="H847" s="342"/>
      <c r="I847" s="342"/>
    </row>
    <row r="848">
      <c r="A848" s="337"/>
      <c r="B848" s="337"/>
      <c r="C848" s="338"/>
      <c r="D848" s="339"/>
      <c r="E848" s="340"/>
      <c r="F848" s="341"/>
      <c r="G848" s="341"/>
      <c r="H848" s="342"/>
      <c r="I848" s="342"/>
    </row>
    <row r="849">
      <c r="A849" s="337"/>
      <c r="B849" s="337"/>
      <c r="C849" s="338"/>
      <c r="D849" s="339"/>
      <c r="E849" s="340"/>
      <c r="F849" s="341"/>
      <c r="G849" s="341"/>
      <c r="H849" s="342"/>
      <c r="I849" s="342"/>
    </row>
    <row r="850">
      <c r="A850" s="337"/>
      <c r="B850" s="337"/>
      <c r="C850" s="338"/>
      <c r="D850" s="339"/>
      <c r="E850" s="340"/>
      <c r="F850" s="341"/>
      <c r="G850" s="341"/>
      <c r="H850" s="342"/>
      <c r="I850" s="342"/>
    </row>
    <row r="851">
      <c r="A851" s="337"/>
      <c r="B851" s="337"/>
      <c r="C851" s="338"/>
      <c r="D851" s="339"/>
      <c r="E851" s="340"/>
      <c r="F851" s="341"/>
      <c r="G851" s="341"/>
      <c r="H851" s="342"/>
      <c r="I851" s="342"/>
    </row>
    <row r="852">
      <c r="A852" s="337"/>
      <c r="B852" s="337"/>
      <c r="C852" s="338"/>
      <c r="D852" s="339"/>
      <c r="E852" s="340"/>
      <c r="F852" s="341"/>
      <c r="G852" s="341"/>
      <c r="H852" s="342"/>
      <c r="I852" s="342"/>
    </row>
    <row r="853">
      <c r="A853" s="337"/>
      <c r="B853" s="337"/>
      <c r="C853" s="338"/>
      <c r="D853" s="339"/>
      <c r="E853" s="340"/>
      <c r="F853" s="341"/>
      <c r="G853" s="341"/>
      <c r="H853" s="342"/>
      <c r="I853" s="342"/>
    </row>
    <row r="854">
      <c r="A854" s="337"/>
      <c r="B854" s="337"/>
      <c r="C854" s="338"/>
      <c r="D854" s="339"/>
      <c r="E854" s="340"/>
      <c r="F854" s="341"/>
      <c r="G854" s="341"/>
      <c r="H854" s="342"/>
      <c r="I854" s="342"/>
    </row>
    <row r="855">
      <c r="A855" s="337"/>
      <c r="B855" s="337"/>
      <c r="C855" s="338"/>
      <c r="D855" s="339"/>
      <c r="E855" s="340"/>
      <c r="F855" s="341"/>
      <c r="G855" s="341"/>
      <c r="H855" s="342"/>
      <c r="I855" s="342"/>
    </row>
    <row r="856">
      <c r="A856" s="337"/>
      <c r="B856" s="337"/>
      <c r="C856" s="338"/>
      <c r="D856" s="339"/>
      <c r="E856" s="340"/>
      <c r="F856" s="341"/>
      <c r="G856" s="341"/>
      <c r="H856" s="342"/>
      <c r="I856" s="342"/>
    </row>
    <row r="857">
      <c r="A857" s="337"/>
      <c r="B857" s="337"/>
      <c r="C857" s="338"/>
      <c r="D857" s="339"/>
      <c r="E857" s="340"/>
      <c r="F857" s="341"/>
      <c r="G857" s="341"/>
      <c r="H857" s="342"/>
      <c r="I857" s="342"/>
    </row>
    <row r="858">
      <c r="A858" s="337"/>
      <c r="B858" s="337"/>
      <c r="C858" s="338"/>
      <c r="D858" s="339"/>
      <c r="E858" s="340"/>
      <c r="F858" s="341"/>
      <c r="G858" s="341"/>
      <c r="H858" s="342"/>
      <c r="I858" s="342"/>
    </row>
    <row r="859">
      <c r="A859" s="337"/>
      <c r="B859" s="337"/>
      <c r="C859" s="338"/>
      <c r="D859" s="339"/>
      <c r="E859" s="340"/>
      <c r="F859" s="341"/>
      <c r="G859" s="341"/>
      <c r="H859" s="342"/>
      <c r="I859" s="342"/>
    </row>
    <row r="860">
      <c r="A860" s="337"/>
      <c r="B860" s="337"/>
      <c r="C860" s="338"/>
      <c r="D860" s="339"/>
      <c r="E860" s="340"/>
      <c r="F860" s="341"/>
      <c r="G860" s="341"/>
      <c r="H860" s="342"/>
      <c r="I860" s="342"/>
    </row>
    <row r="861">
      <c r="A861" s="337"/>
      <c r="B861" s="337"/>
      <c r="C861" s="338"/>
      <c r="D861" s="339"/>
      <c r="E861" s="340"/>
      <c r="F861" s="341"/>
      <c r="G861" s="341"/>
      <c r="H861" s="342"/>
      <c r="I861" s="342"/>
    </row>
    <row r="862">
      <c r="A862" s="337"/>
      <c r="B862" s="337"/>
      <c r="C862" s="338"/>
      <c r="D862" s="339"/>
      <c r="E862" s="340"/>
      <c r="F862" s="341"/>
      <c r="G862" s="341"/>
      <c r="H862" s="342"/>
      <c r="I862" s="342"/>
    </row>
    <row r="863">
      <c r="A863" s="337"/>
      <c r="B863" s="337"/>
      <c r="C863" s="338"/>
      <c r="D863" s="339"/>
      <c r="E863" s="340"/>
      <c r="F863" s="341"/>
      <c r="G863" s="341"/>
      <c r="H863" s="342"/>
      <c r="I863" s="342"/>
    </row>
    <row r="864">
      <c r="A864" s="337"/>
      <c r="B864" s="337"/>
      <c r="C864" s="338"/>
      <c r="D864" s="339"/>
      <c r="E864" s="340"/>
      <c r="F864" s="341"/>
      <c r="G864" s="341"/>
      <c r="H864" s="342"/>
      <c r="I864" s="342"/>
    </row>
    <row r="865">
      <c r="A865" s="337"/>
      <c r="B865" s="337"/>
      <c r="C865" s="338"/>
      <c r="D865" s="339"/>
      <c r="E865" s="340"/>
      <c r="F865" s="341"/>
      <c r="G865" s="341"/>
      <c r="H865" s="342"/>
      <c r="I865" s="342"/>
    </row>
    <row r="866">
      <c r="A866" s="337"/>
      <c r="B866" s="337"/>
      <c r="C866" s="338"/>
      <c r="D866" s="339"/>
      <c r="E866" s="340"/>
      <c r="F866" s="341"/>
      <c r="G866" s="341"/>
      <c r="H866" s="342"/>
      <c r="I866" s="342"/>
    </row>
    <row r="867">
      <c r="A867" s="337"/>
      <c r="B867" s="337"/>
      <c r="C867" s="338"/>
      <c r="D867" s="339"/>
      <c r="E867" s="340"/>
      <c r="F867" s="341"/>
      <c r="G867" s="341"/>
      <c r="H867" s="342"/>
      <c r="I867" s="342"/>
    </row>
    <row r="868">
      <c r="A868" s="337"/>
      <c r="B868" s="337"/>
      <c r="C868" s="338"/>
      <c r="D868" s="339"/>
      <c r="E868" s="340"/>
      <c r="F868" s="341"/>
      <c r="G868" s="341"/>
      <c r="H868" s="342"/>
      <c r="I868" s="342"/>
    </row>
    <row r="869">
      <c r="A869" s="337"/>
      <c r="B869" s="337"/>
      <c r="C869" s="338"/>
      <c r="D869" s="339"/>
      <c r="E869" s="340"/>
      <c r="F869" s="341"/>
      <c r="G869" s="341"/>
      <c r="H869" s="342"/>
      <c r="I869" s="342"/>
    </row>
    <row r="870">
      <c r="A870" s="337"/>
      <c r="B870" s="337"/>
      <c r="C870" s="338"/>
      <c r="D870" s="339"/>
      <c r="E870" s="340"/>
      <c r="F870" s="341"/>
      <c r="G870" s="341"/>
      <c r="H870" s="342"/>
      <c r="I870" s="342"/>
    </row>
    <row r="871">
      <c r="A871" s="337"/>
      <c r="B871" s="337"/>
      <c r="C871" s="338"/>
      <c r="D871" s="339"/>
      <c r="E871" s="340"/>
      <c r="F871" s="341"/>
      <c r="G871" s="341"/>
      <c r="H871" s="342"/>
      <c r="I871" s="342"/>
    </row>
    <row r="872">
      <c r="A872" s="337"/>
      <c r="B872" s="337"/>
      <c r="C872" s="338"/>
      <c r="D872" s="339"/>
      <c r="E872" s="340"/>
      <c r="F872" s="341"/>
      <c r="G872" s="341"/>
      <c r="H872" s="342"/>
      <c r="I872" s="342"/>
    </row>
    <row r="873">
      <c r="A873" s="337"/>
      <c r="B873" s="337"/>
      <c r="C873" s="338"/>
      <c r="D873" s="339"/>
      <c r="E873" s="340"/>
      <c r="F873" s="341"/>
      <c r="G873" s="341"/>
      <c r="H873" s="342"/>
      <c r="I873" s="342"/>
    </row>
    <row r="874">
      <c r="A874" s="337"/>
      <c r="B874" s="337"/>
      <c r="C874" s="338"/>
      <c r="D874" s="339"/>
      <c r="E874" s="340"/>
      <c r="F874" s="341"/>
      <c r="G874" s="341"/>
      <c r="H874" s="342"/>
      <c r="I874" s="342"/>
    </row>
    <row r="875">
      <c r="A875" s="337"/>
      <c r="B875" s="337"/>
      <c r="C875" s="338"/>
      <c r="D875" s="339"/>
      <c r="E875" s="340"/>
      <c r="F875" s="341"/>
      <c r="G875" s="341"/>
      <c r="H875" s="342"/>
      <c r="I875" s="342"/>
    </row>
    <row r="876">
      <c r="A876" s="337"/>
      <c r="B876" s="337"/>
      <c r="C876" s="338"/>
      <c r="D876" s="339"/>
      <c r="E876" s="340"/>
      <c r="F876" s="341"/>
      <c r="G876" s="341"/>
      <c r="H876" s="342"/>
      <c r="I876" s="342"/>
    </row>
    <row r="877">
      <c r="A877" s="337"/>
      <c r="B877" s="337"/>
      <c r="C877" s="338"/>
      <c r="D877" s="339"/>
      <c r="E877" s="340"/>
      <c r="F877" s="341"/>
      <c r="G877" s="341"/>
      <c r="H877" s="342"/>
      <c r="I877" s="342"/>
    </row>
    <row r="878">
      <c r="A878" s="337"/>
      <c r="B878" s="337"/>
      <c r="C878" s="338"/>
      <c r="D878" s="339"/>
      <c r="E878" s="340"/>
      <c r="F878" s="341"/>
      <c r="G878" s="341"/>
      <c r="H878" s="342"/>
      <c r="I878" s="342"/>
    </row>
    <row r="879">
      <c r="A879" s="337"/>
      <c r="B879" s="337"/>
      <c r="C879" s="338"/>
      <c r="D879" s="339"/>
      <c r="E879" s="340"/>
      <c r="F879" s="341"/>
      <c r="G879" s="341"/>
      <c r="H879" s="342"/>
      <c r="I879" s="342"/>
    </row>
    <row r="880">
      <c r="A880" s="337"/>
      <c r="B880" s="337"/>
      <c r="C880" s="338"/>
      <c r="D880" s="339"/>
      <c r="E880" s="340"/>
      <c r="F880" s="341"/>
      <c r="G880" s="341"/>
      <c r="H880" s="342"/>
      <c r="I880" s="342"/>
    </row>
    <row r="881">
      <c r="A881" s="337"/>
      <c r="B881" s="337"/>
      <c r="C881" s="338"/>
      <c r="D881" s="339"/>
      <c r="E881" s="340"/>
      <c r="F881" s="341"/>
      <c r="G881" s="341"/>
      <c r="H881" s="342"/>
      <c r="I881" s="342"/>
    </row>
    <row r="882">
      <c r="A882" s="337"/>
      <c r="B882" s="337"/>
      <c r="C882" s="338"/>
      <c r="D882" s="339"/>
      <c r="E882" s="340"/>
      <c r="F882" s="341"/>
      <c r="G882" s="341"/>
      <c r="H882" s="342"/>
      <c r="I882" s="342"/>
    </row>
    <row r="883">
      <c r="A883" s="337"/>
      <c r="B883" s="337"/>
      <c r="C883" s="338"/>
      <c r="D883" s="339"/>
      <c r="E883" s="340"/>
      <c r="F883" s="341"/>
      <c r="G883" s="341"/>
      <c r="H883" s="342"/>
      <c r="I883" s="342"/>
    </row>
    <row r="884">
      <c r="A884" s="337"/>
      <c r="B884" s="337"/>
      <c r="C884" s="338"/>
      <c r="D884" s="339"/>
      <c r="E884" s="340"/>
      <c r="F884" s="341"/>
      <c r="G884" s="341"/>
      <c r="H884" s="342"/>
      <c r="I884" s="342"/>
    </row>
    <row r="885">
      <c r="A885" s="337"/>
      <c r="B885" s="337"/>
      <c r="C885" s="338"/>
      <c r="D885" s="339"/>
      <c r="E885" s="340"/>
      <c r="F885" s="341"/>
      <c r="G885" s="341"/>
      <c r="H885" s="342"/>
      <c r="I885" s="342"/>
    </row>
    <row r="886">
      <c r="A886" s="337"/>
      <c r="B886" s="337"/>
      <c r="C886" s="338"/>
      <c r="D886" s="339"/>
      <c r="E886" s="340"/>
      <c r="F886" s="341"/>
      <c r="G886" s="341"/>
      <c r="H886" s="342"/>
      <c r="I886" s="342"/>
    </row>
    <row r="887">
      <c r="A887" s="337"/>
      <c r="B887" s="337"/>
      <c r="C887" s="338"/>
      <c r="D887" s="339"/>
      <c r="E887" s="340"/>
      <c r="F887" s="341"/>
      <c r="G887" s="341"/>
      <c r="H887" s="342"/>
      <c r="I887" s="342"/>
    </row>
    <row r="888">
      <c r="A888" s="337"/>
      <c r="B888" s="337"/>
      <c r="C888" s="338"/>
      <c r="D888" s="339"/>
      <c r="E888" s="340"/>
      <c r="F888" s="341"/>
      <c r="G888" s="341"/>
      <c r="H888" s="342"/>
      <c r="I888" s="342"/>
    </row>
    <row r="889">
      <c r="A889" s="337"/>
      <c r="B889" s="337"/>
      <c r="C889" s="338"/>
      <c r="D889" s="339"/>
      <c r="E889" s="340"/>
      <c r="F889" s="341"/>
      <c r="G889" s="341"/>
      <c r="H889" s="342"/>
      <c r="I889" s="342"/>
    </row>
    <row r="890">
      <c r="A890" s="337"/>
      <c r="B890" s="337"/>
      <c r="C890" s="338"/>
      <c r="D890" s="339"/>
      <c r="E890" s="340"/>
      <c r="F890" s="341"/>
      <c r="G890" s="341"/>
      <c r="H890" s="342"/>
      <c r="I890" s="342"/>
    </row>
    <row r="891">
      <c r="A891" s="337"/>
      <c r="B891" s="337"/>
      <c r="C891" s="338"/>
      <c r="D891" s="339"/>
      <c r="E891" s="340"/>
      <c r="F891" s="341"/>
      <c r="G891" s="341"/>
      <c r="H891" s="342"/>
      <c r="I891" s="342"/>
    </row>
    <row r="892">
      <c r="A892" s="337"/>
      <c r="B892" s="337"/>
      <c r="C892" s="338"/>
      <c r="D892" s="339"/>
      <c r="E892" s="340"/>
      <c r="F892" s="341"/>
      <c r="G892" s="341"/>
      <c r="H892" s="342"/>
      <c r="I892" s="342"/>
    </row>
    <row r="893">
      <c r="A893" s="337"/>
      <c r="B893" s="337"/>
      <c r="C893" s="338"/>
      <c r="D893" s="339"/>
      <c r="E893" s="340"/>
      <c r="F893" s="341"/>
      <c r="G893" s="341"/>
      <c r="H893" s="342"/>
      <c r="I893" s="342"/>
    </row>
    <row r="894">
      <c r="A894" s="337"/>
      <c r="B894" s="337"/>
      <c r="C894" s="338"/>
      <c r="D894" s="339"/>
      <c r="E894" s="340"/>
      <c r="F894" s="341"/>
      <c r="G894" s="341"/>
      <c r="H894" s="342"/>
      <c r="I894" s="342"/>
    </row>
    <row r="895">
      <c r="A895" s="337"/>
      <c r="B895" s="337"/>
      <c r="C895" s="338"/>
      <c r="D895" s="339"/>
      <c r="E895" s="340"/>
      <c r="F895" s="341"/>
      <c r="G895" s="341"/>
      <c r="H895" s="342"/>
      <c r="I895" s="342"/>
    </row>
    <row r="896">
      <c r="A896" s="337"/>
      <c r="B896" s="337"/>
      <c r="C896" s="338"/>
      <c r="D896" s="339"/>
      <c r="E896" s="340"/>
      <c r="F896" s="341"/>
      <c r="G896" s="341"/>
      <c r="H896" s="342"/>
      <c r="I896" s="342"/>
    </row>
    <row r="897">
      <c r="A897" s="337"/>
      <c r="B897" s="337"/>
      <c r="C897" s="338"/>
      <c r="D897" s="339"/>
      <c r="E897" s="340"/>
      <c r="F897" s="341"/>
      <c r="G897" s="341"/>
      <c r="H897" s="342"/>
      <c r="I897" s="342"/>
    </row>
    <row r="898">
      <c r="A898" s="337"/>
      <c r="B898" s="337"/>
      <c r="C898" s="338"/>
      <c r="D898" s="339"/>
      <c r="E898" s="340"/>
      <c r="F898" s="341"/>
      <c r="G898" s="341"/>
      <c r="H898" s="342"/>
      <c r="I898" s="342"/>
    </row>
    <row r="899">
      <c r="A899" s="337"/>
      <c r="B899" s="337"/>
      <c r="C899" s="338"/>
      <c r="D899" s="339"/>
      <c r="E899" s="340"/>
      <c r="F899" s="341"/>
      <c r="G899" s="341"/>
      <c r="H899" s="342"/>
      <c r="I899" s="342"/>
    </row>
    <row r="900">
      <c r="A900" s="337"/>
      <c r="B900" s="337"/>
      <c r="C900" s="338"/>
      <c r="D900" s="339"/>
      <c r="E900" s="340"/>
      <c r="F900" s="341"/>
      <c r="G900" s="341"/>
      <c r="H900" s="342"/>
      <c r="I900" s="342"/>
    </row>
    <row r="901">
      <c r="A901" s="337"/>
      <c r="B901" s="337"/>
      <c r="C901" s="338"/>
      <c r="D901" s="339"/>
      <c r="E901" s="340"/>
      <c r="F901" s="341"/>
      <c r="G901" s="341"/>
      <c r="H901" s="342"/>
      <c r="I901" s="342"/>
    </row>
    <row r="902">
      <c r="A902" s="337"/>
      <c r="B902" s="337"/>
      <c r="C902" s="338"/>
      <c r="D902" s="339"/>
      <c r="E902" s="340"/>
      <c r="F902" s="341"/>
      <c r="G902" s="341"/>
      <c r="H902" s="342"/>
      <c r="I902" s="342"/>
    </row>
    <row r="903">
      <c r="A903" s="337"/>
      <c r="B903" s="337"/>
      <c r="C903" s="338"/>
      <c r="D903" s="339"/>
      <c r="E903" s="340"/>
      <c r="F903" s="341"/>
      <c r="G903" s="341"/>
      <c r="H903" s="342"/>
      <c r="I903" s="342"/>
    </row>
    <row r="904">
      <c r="A904" s="337"/>
      <c r="B904" s="337"/>
      <c r="C904" s="338"/>
      <c r="D904" s="339"/>
      <c r="E904" s="340"/>
      <c r="F904" s="341"/>
      <c r="G904" s="341"/>
      <c r="H904" s="342"/>
      <c r="I904" s="342"/>
    </row>
    <row r="905">
      <c r="A905" s="337"/>
      <c r="B905" s="337"/>
      <c r="C905" s="338"/>
      <c r="D905" s="339"/>
      <c r="E905" s="340"/>
      <c r="F905" s="341"/>
      <c r="G905" s="341"/>
      <c r="H905" s="342"/>
      <c r="I905" s="342"/>
    </row>
    <row r="906">
      <c r="A906" s="337"/>
      <c r="B906" s="337"/>
      <c r="C906" s="338"/>
      <c r="D906" s="339"/>
      <c r="E906" s="340"/>
      <c r="F906" s="341"/>
      <c r="G906" s="341"/>
      <c r="H906" s="342"/>
      <c r="I906" s="342"/>
    </row>
    <row r="907">
      <c r="A907" s="337"/>
      <c r="B907" s="337"/>
      <c r="C907" s="338"/>
      <c r="D907" s="339"/>
      <c r="E907" s="340"/>
      <c r="F907" s="341"/>
      <c r="G907" s="341"/>
      <c r="H907" s="342"/>
      <c r="I907" s="342"/>
    </row>
    <row r="908">
      <c r="A908" s="337"/>
      <c r="B908" s="337"/>
      <c r="C908" s="338"/>
      <c r="D908" s="339"/>
      <c r="E908" s="340"/>
      <c r="F908" s="341"/>
      <c r="G908" s="341"/>
      <c r="H908" s="342"/>
      <c r="I908" s="342"/>
    </row>
    <row r="909">
      <c r="A909" s="337"/>
      <c r="B909" s="337"/>
      <c r="C909" s="338"/>
      <c r="D909" s="339"/>
      <c r="E909" s="340"/>
      <c r="F909" s="341"/>
      <c r="G909" s="341"/>
      <c r="H909" s="342"/>
      <c r="I909" s="342"/>
    </row>
    <row r="910">
      <c r="A910" s="337"/>
      <c r="B910" s="337"/>
      <c r="C910" s="338"/>
      <c r="D910" s="339"/>
      <c r="E910" s="340"/>
      <c r="F910" s="341"/>
      <c r="G910" s="341"/>
      <c r="H910" s="342"/>
      <c r="I910" s="342"/>
    </row>
    <row r="911">
      <c r="A911" s="337"/>
      <c r="B911" s="337"/>
      <c r="C911" s="338"/>
      <c r="D911" s="339"/>
      <c r="E911" s="340"/>
      <c r="F911" s="341"/>
      <c r="G911" s="341"/>
      <c r="H911" s="342"/>
      <c r="I911" s="342"/>
    </row>
    <row r="912">
      <c r="A912" s="337"/>
      <c r="B912" s="337"/>
      <c r="C912" s="338"/>
      <c r="D912" s="339"/>
      <c r="E912" s="340"/>
      <c r="F912" s="341"/>
      <c r="G912" s="341"/>
      <c r="H912" s="342"/>
      <c r="I912" s="342"/>
    </row>
    <row r="913">
      <c r="A913" s="337"/>
      <c r="B913" s="337"/>
      <c r="C913" s="338"/>
      <c r="D913" s="339"/>
      <c r="E913" s="340"/>
      <c r="F913" s="341"/>
      <c r="G913" s="341"/>
      <c r="H913" s="342"/>
      <c r="I913" s="342"/>
    </row>
    <row r="914">
      <c r="A914" s="337"/>
      <c r="B914" s="337"/>
      <c r="C914" s="338"/>
      <c r="D914" s="339"/>
      <c r="E914" s="340"/>
      <c r="F914" s="341"/>
      <c r="G914" s="341"/>
      <c r="H914" s="342"/>
      <c r="I914" s="342"/>
    </row>
    <row r="915">
      <c r="A915" s="337"/>
      <c r="B915" s="337"/>
      <c r="C915" s="338"/>
      <c r="D915" s="339"/>
      <c r="E915" s="340"/>
      <c r="F915" s="341"/>
      <c r="G915" s="341"/>
      <c r="H915" s="342"/>
      <c r="I915" s="342"/>
    </row>
    <row r="916">
      <c r="A916" s="337"/>
      <c r="B916" s="337"/>
      <c r="C916" s="338"/>
      <c r="D916" s="339"/>
      <c r="E916" s="340"/>
      <c r="F916" s="341"/>
      <c r="G916" s="341"/>
      <c r="H916" s="342"/>
      <c r="I916" s="342"/>
    </row>
    <row r="917">
      <c r="A917" s="337"/>
      <c r="B917" s="337"/>
      <c r="C917" s="338"/>
      <c r="D917" s="339"/>
      <c r="E917" s="340"/>
      <c r="F917" s="341"/>
      <c r="G917" s="341"/>
      <c r="H917" s="342"/>
      <c r="I917" s="342"/>
    </row>
    <row r="918">
      <c r="A918" s="337"/>
      <c r="B918" s="337"/>
      <c r="C918" s="338"/>
      <c r="D918" s="339"/>
      <c r="E918" s="340"/>
      <c r="F918" s="341"/>
      <c r="G918" s="341"/>
      <c r="H918" s="342"/>
      <c r="I918" s="342"/>
    </row>
    <row r="919">
      <c r="A919" s="337"/>
      <c r="B919" s="337"/>
      <c r="C919" s="338"/>
      <c r="D919" s="339"/>
      <c r="E919" s="340"/>
      <c r="F919" s="341"/>
      <c r="G919" s="341"/>
      <c r="H919" s="342"/>
      <c r="I919" s="342"/>
    </row>
    <row r="920">
      <c r="A920" s="337"/>
      <c r="B920" s="337"/>
      <c r="C920" s="338"/>
      <c r="D920" s="339"/>
      <c r="E920" s="340"/>
      <c r="F920" s="341"/>
      <c r="G920" s="341"/>
      <c r="H920" s="342"/>
      <c r="I920" s="342"/>
    </row>
    <row r="921">
      <c r="A921" s="337"/>
      <c r="B921" s="337"/>
      <c r="C921" s="338"/>
      <c r="D921" s="339"/>
      <c r="E921" s="340"/>
      <c r="F921" s="341"/>
      <c r="G921" s="341"/>
      <c r="H921" s="342"/>
      <c r="I921" s="342"/>
    </row>
    <row r="922">
      <c r="A922" s="337"/>
      <c r="B922" s="337"/>
      <c r="C922" s="338"/>
      <c r="D922" s="339"/>
      <c r="E922" s="340"/>
      <c r="F922" s="341"/>
      <c r="G922" s="341"/>
      <c r="H922" s="342"/>
      <c r="I922" s="342"/>
    </row>
    <row r="923">
      <c r="A923" s="337"/>
      <c r="B923" s="337"/>
      <c r="C923" s="338"/>
      <c r="D923" s="339"/>
      <c r="E923" s="340"/>
      <c r="F923" s="341"/>
      <c r="G923" s="341"/>
      <c r="H923" s="342"/>
      <c r="I923" s="342"/>
    </row>
    <row r="924">
      <c r="A924" s="337"/>
      <c r="B924" s="337"/>
      <c r="C924" s="338"/>
      <c r="D924" s="339"/>
      <c r="E924" s="340"/>
      <c r="F924" s="341"/>
      <c r="G924" s="341"/>
      <c r="H924" s="342"/>
      <c r="I924" s="342"/>
    </row>
    <row r="925">
      <c r="A925" s="337"/>
      <c r="B925" s="337"/>
      <c r="C925" s="338"/>
      <c r="D925" s="339"/>
      <c r="E925" s="340"/>
      <c r="F925" s="341"/>
      <c r="G925" s="341"/>
      <c r="H925" s="342"/>
      <c r="I925" s="342"/>
    </row>
    <row r="926">
      <c r="A926" s="337"/>
      <c r="B926" s="337"/>
      <c r="C926" s="338"/>
      <c r="D926" s="339"/>
      <c r="E926" s="340"/>
      <c r="F926" s="341"/>
      <c r="G926" s="341"/>
      <c r="H926" s="342"/>
      <c r="I926" s="342"/>
    </row>
    <row r="927">
      <c r="A927" s="337"/>
      <c r="B927" s="337"/>
      <c r="C927" s="338"/>
      <c r="D927" s="339"/>
      <c r="E927" s="340"/>
      <c r="F927" s="341"/>
      <c r="G927" s="341"/>
      <c r="H927" s="342"/>
      <c r="I927" s="342"/>
    </row>
    <row r="928">
      <c r="A928" s="337"/>
      <c r="B928" s="337"/>
      <c r="C928" s="338"/>
      <c r="D928" s="339"/>
      <c r="E928" s="340"/>
      <c r="F928" s="341"/>
      <c r="G928" s="341"/>
      <c r="H928" s="342"/>
      <c r="I928" s="342"/>
    </row>
    <row r="929">
      <c r="A929" s="337"/>
      <c r="B929" s="337"/>
      <c r="C929" s="338"/>
      <c r="D929" s="339"/>
      <c r="E929" s="340"/>
      <c r="F929" s="341"/>
      <c r="G929" s="341"/>
      <c r="H929" s="342"/>
      <c r="I929" s="342"/>
    </row>
    <row r="930">
      <c r="A930" s="337"/>
      <c r="B930" s="337"/>
      <c r="C930" s="338"/>
      <c r="D930" s="339"/>
      <c r="E930" s="340"/>
      <c r="F930" s="341"/>
      <c r="G930" s="341"/>
      <c r="H930" s="342"/>
      <c r="I930" s="342"/>
    </row>
    <row r="931">
      <c r="A931" s="337"/>
      <c r="B931" s="337"/>
      <c r="C931" s="338"/>
      <c r="D931" s="339"/>
      <c r="E931" s="340"/>
      <c r="F931" s="341"/>
      <c r="G931" s="341"/>
      <c r="H931" s="342"/>
      <c r="I931" s="342"/>
    </row>
    <row r="932">
      <c r="A932" s="337"/>
      <c r="B932" s="337"/>
      <c r="C932" s="338"/>
      <c r="D932" s="339"/>
      <c r="E932" s="340"/>
      <c r="F932" s="341"/>
      <c r="G932" s="341"/>
      <c r="H932" s="342"/>
      <c r="I932" s="342"/>
    </row>
    <row r="933">
      <c r="A933" s="337"/>
      <c r="B933" s="337"/>
      <c r="C933" s="338"/>
      <c r="D933" s="339"/>
      <c r="E933" s="340"/>
      <c r="F933" s="341"/>
      <c r="G933" s="341"/>
      <c r="H933" s="342"/>
      <c r="I933" s="342"/>
    </row>
    <row r="934">
      <c r="A934" s="337"/>
      <c r="B934" s="337"/>
      <c r="C934" s="338"/>
      <c r="D934" s="339"/>
      <c r="E934" s="340"/>
      <c r="F934" s="341"/>
      <c r="G934" s="341"/>
      <c r="H934" s="342"/>
      <c r="I934" s="342"/>
    </row>
    <row r="935">
      <c r="A935" s="337"/>
      <c r="B935" s="337"/>
      <c r="C935" s="338"/>
      <c r="D935" s="339"/>
      <c r="E935" s="340"/>
      <c r="F935" s="341"/>
      <c r="G935" s="341"/>
      <c r="H935" s="342"/>
      <c r="I935" s="342"/>
    </row>
    <row r="936">
      <c r="A936" s="337"/>
      <c r="B936" s="337"/>
      <c r="C936" s="338"/>
      <c r="D936" s="339"/>
      <c r="E936" s="340"/>
      <c r="F936" s="341"/>
      <c r="G936" s="341"/>
      <c r="H936" s="342"/>
      <c r="I936" s="342"/>
    </row>
    <row r="937">
      <c r="A937" s="337"/>
      <c r="B937" s="337"/>
      <c r="C937" s="338"/>
      <c r="D937" s="339"/>
      <c r="E937" s="340"/>
      <c r="F937" s="341"/>
      <c r="G937" s="341"/>
      <c r="H937" s="342"/>
      <c r="I937" s="342"/>
    </row>
    <row r="938">
      <c r="A938" s="337"/>
      <c r="B938" s="337"/>
      <c r="C938" s="338"/>
      <c r="D938" s="339"/>
      <c r="E938" s="340"/>
      <c r="F938" s="341"/>
      <c r="G938" s="341"/>
      <c r="H938" s="342"/>
      <c r="I938" s="342"/>
    </row>
    <row r="939">
      <c r="A939" s="337"/>
      <c r="B939" s="337"/>
      <c r="C939" s="338"/>
      <c r="D939" s="339"/>
      <c r="E939" s="340"/>
      <c r="F939" s="341"/>
      <c r="G939" s="341"/>
      <c r="H939" s="342"/>
      <c r="I939" s="342"/>
    </row>
    <row r="940">
      <c r="A940" s="337"/>
      <c r="B940" s="337"/>
      <c r="C940" s="338"/>
      <c r="D940" s="339"/>
      <c r="E940" s="340"/>
      <c r="F940" s="341"/>
      <c r="G940" s="341"/>
      <c r="H940" s="342"/>
      <c r="I940" s="342"/>
    </row>
    <row r="941">
      <c r="A941" s="337"/>
      <c r="B941" s="337"/>
      <c r="C941" s="338"/>
      <c r="D941" s="339"/>
      <c r="E941" s="340"/>
      <c r="F941" s="341"/>
      <c r="G941" s="341"/>
      <c r="H941" s="342"/>
      <c r="I941" s="342"/>
    </row>
    <row r="942">
      <c r="A942" s="337"/>
      <c r="B942" s="337"/>
      <c r="C942" s="338"/>
      <c r="D942" s="339"/>
      <c r="E942" s="340"/>
      <c r="F942" s="341"/>
      <c r="G942" s="341"/>
      <c r="H942" s="342"/>
      <c r="I942" s="342"/>
    </row>
    <row r="943">
      <c r="A943" s="337"/>
      <c r="B943" s="337"/>
      <c r="C943" s="338"/>
      <c r="D943" s="339"/>
      <c r="E943" s="340"/>
      <c r="F943" s="341"/>
      <c r="G943" s="341"/>
      <c r="H943" s="342"/>
      <c r="I943" s="342"/>
    </row>
    <row r="944">
      <c r="A944" s="337"/>
      <c r="B944" s="337"/>
      <c r="C944" s="338"/>
      <c r="D944" s="339"/>
      <c r="E944" s="340"/>
      <c r="F944" s="341"/>
      <c r="G944" s="341"/>
      <c r="H944" s="342"/>
      <c r="I944" s="342"/>
    </row>
    <row r="945">
      <c r="A945" s="337"/>
      <c r="B945" s="337"/>
      <c r="C945" s="338"/>
      <c r="D945" s="339"/>
      <c r="E945" s="340"/>
      <c r="F945" s="341"/>
      <c r="G945" s="341"/>
      <c r="H945" s="342"/>
      <c r="I945" s="342"/>
    </row>
    <row r="946">
      <c r="A946" s="337"/>
      <c r="B946" s="337"/>
      <c r="C946" s="338"/>
      <c r="D946" s="339"/>
      <c r="E946" s="340"/>
      <c r="F946" s="341"/>
      <c r="G946" s="341"/>
      <c r="H946" s="342"/>
      <c r="I946" s="342"/>
    </row>
    <row r="947">
      <c r="A947" s="337"/>
      <c r="B947" s="337"/>
      <c r="C947" s="338"/>
      <c r="D947" s="339"/>
      <c r="E947" s="340"/>
      <c r="F947" s="341"/>
      <c r="G947" s="341"/>
      <c r="H947" s="342"/>
      <c r="I947" s="342"/>
    </row>
    <row r="948">
      <c r="A948" s="337"/>
      <c r="B948" s="337"/>
      <c r="C948" s="338"/>
      <c r="D948" s="339"/>
      <c r="E948" s="340"/>
      <c r="F948" s="341"/>
      <c r="G948" s="341"/>
      <c r="H948" s="342"/>
      <c r="I948" s="342"/>
    </row>
    <row r="949">
      <c r="A949" s="337"/>
      <c r="B949" s="337"/>
      <c r="C949" s="338"/>
      <c r="D949" s="339"/>
      <c r="E949" s="340"/>
      <c r="F949" s="341"/>
      <c r="G949" s="341"/>
      <c r="H949" s="342"/>
      <c r="I949" s="342"/>
    </row>
    <row r="950">
      <c r="A950" s="337"/>
      <c r="B950" s="337"/>
      <c r="C950" s="338"/>
      <c r="D950" s="339"/>
      <c r="E950" s="340"/>
      <c r="F950" s="341"/>
      <c r="G950" s="341"/>
      <c r="H950" s="342"/>
      <c r="I950" s="342"/>
    </row>
    <row r="951">
      <c r="A951" s="337"/>
      <c r="B951" s="337"/>
      <c r="C951" s="338"/>
      <c r="D951" s="339"/>
      <c r="E951" s="340"/>
      <c r="F951" s="341"/>
      <c r="G951" s="341"/>
      <c r="H951" s="342"/>
      <c r="I951" s="342"/>
    </row>
    <row r="952">
      <c r="A952" s="337"/>
      <c r="B952" s="337"/>
      <c r="C952" s="338"/>
      <c r="D952" s="339"/>
      <c r="E952" s="340"/>
      <c r="F952" s="341"/>
      <c r="G952" s="341"/>
      <c r="H952" s="342"/>
      <c r="I952" s="342"/>
    </row>
    <row r="953">
      <c r="A953" s="337"/>
      <c r="B953" s="337"/>
      <c r="C953" s="338"/>
      <c r="D953" s="339"/>
      <c r="E953" s="340"/>
      <c r="F953" s="341"/>
      <c r="G953" s="341"/>
      <c r="H953" s="342"/>
      <c r="I953" s="342"/>
    </row>
    <row r="954">
      <c r="A954" s="337"/>
      <c r="B954" s="337"/>
      <c r="C954" s="338"/>
      <c r="D954" s="339"/>
      <c r="E954" s="340"/>
      <c r="F954" s="341"/>
      <c r="G954" s="341"/>
      <c r="H954" s="342"/>
      <c r="I954" s="342"/>
    </row>
    <row r="955">
      <c r="A955" s="337"/>
      <c r="B955" s="337"/>
      <c r="C955" s="338"/>
      <c r="D955" s="339"/>
      <c r="E955" s="340"/>
      <c r="F955" s="341"/>
      <c r="G955" s="341"/>
      <c r="H955" s="342"/>
      <c r="I955" s="342"/>
    </row>
    <row r="956">
      <c r="A956" s="337"/>
      <c r="B956" s="337"/>
      <c r="C956" s="338"/>
      <c r="D956" s="339"/>
      <c r="E956" s="340"/>
      <c r="F956" s="341"/>
      <c r="G956" s="341"/>
      <c r="H956" s="342"/>
      <c r="I956" s="342"/>
    </row>
    <row r="957">
      <c r="A957" s="337"/>
      <c r="B957" s="337"/>
      <c r="C957" s="338"/>
      <c r="D957" s="339"/>
      <c r="E957" s="340"/>
      <c r="F957" s="341"/>
      <c r="G957" s="341"/>
      <c r="H957" s="342"/>
      <c r="I957" s="342"/>
    </row>
    <row r="958">
      <c r="A958" s="337"/>
      <c r="B958" s="337"/>
      <c r="C958" s="338"/>
      <c r="D958" s="339"/>
      <c r="E958" s="340"/>
      <c r="F958" s="341"/>
      <c r="G958" s="341"/>
      <c r="H958" s="342"/>
      <c r="I958" s="342"/>
    </row>
    <row r="959">
      <c r="A959" s="337"/>
      <c r="B959" s="337"/>
      <c r="C959" s="338"/>
      <c r="D959" s="339"/>
      <c r="E959" s="340"/>
      <c r="F959" s="341"/>
      <c r="G959" s="341"/>
      <c r="H959" s="342"/>
      <c r="I959" s="342"/>
    </row>
    <row r="960">
      <c r="A960" s="337"/>
      <c r="B960" s="337"/>
      <c r="C960" s="338"/>
      <c r="D960" s="339"/>
      <c r="E960" s="340"/>
      <c r="F960" s="341"/>
      <c r="G960" s="341"/>
      <c r="H960" s="342"/>
      <c r="I960" s="342"/>
    </row>
    <row r="961">
      <c r="A961" s="337"/>
      <c r="B961" s="337"/>
      <c r="C961" s="338"/>
      <c r="D961" s="339"/>
      <c r="E961" s="340"/>
      <c r="F961" s="341"/>
      <c r="G961" s="341"/>
      <c r="H961" s="342"/>
      <c r="I961" s="342"/>
    </row>
    <row r="962">
      <c r="A962" s="337"/>
      <c r="B962" s="337"/>
      <c r="C962" s="338"/>
      <c r="D962" s="339"/>
      <c r="E962" s="340"/>
      <c r="F962" s="341"/>
      <c r="G962" s="341"/>
      <c r="H962" s="342"/>
      <c r="I962" s="342"/>
    </row>
    <row r="963">
      <c r="A963" s="337"/>
      <c r="B963" s="337"/>
      <c r="C963" s="338"/>
      <c r="D963" s="339"/>
      <c r="E963" s="340"/>
      <c r="F963" s="341"/>
      <c r="G963" s="341"/>
      <c r="H963" s="342"/>
      <c r="I963" s="342"/>
    </row>
    <row r="964">
      <c r="A964" s="337"/>
      <c r="B964" s="337"/>
      <c r="C964" s="338"/>
      <c r="D964" s="339"/>
      <c r="E964" s="340"/>
      <c r="F964" s="341"/>
      <c r="G964" s="341"/>
      <c r="H964" s="342"/>
      <c r="I964" s="342"/>
    </row>
    <row r="965">
      <c r="A965" s="337"/>
      <c r="B965" s="337"/>
      <c r="C965" s="338"/>
      <c r="D965" s="339"/>
      <c r="E965" s="340"/>
      <c r="F965" s="341"/>
      <c r="G965" s="341"/>
      <c r="H965" s="342"/>
      <c r="I965" s="342"/>
    </row>
    <row r="966">
      <c r="A966" s="337"/>
      <c r="B966" s="337"/>
      <c r="C966" s="338"/>
      <c r="D966" s="339"/>
      <c r="E966" s="340"/>
      <c r="F966" s="341"/>
      <c r="G966" s="341"/>
      <c r="H966" s="342"/>
      <c r="I966" s="342"/>
    </row>
    <row r="967">
      <c r="A967" s="337"/>
      <c r="B967" s="337"/>
      <c r="C967" s="338"/>
      <c r="D967" s="339"/>
      <c r="E967" s="340"/>
      <c r="F967" s="341"/>
      <c r="G967" s="341"/>
      <c r="H967" s="342"/>
      <c r="I967" s="342"/>
    </row>
    <row r="968">
      <c r="A968" s="337"/>
      <c r="B968" s="337"/>
      <c r="C968" s="338"/>
      <c r="D968" s="339"/>
      <c r="E968" s="340"/>
      <c r="F968" s="341"/>
      <c r="G968" s="341"/>
      <c r="H968" s="342"/>
      <c r="I968" s="342"/>
    </row>
    <row r="969">
      <c r="A969" s="337"/>
      <c r="B969" s="337"/>
      <c r="C969" s="338"/>
      <c r="D969" s="339"/>
      <c r="E969" s="340"/>
      <c r="F969" s="341"/>
      <c r="G969" s="341"/>
      <c r="H969" s="342"/>
      <c r="I969" s="342"/>
    </row>
    <row r="970">
      <c r="A970" s="337"/>
      <c r="B970" s="337"/>
      <c r="C970" s="338"/>
      <c r="D970" s="339"/>
      <c r="E970" s="340"/>
      <c r="F970" s="341"/>
      <c r="G970" s="341"/>
      <c r="H970" s="342"/>
      <c r="I970" s="342"/>
    </row>
    <row r="971">
      <c r="A971" s="337"/>
      <c r="B971" s="337"/>
      <c r="C971" s="338"/>
      <c r="D971" s="339"/>
      <c r="E971" s="340"/>
      <c r="F971" s="341"/>
      <c r="G971" s="341"/>
      <c r="H971" s="342"/>
      <c r="I971" s="342"/>
    </row>
    <row r="972">
      <c r="A972" s="337"/>
      <c r="B972" s="337"/>
      <c r="C972" s="338"/>
      <c r="D972" s="339"/>
      <c r="E972" s="340"/>
      <c r="F972" s="341"/>
      <c r="G972" s="341"/>
      <c r="H972" s="342"/>
      <c r="I972" s="342"/>
    </row>
    <row r="973">
      <c r="A973" s="337"/>
      <c r="B973" s="337"/>
      <c r="C973" s="338"/>
      <c r="D973" s="339"/>
      <c r="E973" s="340"/>
      <c r="F973" s="341"/>
      <c r="G973" s="341"/>
      <c r="H973" s="342"/>
      <c r="I973" s="342"/>
    </row>
    <row r="974">
      <c r="A974" s="337"/>
      <c r="B974" s="337"/>
      <c r="C974" s="338"/>
      <c r="D974" s="339"/>
      <c r="E974" s="340"/>
      <c r="F974" s="341"/>
      <c r="G974" s="341"/>
      <c r="H974" s="342"/>
      <c r="I974" s="342"/>
    </row>
    <row r="975">
      <c r="A975" s="337"/>
      <c r="B975" s="337"/>
      <c r="C975" s="338"/>
      <c r="D975" s="339"/>
      <c r="E975" s="340"/>
      <c r="F975" s="341"/>
      <c r="G975" s="341"/>
      <c r="H975" s="342"/>
      <c r="I975" s="342"/>
    </row>
    <row r="976">
      <c r="A976" s="337"/>
      <c r="B976" s="337"/>
      <c r="C976" s="338"/>
      <c r="D976" s="339"/>
      <c r="E976" s="340"/>
      <c r="F976" s="341"/>
      <c r="G976" s="341"/>
      <c r="H976" s="342"/>
      <c r="I976" s="342"/>
    </row>
    <row r="977">
      <c r="A977" s="337"/>
      <c r="B977" s="337"/>
      <c r="C977" s="338"/>
      <c r="D977" s="339"/>
      <c r="E977" s="340"/>
      <c r="F977" s="341"/>
      <c r="G977" s="341"/>
      <c r="H977" s="342"/>
      <c r="I977" s="342"/>
    </row>
    <row r="978">
      <c r="A978" s="337"/>
      <c r="B978" s="337"/>
      <c r="C978" s="338"/>
      <c r="D978" s="339"/>
      <c r="E978" s="340"/>
      <c r="F978" s="341"/>
      <c r="G978" s="341"/>
      <c r="H978" s="342"/>
      <c r="I978" s="342"/>
    </row>
    <row r="979">
      <c r="A979" s="337"/>
      <c r="B979" s="337"/>
      <c r="C979" s="338"/>
      <c r="D979" s="339"/>
      <c r="E979" s="340"/>
      <c r="F979" s="341"/>
      <c r="G979" s="341"/>
      <c r="H979" s="342"/>
      <c r="I979" s="342"/>
    </row>
    <row r="980">
      <c r="A980" s="337"/>
      <c r="B980" s="337"/>
      <c r="C980" s="338"/>
      <c r="D980" s="339"/>
      <c r="E980" s="340"/>
      <c r="F980" s="341"/>
      <c r="G980" s="341"/>
      <c r="H980" s="342"/>
      <c r="I980" s="342"/>
    </row>
    <row r="981">
      <c r="A981" s="337"/>
      <c r="B981" s="337"/>
      <c r="C981" s="338"/>
      <c r="D981" s="339"/>
      <c r="E981" s="340"/>
      <c r="F981" s="341"/>
      <c r="G981" s="341"/>
      <c r="H981" s="342"/>
      <c r="I981" s="342"/>
    </row>
    <row r="982">
      <c r="A982" s="337"/>
      <c r="B982" s="337"/>
      <c r="C982" s="338"/>
      <c r="D982" s="339"/>
      <c r="E982" s="340"/>
      <c r="F982" s="341"/>
      <c r="G982" s="341"/>
      <c r="H982" s="342"/>
      <c r="I982" s="342"/>
    </row>
    <row r="983">
      <c r="A983" s="337"/>
      <c r="B983" s="337"/>
      <c r="C983" s="338"/>
      <c r="D983" s="339"/>
      <c r="E983" s="340"/>
      <c r="F983" s="341"/>
      <c r="G983" s="341"/>
      <c r="H983" s="342"/>
      <c r="I983" s="342"/>
    </row>
    <row r="984">
      <c r="A984" s="337"/>
      <c r="B984" s="337"/>
      <c r="C984" s="338"/>
      <c r="D984" s="339"/>
      <c r="E984" s="340"/>
      <c r="F984" s="341"/>
      <c r="G984" s="341"/>
      <c r="H984" s="342"/>
      <c r="I984" s="342"/>
    </row>
    <row r="985">
      <c r="A985" s="337"/>
      <c r="B985" s="337"/>
      <c r="C985" s="338"/>
      <c r="D985" s="339"/>
      <c r="E985" s="340"/>
      <c r="F985" s="341"/>
      <c r="G985" s="341"/>
      <c r="H985" s="342"/>
      <c r="I985" s="342"/>
    </row>
    <row r="986">
      <c r="A986" s="337"/>
      <c r="B986" s="337"/>
      <c r="C986" s="338"/>
      <c r="D986" s="339"/>
      <c r="E986" s="340"/>
      <c r="F986" s="341"/>
      <c r="G986" s="341"/>
      <c r="H986" s="342"/>
      <c r="I986" s="342"/>
    </row>
    <row r="987">
      <c r="A987" s="337"/>
      <c r="B987" s="337"/>
      <c r="C987" s="338"/>
      <c r="D987" s="339"/>
      <c r="E987" s="340"/>
      <c r="F987" s="341"/>
      <c r="G987" s="341"/>
      <c r="H987" s="342"/>
      <c r="I987" s="342"/>
    </row>
    <row r="988">
      <c r="A988" s="337"/>
      <c r="B988" s="337"/>
      <c r="C988" s="338"/>
      <c r="D988" s="339"/>
      <c r="E988" s="340"/>
      <c r="F988" s="341"/>
      <c r="G988" s="341"/>
      <c r="H988" s="342"/>
      <c r="I988" s="342"/>
    </row>
    <row r="989">
      <c r="A989" s="337"/>
      <c r="B989" s="337"/>
      <c r="C989" s="338"/>
      <c r="D989" s="339"/>
      <c r="E989" s="340"/>
      <c r="F989" s="341"/>
      <c r="G989" s="341"/>
      <c r="H989" s="342"/>
      <c r="I989" s="342"/>
    </row>
    <row r="990">
      <c r="A990" s="337"/>
      <c r="B990" s="337"/>
      <c r="C990" s="338"/>
      <c r="D990" s="339"/>
      <c r="E990" s="340"/>
      <c r="F990" s="341"/>
      <c r="G990" s="341"/>
      <c r="H990" s="342"/>
      <c r="I990" s="342"/>
    </row>
    <row r="991">
      <c r="A991" s="337"/>
      <c r="B991" s="337"/>
      <c r="C991" s="338"/>
      <c r="D991" s="339"/>
      <c r="E991" s="340"/>
      <c r="F991" s="341"/>
      <c r="G991" s="341"/>
      <c r="H991" s="342"/>
      <c r="I991" s="342"/>
    </row>
    <row r="992">
      <c r="A992" s="337"/>
      <c r="B992" s="337"/>
      <c r="C992" s="338"/>
      <c r="D992" s="339"/>
      <c r="E992" s="340"/>
      <c r="F992" s="341"/>
      <c r="G992" s="341"/>
      <c r="H992" s="342"/>
      <c r="I992" s="342"/>
    </row>
    <row r="993">
      <c r="A993" s="337"/>
      <c r="B993" s="337"/>
      <c r="C993" s="338"/>
      <c r="D993" s="339"/>
      <c r="E993" s="340"/>
      <c r="F993" s="341"/>
      <c r="G993" s="341"/>
      <c r="H993" s="342"/>
      <c r="I993" s="342"/>
    </row>
    <row r="994">
      <c r="A994" s="337"/>
      <c r="B994" s="337"/>
      <c r="C994" s="338"/>
      <c r="D994" s="339"/>
      <c r="E994" s="340"/>
      <c r="F994" s="341"/>
      <c r="G994" s="341"/>
      <c r="H994" s="342"/>
      <c r="I994" s="342"/>
    </row>
    <row r="995">
      <c r="A995" s="337"/>
      <c r="B995" s="337"/>
      <c r="C995" s="338"/>
      <c r="D995" s="339"/>
      <c r="E995" s="340"/>
      <c r="F995" s="341"/>
      <c r="G995" s="341"/>
      <c r="H995" s="342"/>
      <c r="I995" s="342"/>
    </row>
    <row r="996">
      <c r="A996" s="337"/>
      <c r="B996" s="337"/>
      <c r="C996" s="338"/>
      <c r="D996" s="339"/>
      <c r="E996" s="340"/>
      <c r="F996" s="341"/>
      <c r="G996" s="341"/>
      <c r="H996" s="342"/>
      <c r="I996" s="342"/>
    </row>
    <row r="997">
      <c r="A997" s="337"/>
      <c r="B997" s="337"/>
      <c r="C997" s="338"/>
      <c r="D997" s="339"/>
      <c r="E997" s="340"/>
      <c r="F997" s="341"/>
      <c r="G997" s="341"/>
      <c r="H997" s="342"/>
      <c r="I997" s="342"/>
    </row>
    <row r="998">
      <c r="A998" s="337"/>
      <c r="B998" s="337"/>
      <c r="C998" s="338"/>
      <c r="D998" s="339"/>
      <c r="E998" s="340"/>
      <c r="F998" s="341"/>
      <c r="G998" s="341"/>
      <c r="H998" s="342"/>
      <c r="I998" s="342"/>
    </row>
    <row r="999">
      <c r="A999" s="337"/>
      <c r="B999" s="337"/>
      <c r="C999" s="338"/>
      <c r="D999" s="339"/>
      <c r="E999" s="340"/>
      <c r="F999" s="341"/>
      <c r="G999" s="341"/>
      <c r="H999" s="342"/>
      <c r="I999" s="342"/>
    </row>
    <row r="1000">
      <c r="A1000" s="337"/>
      <c r="B1000" s="337"/>
      <c r="C1000" s="338"/>
      <c r="D1000" s="339"/>
      <c r="E1000" s="340"/>
      <c r="F1000" s="341"/>
      <c r="G1000" s="341"/>
      <c r="H1000" s="342"/>
      <c r="I1000" s="342"/>
    </row>
    <row r="1001">
      <c r="A1001" s="337"/>
      <c r="B1001" s="337"/>
      <c r="C1001" s="338"/>
      <c r="D1001" s="339"/>
      <c r="E1001" s="340"/>
      <c r="F1001" s="341"/>
      <c r="G1001" s="341"/>
      <c r="H1001" s="342"/>
      <c r="I1001" s="342"/>
    </row>
    <row r="1002">
      <c r="A1002" s="337"/>
      <c r="B1002" s="337"/>
      <c r="C1002" s="338"/>
      <c r="D1002" s="339"/>
      <c r="E1002" s="340"/>
      <c r="F1002" s="341"/>
      <c r="G1002" s="341"/>
      <c r="H1002" s="342"/>
      <c r="I1002" s="342"/>
    </row>
    <row r="1003">
      <c r="A1003" s="337"/>
      <c r="B1003" s="337"/>
      <c r="C1003" s="338"/>
      <c r="D1003" s="339"/>
      <c r="E1003" s="340"/>
      <c r="F1003" s="341"/>
      <c r="G1003" s="341"/>
      <c r="H1003" s="342"/>
      <c r="I1003" s="342"/>
    </row>
    <row r="1004">
      <c r="A1004" s="337"/>
      <c r="B1004" s="337"/>
      <c r="C1004" s="338"/>
      <c r="D1004" s="339"/>
      <c r="E1004" s="340"/>
      <c r="F1004" s="341"/>
      <c r="G1004" s="341"/>
      <c r="H1004" s="342"/>
      <c r="I1004" s="342"/>
    </row>
    <row r="1005">
      <c r="A1005" s="337"/>
      <c r="B1005" s="337"/>
      <c r="C1005" s="338"/>
      <c r="D1005" s="339"/>
      <c r="E1005" s="340"/>
      <c r="F1005" s="341"/>
      <c r="G1005" s="341"/>
      <c r="H1005" s="342"/>
      <c r="I1005" s="342"/>
    </row>
    <row r="1006">
      <c r="A1006" s="337"/>
      <c r="B1006" s="337"/>
      <c r="C1006" s="338"/>
      <c r="D1006" s="339"/>
      <c r="E1006" s="340"/>
      <c r="F1006" s="341"/>
      <c r="G1006" s="341"/>
      <c r="H1006" s="342"/>
      <c r="I1006" s="342"/>
    </row>
    <row r="1007">
      <c r="A1007" s="337"/>
      <c r="B1007" s="337"/>
      <c r="C1007" s="338"/>
      <c r="D1007" s="339"/>
      <c r="E1007" s="340"/>
      <c r="F1007" s="341"/>
      <c r="G1007" s="341"/>
      <c r="H1007" s="342"/>
      <c r="I1007" s="342"/>
    </row>
    <row r="1008">
      <c r="A1008" s="337"/>
      <c r="B1008" s="337"/>
      <c r="C1008" s="338"/>
      <c r="D1008" s="339"/>
      <c r="E1008" s="340"/>
      <c r="F1008" s="341"/>
      <c r="G1008" s="341"/>
      <c r="H1008" s="342"/>
      <c r="I1008" s="342"/>
    </row>
    <row r="1009">
      <c r="A1009" s="337"/>
      <c r="B1009" s="337"/>
      <c r="C1009" s="338"/>
      <c r="D1009" s="339"/>
      <c r="E1009" s="340"/>
      <c r="F1009" s="341"/>
      <c r="G1009" s="341"/>
      <c r="H1009" s="342"/>
      <c r="I1009" s="342"/>
    </row>
    <row r="1010">
      <c r="A1010" s="337"/>
      <c r="B1010" s="337"/>
      <c r="C1010" s="338"/>
      <c r="D1010" s="339"/>
      <c r="E1010" s="340"/>
      <c r="F1010" s="341"/>
      <c r="G1010" s="341"/>
      <c r="H1010" s="342"/>
      <c r="I1010" s="342"/>
    </row>
    <row r="1011">
      <c r="A1011" s="337"/>
      <c r="B1011" s="337"/>
      <c r="C1011" s="338"/>
      <c r="D1011" s="339"/>
      <c r="E1011" s="340"/>
      <c r="F1011" s="341"/>
      <c r="G1011" s="341"/>
      <c r="H1011" s="342"/>
      <c r="I1011" s="342"/>
    </row>
    <row r="1012">
      <c r="A1012" s="337"/>
      <c r="B1012" s="337"/>
      <c r="C1012" s="338"/>
      <c r="D1012" s="339"/>
      <c r="E1012" s="340"/>
      <c r="F1012" s="341"/>
      <c r="G1012" s="341"/>
      <c r="H1012" s="342"/>
      <c r="I1012" s="342"/>
    </row>
    <row r="1013">
      <c r="A1013" s="337"/>
      <c r="B1013" s="337"/>
      <c r="C1013" s="338"/>
      <c r="D1013" s="339"/>
      <c r="E1013" s="340"/>
      <c r="F1013" s="341"/>
      <c r="G1013" s="341"/>
      <c r="H1013" s="342"/>
      <c r="I1013" s="342"/>
    </row>
    <row r="1014">
      <c r="A1014" s="337"/>
      <c r="B1014" s="337"/>
      <c r="C1014" s="338"/>
      <c r="D1014" s="339"/>
      <c r="E1014" s="340"/>
      <c r="F1014" s="341"/>
      <c r="G1014" s="341"/>
      <c r="H1014" s="342"/>
      <c r="I1014" s="342"/>
    </row>
    <row r="1015">
      <c r="A1015" s="337"/>
      <c r="B1015" s="337"/>
      <c r="C1015" s="338"/>
      <c r="D1015" s="339"/>
      <c r="E1015" s="340"/>
      <c r="F1015" s="341"/>
      <c r="G1015" s="341"/>
      <c r="H1015" s="342"/>
      <c r="I1015" s="342"/>
    </row>
    <row r="1016">
      <c r="A1016" s="337"/>
      <c r="B1016" s="337"/>
      <c r="C1016" s="338"/>
      <c r="D1016" s="339"/>
      <c r="E1016" s="340"/>
      <c r="F1016" s="341"/>
      <c r="G1016" s="341"/>
      <c r="H1016" s="342"/>
      <c r="I1016" s="342"/>
    </row>
    <row r="1017">
      <c r="A1017" s="337"/>
      <c r="B1017" s="337"/>
      <c r="C1017" s="338"/>
      <c r="D1017" s="339"/>
      <c r="E1017" s="340"/>
      <c r="F1017" s="341"/>
      <c r="G1017" s="341"/>
      <c r="H1017" s="342"/>
      <c r="I1017" s="342"/>
    </row>
    <row r="1018">
      <c r="A1018" s="337"/>
      <c r="B1018" s="337"/>
      <c r="C1018" s="338"/>
      <c r="D1018" s="339"/>
      <c r="E1018" s="340"/>
      <c r="F1018" s="341"/>
      <c r="G1018" s="341"/>
      <c r="H1018" s="342"/>
      <c r="I1018" s="342"/>
    </row>
    <row r="1019">
      <c r="A1019" s="337"/>
      <c r="B1019" s="337"/>
      <c r="C1019" s="338"/>
      <c r="D1019" s="339"/>
      <c r="E1019" s="340"/>
      <c r="F1019" s="341"/>
      <c r="G1019" s="341"/>
      <c r="H1019" s="342"/>
      <c r="I1019" s="342"/>
    </row>
    <row r="1020">
      <c r="A1020" s="337"/>
      <c r="B1020" s="337"/>
      <c r="C1020" s="338"/>
      <c r="D1020" s="339"/>
      <c r="E1020" s="340"/>
      <c r="F1020" s="341"/>
      <c r="G1020" s="341"/>
      <c r="H1020" s="342"/>
      <c r="I1020" s="342"/>
    </row>
    <row r="1021">
      <c r="A1021" s="337"/>
      <c r="B1021" s="337"/>
      <c r="C1021" s="338"/>
      <c r="D1021" s="339"/>
      <c r="E1021" s="340"/>
      <c r="F1021" s="341"/>
      <c r="G1021" s="341"/>
      <c r="H1021" s="342"/>
      <c r="I1021" s="342"/>
    </row>
    <row r="1022">
      <c r="A1022" s="337"/>
      <c r="B1022" s="337"/>
      <c r="C1022" s="338"/>
      <c r="D1022" s="339"/>
      <c r="E1022" s="340"/>
      <c r="F1022" s="341"/>
      <c r="G1022" s="341"/>
      <c r="H1022" s="342"/>
      <c r="I1022" s="342"/>
    </row>
    <row r="1023">
      <c r="A1023" s="337"/>
      <c r="B1023" s="337"/>
      <c r="C1023" s="338"/>
      <c r="D1023" s="339"/>
      <c r="E1023" s="340"/>
      <c r="F1023" s="341"/>
      <c r="G1023" s="341"/>
      <c r="H1023" s="342"/>
      <c r="I1023" s="342"/>
    </row>
    <row r="1024">
      <c r="A1024" s="337"/>
      <c r="B1024" s="337"/>
      <c r="C1024" s="338"/>
      <c r="D1024" s="339"/>
      <c r="E1024" s="340"/>
      <c r="F1024" s="341"/>
      <c r="G1024" s="341"/>
      <c r="H1024" s="342"/>
      <c r="I1024" s="342"/>
    </row>
    <row r="1025">
      <c r="A1025" s="337"/>
      <c r="B1025" s="337"/>
      <c r="C1025" s="338"/>
      <c r="D1025" s="339"/>
      <c r="E1025" s="340"/>
      <c r="F1025" s="341"/>
      <c r="G1025" s="341"/>
      <c r="H1025" s="342"/>
      <c r="I1025" s="342"/>
    </row>
    <row r="1026">
      <c r="A1026" s="337"/>
      <c r="B1026" s="337"/>
      <c r="C1026" s="338"/>
      <c r="D1026" s="339"/>
      <c r="E1026" s="340"/>
      <c r="F1026" s="341"/>
      <c r="G1026" s="341"/>
      <c r="H1026" s="342"/>
      <c r="I1026" s="342"/>
    </row>
    <row r="1027">
      <c r="A1027" s="337"/>
      <c r="B1027" s="337"/>
      <c r="C1027" s="338"/>
      <c r="D1027" s="339"/>
      <c r="E1027" s="340"/>
      <c r="F1027" s="341"/>
      <c r="G1027" s="341"/>
      <c r="H1027" s="342"/>
      <c r="I1027" s="342"/>
    </row>
    <row r="1028">
      <c r="A1028" s="337"/>
      <c r="B1028" s="337"/>
      <c r="C1028" s="338"/>
      <c r="D1028" s="339"/>
      <c r="E1028" s="340"/>
      <c r="F1028" s="341"/>
      <c r="G1028" s="341"/>
      <c r="H1028" s="342"/>
      <c r="I1028" s="342"/>
    </row>
    <row r="1029">
      <c r="A1029" s="337"/>
      <c r="B1029" s="337"/>
      <c r="C1029" s="338"/>
      <c r="D1029" s="339"/>
      <c r="E1029" s="340"/>
      <c r="F1029" s="341"/>
      <c r="G1029" s="341"/>
      <c r="H1029" s="342"/>
      <c r="I1029" s="342"/>
    </row>
    <row r="1030">
      <c r="A1030" s="337"/>
      <c r="B1030" s="337"/>
      <c r="C1030" s="338"/>
      <c r="D1030" s="339"/>
      <c r="E1030" s="340"/>
      <c r="F1030" s="341"/>
      <c r="G1030" s="341"/>
      <c r="H1030" s="342"/>
      <c r="I1030" s="342"/>
    </row>
    <row r="1031">
      <c r="A1031" s="337"/>
      <c r="B1031" s="337"/>
      <c r="C1031" s="338"/>
      <c r="D1031" s="339"/>
      <c r="E1031" s="340"/>
      <c r="F1031" s="341"/>
      <c r="G1031" s="341"/>
      <c r="H1031" s="342"/>
      <c r="I1031" s="342"/>
    </row>
    <row r="1032">
      <c r="A1032" s="337"/>
      <c r="B1032" s="337"/>
      <c r="C1032" s="338"/>
      <c r="D1032" s="339"/>
      <c r="E1032" s="340"/>
      <c r="F1032" s="341"/>
      <c r="G1032" s="341"/>
      <c r="H1032" s="342"/>
      <c r="I1032" s="342"/>
    </row>
    <row r="1033">
      <c r="A1033" s="337"/>
      <c r="B1033" s="337"/>
      <c r="C1033" s="338"/>
      <c r="D1033" s="339"/>
      <c r="E1033" s="340"/>
      <c r="F1033" s="341"/>
      <c r="G1033" s="341"/>
      <c r="H1033" s="342"/>
      <c r="I1033" s="342"/>
    </row>
    <row r="1034">
      <c r="A1034" s="337"/>
      <c r="B1034" s="337"/>
      <c r="C1034" s="338"/>
      <c r="D1034" s="339"/>
      <c r="E1034" s="340"/>
      <c r="F1034" s="341"/>
      <c r="G1034" s="341"/>
      <c r="H1034" s="342"/>
      <c r="I1034" s="342"/>
    </row>
    <row r="1035">
      <c r="A1035" s="337"/>
      <c r="B1035" s="337"/>
      <c r="C1035" s="338"/>
      <c r="D1035" s="339"/>
      <c r="E1035" s="340"/>
      <c r="F1035" s="341"/>
      <c r="G1035" s="341"/>
      <c r="H1035" s="342"/>
      <c r="I1035" s="342"/>
    </row>
    <row r="1036">
      <c r="A1036" s="337"/>
      <c r="B1036" s="337"/>
      <c r="C1036" s="338"/>
      <c r="D1036" s="339"/>
      <c r="E1036" s="340"/>
      <c r="F1036" s="341"/>
      <c r="G1036" s="341"/>
      <c r="H1036" s="342"/>
      <c r="I1036" s="342"/>
    </row>
    <row r="1037">
      <c r="A1037" s="337"/>
      <c r="B1037" s="337"/>
      <c r="C1037" s="338"/>
      <c r="D1037" s="339"/>
      <c r="E1037" s="340"/>
      <c r="F1037" s="341"/>
      <c r="G1037" s="341"/>
      <c r="H1037" s="342"/>
      <c r="I1037" s="342"/>
    </row>
    <row r="1038">
      <c r="A1038" s="337"/>
      <c r="B1038" s="337"/>
      <c r="C1038" s="338"/>
      <c r="D1038" s="339"/>
      <c r="E1038" s="340"/>
      <c r="F1038" s="341"/>
      <c r="G1038" s="341"/>
      <c r="H1038" s="342"/>
      <c r="I1038" s="342"/>
    </row>
    <row r="1039">
      <c r="A1039" s="337"/>
      <c r="B1039" s="337"/>
      <c r="C1039" s="338"/>
      <c r="D1039" s="339"/>
      <c r="E1039" s="340"/>
      <c r="F1039" s="341"/>
      <c r="G1039" s="341"/>
      <c r="H1039" s="342"/>
      <c r="I1039" s="342"/>
    </row>
    <row r="1040">
      <c r="A1040" s="337"/>
      <c r="B1040" s="337"/>
      <c r="C1040" s="338"/>
      <c r="D1040" s="339"/>
      <c r="E1040" s="340"/>
      <c r="F1040" s="341"/>
      <c r="G1040" s="341"/>
      <c r="H1040" s="342"/>
      <c r="I1040" s="342"/>
    </row>
    <row r="1041">
      <c r="A1041" s="337"/>
      <c r="B1041" s="337"/>
      <c r="C1041" s="338"/>
      <c r="D1041" s="339"/>
      <c r="E1041" s="340"/>
      <c r="F1041" s="341"/>
      <c r="G1041" s="341"/>
      <c r="H1041" s="342"/>
      <c r="I1041" s="342"/>
    </row>
    <row r="1042">
      <c r="A1042" s="337"/>
      <c r="B1042" s="337"/>
      <c r="C1042" s="338"/>
      <c r="D1042" s="339"/>
      <c r="E1042" s="340"/>
      <c r="F1042" s="341"/>
      <c r="G1042" s="341"/>
      <c r="H1042" s="342"/>
      <c r="I1042" s="342"/>
    </row>
    <row r="1043">
      <c r="A1043" s="337"/>
      <c r="B1043" s="337"/>
      <c r="C1043" s="338"/>
      <c r="D1043" s="339"/>
      <c r="E1043" s="340"/>
      <c r="F1043" s="341"/>
      <c r="G1043" s="341"/>
      <c r="H1043" s="342"/>
      <c r="I1043" s="342"/>
    </row>
    <row r="1044">
      <c r="A1044" s="337"/>
      <c r="B1044" s="337"/>
      <c r="C1044" s="338"/>
      <c r="D1044" s="339"/>
      <c r="E1044" s="340"/>
      <c r="F1044" s="341"/>
      <c r="G1044" s="341"/>
      <c r="H1044" s="342"/>
      <c r="I1044" s="342"/>
    </row>
    <row r="1045">
      <c r="A1045" s="337"/>
      <c r="B1045" s="337"/>
      <c r="C1045" s="338"/>
      <c r="D1045" s="339"/>
      <c r="E1045" s="340"/>
      <c r="F1045" s="341"/>
      <c r="G1045" s="341"/>
      <c r="H1045" s="342"/>
      <c r="I1045" s="342"/>
    </row>
    <row r="1046">
      <c r="A1046" s="337"/>
      <c r="B1046" s="337"/>
      <c r="C1046" s="338"/>
      <c r="D1046" s="339"/>
      <c r="E1046" s="340"/>
      <c r="F1046" s="341"/>
      <c r="G1046" s="341"/>
      <c r="H1046" s="342"/>
      <c r="I1046" s="342"/>
    </row>
    <row r="1047">
      <c r="A1047" s="337"/>
      <c r="B1047" s="337"/>
      <c r="C1047" s="338"/>
      <c r="D1047" s="339"/>
      <c r="E1047" s="340"/>
      <c r="F1047" s="341"/>
      <c r="G1047" s="341"/>
      <c r="H1047" s="342"/>
      <c r="I1047" s="342"/>
    </row>
    <row r="1048">
      <c r="A1048" s="337"/>
      <c r="B1048" s="337"/>
      <c r="C1048" s="338"/>
      <c r="D1048" s="339"/>
      <c r="E1048" s="340"/>
      <c r="F1048" s="341"/>
      <c r="G1048" s="341"/>
      <c r="H1048" s="342"/>
      <c r="I1048" s="342"/>
    </row>
    <row r="1049">
      <c r="A1049" s="337"/>
      <c r="B1049" s="337"/>
      <c r="C1049" s="338"/>
      <c r="D1049" s="339"/>
      <c r="E1049" s="340"/>
      <c r="F1049" s="341"/>
      <c r="G1049" s="341"/>
      <c r="H1049" s="342"/>
      <c r="I1049" s="342"/>
    </row>
    <row r="1050">
      <c r="A1050" s="337"/>
      <c r="B1050" s="337"/>
      <c r="C1050" s="338"/>
      <c r="D1050" s="339"/>
      <c r="E1050" s="340"/>
      <c r="F1050" s="341"/>
      <c r="G1050" s="341"/>
      <c r="H1050" s="342"/>
      <c r="I1050" s="342"/>
    </row>
    <row r="1051">
      <c r="A1051" s="337"/>
      <c r="B1051" s="337"/>
      <c r="C1051" s="338"/>
      <c r="D1051" s="339"/>
      <c r="E1051" s="340"/>
      <c r="F1051" s="341"/>
      <c r="G1051" s="341"/>
      <c r="H1051" s="342"/>
      <c r="I1051" s="342"/>
    </row>
    <row r="1052">
      <c r="A1052" s="337"/>
      <c r="B1052" s="337"/>
      <c r="C1052" s="338"/>
      <c r="D1052" s="339"/>
      <c r="E1052" s="340"/>
      <c r="F1052" s="341"/>
      <c r="G1052" s="341"/>
      <c r="H1052" s="342"/>
      <c r="I1052" s="342"/>
    </row>
    <row r="1053">
      <c r="A1053" s="337"/>
      <c r="B1053" s="337"/>
      <c r="C1053" s="338"/>
      <c r="D1053" s="339"/>
      <c r="E1053" s="340"/>
      <c r="F1053" s="341"/>
      <c r="G1053" s="341"/>
      <c r="H1053" s="342"/>
      <c r="I1053" s="342"/>
    </row>
    <row r="1054">
      <c r="A1054" s="337"/>
      <c r="B1054" s="337"/>
      <c r="C1054" s="338"/>
      <c r="D1054" s="339"/>
      <c r="E1054" s="340"/>
      <c r="F1054" s="341"/>
      <c r="G1054" s="341"/>
      <c r="H1054" s="342"/>
      <c r="I1054" s="342"/>
    </row>
    <row r="1055">
      <c r="A1055" s="337"/>
      <c r="B1055" s="337"/>
      <c r="C1055" s="338"/>
      <c r="D1055" s="339"/>
      <c r="E1055" s="340"/>
      <c r="F1055" s="341"/>
      <c r="G1055" s="341"/>
      <c r="H1055" s="342"/>
      <c r="I1055" s="342"/>
    </row>
    <row r="1056">
      <c r="A1056" s="337"/>
      <c r="B1056" s="337"/>
      <c r="C1056" s="338"/>
      <c r="D1056" s="339"/>
      <c r="E1056" s="340"/>
      <c r="F1056" s="341"/>
      <c r="G1056" s="341"/>
      <c r="H1056" s="342"/>
      <c r="I1056" s="342"/>
    </row>
    <row r="1057">
      <c r="A1057" s="337"/>
      <c r="B1057" s="337"/>
      <c r="C1057" s="338"/>
      <c r="D1057" s="339"/>
      <c r="E1057" s="340"/>
      <c r="F1057" s="341"/>
      <c r="G1057" s="341"/>
      <c r="H1057" s="342"/>
      <c r="I1057" s="342"/>
    </row>
    <row r="1058">
      <c r="A1058" s="337"/>
      <c r="B1058" s="337"/>
      <c r="C1058" s="338"/>
      <c r="D1058" s="339"/>
      <c r="E1058" s="340"/>
      <c r="F1058" s="341"/>
      <c r="G1058" s="341"/>
      <c r="H1058" s="342"/>
      <c r="I1058" s="342"/>
    </row>
    <row r="1059">
      <c r="A1059" s="337"/>
      <c r="B1059" s="337"/>
      <c r="C1059" s="338"/>
      <c r="D1059" s="339"/>
      <c r="E1059" s="340"/>
      <c r="F1059" s="341"/>
      <c r="G1059" s="341"/>
      <c r="H1059" s="342"/>
      <c r="I1059" s="342"/>
    </row>
    <row r="1060">
      <c r="A1060" s="337"/>
      <c r="B1060" s="337"/>
      <c r="C1060" s="338"/>
      <c r="D1060" s="339"/>
      <c r="E1060" s="340"/>
      <c r="F1060" s="341"/>
      <c r="G1060" s="341"/>
      <c r="H1060" s="342"/>
      <c r="I1060" s="342"/>
    </row>
    <row r="1061">
      <c r="A1061" s="337"/>
      <c r="B1061" s="337"/>
      <c r="C1061" s="338"/>
      <c r="D1061" s="339"/>
      <c r="E1061" s="340"/>
      <c r="F1061" s="341"/>
      <c r="G1061" s="341"/>
      <c r="H1061" s="342"/>
      <c r="I1061" s="342"/>
    </row>
    <row r="1062">
      <c r="A1062" s="337"/>
      <c r="B1062" s="337"/>
      <c r="C1062" s="338"/>
      <c r="D1062" s="339"/>
      <c r="E1062" s="340"/>
      <c r="F1062" s="341"/>
      <c r="G1062" s="341"/>
      <c r="H1062" s="342"/>
      <c r="I1062" s="342"/>
    </row>
    <row r="1063">
      <c r="A1063" s="337"/>
      <c r="B1063" s="337"/>
      <c r="C1063" s="338"/>
      <c r="D1063" s="339"/>
      <c r="E1063" s="340"/>
      <c r="F1063" s="341"/>
      <c r="G1063" s="341"/>
      <c r="H1063" s="342"/>
      <c r="I1063" s="342"/>
    </row>
    <row r="1064">
      <c r="A1064" s="337"/>
      <c r="B1064" s="337"/>
      <c r="C1064" s="338"/>
      <c r="D1064" s="339"/>
      <c r="E1064" s="340"/>
      <c r="F1064" s="341"/>
      <c r="G1064" s="341"/>
      <c r="H1064" s="342"/>
      <c r="I1064" s="342"/>
    </row>
    <row r="1065">
      <c r="A1065" s="337"/>
      <c r="B1065" s="337"/>
      <c r="C1065" s="338"/>
      <c r="D1065" s="339"/>
      <c r="E1065" s="340"/>
      <c r="F1065" s="341"/>
      <c r="G1065" s="341"/>
      <c r="H1065" s="342"/>
      <c r="I1065" s="342"/>
    </row>
    <row r="1066">
      <c r="A1066" s="337"/>
      <c r="B1066" s="337"/>
      <c r="C1066" s="338"/>
      <c r="D1066" s="339"/>
      <c r="E1066" s="340"/>
      <c r="F1066" s="341"/>
      <c r="G1066" s="341"/>
      <c r="H1066" s="342"/>
      <c r="I1066" s="342"/>
    </row>
    <row r="1067">
      <c r="A1067" s="337"/>
      <c r="B1067" s="337"/>
      <c r="C1067" s="338"/>
      <c r="D1067" s="339"/>
      <c r="E1067" s="340"/>
      <c r="F1067" s="341"/>
      <c r="G1067" s="341"/>
      <c r="H1067" s="342"/>
      <c r="I1067" s="342"/>
    </row>
    <row r="1068">
      <c r="A1068" s="337"/>
      <c r="B1068" s="337"/>
      <c r="C1068" s="338"/>
      <c r="D1068" s="339"/>
      <c r="E1068" s="340"/>
      <c r="F1068" s="341"/>
      <c r="G1068" s="341"/>
      <c r="H1068" s="342"/>
      <c r="I1068" s="342"/>
    </row>
    <row r="1069">
      <c r="A1069" s="337"/>
      <c r="B1069" s="337"/>
      <c r="C1069" s="338"/>
      <c r="D1069" s="339"/>
      <c r="E1069" s="340"/>
      <c r="F1069" s="341"/>
      <c r="G1069" s="341"/>
      <c r="H1069" s="342"/>
      <c r="I1069" s="342"/>
    </row>
    <row r="1070">
      <c r="A1070" s="337"/>
      <c r="B1070" s="337"/>
      <c r="C1070" s="338"/>
      <c r="D1070" s="339"/>
      <c r="E1070" s="340"/>
      <c r="F1070" s="341"/>
      <c r="G1070" s="341"/>
      <c r="H1070" s="342"/>
      <c r="I1070" s="342"/>
    </row>
    <row r="1071">
      <c r="A1071" s="337"/>
      <c r="B1071" s="337"/>
      <c r="C1071" s="338"/>
      <c r="D1071" s="339"/>
      <c r="E1071" s="340"/>
      <c r="F1071" s="341"/>
      <c r="G1071" s="341"/>
      <c r="H1071" s="342"/>
      <c r="I1071" s="342"/>
    </row>
    <row r="1072">
      <c r="A1072" s="337"/>
      <c r="B1072" s="337"/>
      <c r="C1072" s="338"/>
      <c r="D1072" s="339"/>
      <c r="E1072" s="340"/>
      <c r="F1072" s="341"/>
      <c r="G1072" s="341"/>
      <c r="H1072" s="342"/>
      <c r="I1072" s="342"/>
    </row>
    <row r="1073">
      <c r="A1073" s="337"/>
      <c r="B1073" s="337"/>
      <c r="C1073" s="338"/>
      <c r="D1073" s="339"/>
      <c r="E1073" s="340"/>
      <c r="F1073" s="341"/>
      <c r="G1073" s="341"/>
      <c r="H1073" s="342"/>
      <c r="I1073" s="342"/>
    </row>
    <row r="1074">
      <c r="A1074" s="337"/>
      <c r="B1074" s="337"/>
      <c r="C1074" s="338"/>
      <c r="D1074" s="339"/>
      <c r="E1074" s="340"/>
      <c r="F1074" s="341"/>
      <c r="G1074" s="341"/>
      <c r="H1074" s="342"/>
      <c r="I1074" s="342"/>
    </row>
    <row r="1075">
      <c r="A1075" s="337"/>
      <c r="B1075" s="337"/>
      <c r="C1075" s="338"/>
      <c r="D1075" s="339"/>
      <c r="E1075" s="340"/>
      <c r="F1075" s="341"/>
      <c r="G1075" s="341"/>
      <c r="H1075" s="342"/>
      <c r="I1075" s="342"/>
    </row>
    <row r="1076">
      <c r="A1076" s="337"/>
      <c r="B1076" s="337"/>
      <c r="C1076" s="338"/>
      <c r="D1076" s="339"/>
      <c r="E1076" s="340"/>
      <c r="F1076" s="341"/>
      <c r="G1076" s="341"/>
      <c r="H1076" s="342"/>
      <c r="I1076" s="342"/>
    </row>
    <row r="1077">
      <c r="A1077" s="337"/>
      <c r="B1077" s="337"/>
      <c r="C1077" s="338"/>
      <c r="D1077" s="339"/>
      <c r="E1077" s="340"/>
      <c r="F1077" s="341"/>
      <c r="G1077" s="341"/>
      <c r="H1077" s="342"/>
      <c r="I1077" s="342"/>
    </row>
    <row r="1078">
      <c r="A1078" s="337"/>
      <c r="B1078" s="337"/>
      <c r="C1078" s="338"/>
      <c r="D1078" s="339"/>
      <c r="E1078" s="340"/>
      <c r="F1078" s="341"/>
      <c r="G1078" s="341"/>
      <c r="H1078" s="342"/>
      <c r="I1078" s="342"/>
    </row>
    <row r="1079">
      <c r="A1079" s="337"/>
      <c r="B1079" s="337"/>
      <c r="C1079" s="338"/>
      <c r="D1079" s="339"/>
      <c r="E1079" s="340"/>
      <c r="F1079" s="341"/>
      <c r="G1079" s="341"/>
      <c r="H1079" s="342"/>
      <c r="I1079" s="342"/>
    </row>
    <row r="1080">
      <c r="A1080" s="337"/>
      <c r="B1080" s="337"/>
      <c r="C1080" s="338"/>
      <c r="D1080" s="339"/>
      <c r="E1080" s="340"/>
      <c r="F1080" s="341"/>
      <c r="G1080" s="341"/>
      <c r="H1080" s="342"/>
      <c r="I1080" s="342"/>
    </row>
    <row r="1081">
      <c r="A1081" s="337"/>
      <c r="B1081" s="337"/>
      <c r="C1081" s="338"/>
      <c r="D1081" s="339"/>
      <c r="E1081" s="340"/>
      <c r="F1081" s="341"/>
      <c r="G1081" s="341"/>
      <c r="H1081" s="342"/>
      <c r="I1081" s="342"/>
    </row>
    <row r="1082">
      <c r="A1082" s="337"/>
      <c r="B1082" s="337"/>
      <c r="C1082" s="338"/>
      <c r="D1082" s="339"/>
      <c r="E1082" s="340"/>
      <c r="F1082" s="341"/>
      <c r="G1082" s="341"/>
      <c r="H1082" s="342"/>
      <c r="I1082" s="342"/>
    </row>
    <row r="1083">
      <c r="A1083" s="337"/>
      <c r="B1083" s="337"/>
      <c r="C1083" s="338"/>
      <c r="D1083" s="339"/>
      <c r="E1083" s="340"/>
      <c r="F1083" s="341"/>
      <c r="G1083" s="341"/>
      <c r="H1083" s="342"/>
      <c r="I1083" s="342"/>
    </row>
    <row r="1084">
      <c r="A1084" s="337"/>
      <c r="B1084" s="337"/>
      <c r="C1084" s="338"/>
      <c r="D1084" s="339"/>
      <c r="E1084" s="340"/>
      <c r="F1084" s="341"/>
      <c r="G1084" s="341"/>
      <c r="H1084" s="342"/>
      <c r="I1084" s="342"/>
    </row>
    <row r="1085">
      <c r="A1085" s="337"/>
      <c r="B1085" s="337"/>
      <c r="C1085" s="338"/>
      <c r="D1085" s="339"/>
      <c r="E1085" s="340"/>
      <c r="F1085" s="341"/>
      <c r="G1085" s="341"/>
      <c r="H1085" s="342"/>
      <c r="I1085" s="342"/>
    </row>
    <row r="1086">
      <c r="A1086" s="337"/>
      <c r="B1086" s="337"/>
      <c r="C1086" s="338"/>
      <c r="D1086" s="339"/>
      <c r="E1086" s="340"/>
      <c r="F1086" s="341"/>
      <c r="G1086" s="341"/>
      <c r="H1086" s="342"/>
      <c r="I1086" s="342"/>
    </row>
    <row r="1087">
      <c r="A1087" s="337"/>
      <c r="B1087" s="337"/>
      <c r="C1087" s="338"/>
      <c r="D1087" s="339"/>
      <c r="E1087" s="340"/>
      <c r="F1087" s="341"/>
      <c r="G1087" s="341"/>
      <c r="H1087" s="342"/>
      <c r="I1087" s="342"/>
    </row>
    <row r="1088">
      <c r="A1088" s="337"/>
      <c r="B1088" s="337"/>
      <c r="C1088" s="338"/>
      <c r="D1088" s="339"/>
      <c r="E1088" s="340"/>
      <c r="F1088" s="341"/>
      <c r="G1088" s="341"/>
      <c r="H1088" s="342"/>
      <c r="I1088" s="342"/>
    </row>
    <row r="1089">
      <c r="A1089" s="337"/>
      <c r="B1089" s="337"/>
      <c r="C1089" s="338"/>
      <c r="D1089" s="339"/>
      <c r="E1089" s="340"/>
      <c r="F1089" s="341"/>
      <c r="G1089" s="341"/>
      <c r="H1089" s="342"/>
      <c r="I1089" s="342"/>
    </row>
    <row r="1090">
      <c r="A1090" s="337"/>
      <c r="B1090" s="337"/>
      <c r="C1090" s="338"/>
      <c r="D1090" s="339"/>
      <c r="E1090" s="340"/>
      <c r="F1090" s="341"/>
      <c r="G1090" s="341"/>
      <c r="H1090" s="342"/>
      <c r="I1090" s="342"/>
    </row>
    <row r="1091">
      <c r="A1091" s="337"/>
      <c r="B1091" s="337"/>
      <c r="C1091" s="338"/>
      <c r="D1091" s="339"/>
      <c r="E1091" s="340"/>
      <c r="F1091" s="341"/>
      <c r="G1091" s="341"/>
      <c r="H1091" s="342"/>
      <c r="I1091" s="342"/>
    </row>
    <row r="1092">
      <c r="A1092" s="337"/>
      <c r="B1092" s="337"/>
      <c r="C1092" s="338"/>
      <c r="D1092" s="339"/>
      <c r="E1092" s="340"/>
      <c r="F1092" s="341"/>
      <c r="G1092" s="341"/>
      <c r="H1092" s="342"/>
      <c r="I1092" s="342"/>
    </row>
    <row r="1093">
      <c r="A1093" s="337"/>
      <c r="B1093" s="337"/>
      <c r="C1093" s="338"/>
      <c r="D1093" s="339"/>
      <c r="E1093" s="340"/>
      <c r="F1093" s="341"/>
      <c r="G1093" s="341"/>
      <c r="H1093" s="342"/>
      <c r="I1093" s="342"/>
    </row>
    <row r="1094">
      <c r="A1094" s="337"/>
      <c r="B1094" s="337"/>
      <c r="C1094" s="338"/>
      <c r="D1094" s="339"/>
      <c r="E1094" s="340"/>
      <c r="F1094" s="341"/>
      <c r="G1094" s="341"/>
      <c r="H1094" s="342"/>
      <c r="I1094" s="342"/>
    </row>
    <row r="1095">
      <c r="A1095" s="337"/>
      <c r="B1095" s="337"/>
      <c r="C1095" s="338"/>
      <c r="D1095" s="339"/>
      <c r="E1095" s="340"/>
      <c r="F1095" s="341"/>
      <c r="G1095" s="341"/>
      <c r="H1095" s="342"/>
      <c r="I1095" s="342"/>
    </row>
    <row r="1096">
      <c r="A1096" s="337"/>
      <c r="B1096" s="337"/>
      <c r="C1096" s="338"/>
      <c r="D1096" s="339"/>
      <c r="E1096" s="340"/>
      <c r="F1096" s="341"/>
      <c r="G1096" s="341"/>
      <c r="H1096" s="342"/>
      <c r="I1096" s="342"/>
    </row>
    <row r="1097">
      <c r="A1097" s="337"/>
      <c r="B1097" s="337"/>
      <c r="C1097" s="338"/>
      <c r="D1097" s="339"/>
      <c r="E1097" s="340"/>
      <c r="F1097" s="341"/>
      <c r="G1097" s="341"/>
      <c r="H1097" s="342"/>
      <c r="I1097" s="342"/>
    </row>
    <row r="1098">
      <c r="A1098" s="337"/>
      <c r="B1098" s="337"/>
      <c r="C1098" s="338"/>
      <c r="D1098" s="339"/>
      <c r="E1098" s="340"/>
      <c r="F1098" s="341"/>
      <c r="G1098" s="341"/>
      <c r="H1098" s="342"/>
      <c r="I1098" s="342"/>
    </row>
    <row r="1099">
      <c r="A1099" s="337"/>
      <c r="B1099" s="337"/>
      <c r="C1099" s="338"/>
      <c r="D1099" s="339"/>
      <c r="E1099" s="340"/>
      <c r="F1099" s="341"/>
      <c r="G1099" s="341"/>
      <c r="H1099" s="342"/>
      <c r="I1099" s="342"/>
    </row>
  </sheetData>
  <autoFilter ref="$A$1:$I$252"/>
  <dataValidations>
    <dataValidation type="list" allowBlank="1" showErrorMessage="1" sqref="B2:B33 B35:B110 B112:B1099">
      <formula1>"Tier 1 International,Tier 1 Local,Tier 2,Tier 3,Podcast,Interview,Radio,Socials,Tier 2 International"</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F12"/>
    <hyperlink r:id="rId12" ref="G12"/>
    <hyperlink r:id="rId13" ref="G13"/>
    <hyperlink r:id="rId14" ref="G14"/>
    <hyperlink r:id="rId15" ref="G15"/>
    <hyperlink r:id="rId16" ref="G16"/>
    <hyperlink r:id="rId17" ref="F17"/>
    <hyperlink r:id="rId18" ref="G17"/>
    <hyperlink r:id="rId19" ref="G18"/>
    <hyperlink r:id="rId20" ref="G19"/>
    <hyperlink r:id="rId21" ref="G20"/>
    <hyperlink r:id="rId22" ref="G21"/>
    <hyperlink r:id="rId23" ref="G22"/>
    <hyperlink r:id="rId24" ref="G23"/>
    <hyperlink r:id="rId25" ref="G24"/>
    <hyperlink r:id="rId26" ref="G25"/>
    <hyperlink r:id="rId27" ref="G26"/>
    <hyperlink r:id="rId28" ref="G27"/>
    <hyperlink r:id="rId29" ref="G28"/>
    <hyperlink r:id="rId30" ref="G29"/>
    <hyperlink r:id="rId31" ref="G30"/>
    <hyperlink r:id="rId32" ref="G31"/>
    <hyperlink r:id="rId33" ref="G32"/>
    <hyperlink r:id="rId34" ref="G35"/>
    <hyperlink r:id="rId35" ref="G36"/>
    <hyperlink r:id="rId36" ref="F37"/>
    <hyperlink r:id="rId37" ref="G37"/>
    <hyperlink r:id="rId38" ref="F38"/>
    <hyperlink r:id="rId39" ref="G38"/>
    <hyperlink r:id="rId40" ref="F39"/>
    <hyperlink r:id="rId41" ref="G39"/>
    <hyperlink r:id="rId42" ref="F40"/>
    <hyperlink r:id="rId43" ref="G40"/>
    <hyperlink r:id="rId44" ref="F41"/>
    <hyperlink r:id="rId45" ref="G41"/>
    <hyperlink r:id="rId46" ref="F42"/>
    <hyperlink r:id="rId47" ref="G42"/>
    <hyperlink r:id="rId48" ref="F43"/>
    <hyperlink r:id="rId49" ref="G43"/>
    <hyperlink r:id="rId50" ref="G44"/>
    <hyperlink r:id="rId51" ref="F45"/>
    <hyperlink r:id="rId52" ref="G45"/>
    <hyperlink r:id="rId53" ref="F46"/>
    <hyperlink r:id="rId54" ref="G46"/>
    <hyperlink r:id="rId55" ref="F47"/>
    <hyperlink r:id="rId56" ref="G47"/>
    <hyperlink r:id="rId57" ref="F48"/>
    <hyperlink r:id="rId58" ref="G48"/>
    <hyperlink r:id="rId59" ref="F49"/>
    <hyperlink r:id="rId60" ref="G49"/>
    <hyperlink r:id="rId61" ref="F50"/>
    <hyperlink r:id="rId62" ref="G50"/>
    <hyperlink r:id="rId63" ref="C51"/>
    <hyperlink r:id="rId64" ref="F51"/>
    <hyperlink r:id="rId65" ref="G51"/>
    <hyperlink r:id="rId66" ref="F52"/>
    <hyperlink r:id="rId67" ref="G52"/>
    <hyperlink r:id="rId68" ref="F53"/>
    <hyperlink r:id="rId69" ref="G53"/>
    <hyperlink r:id="rId70" ref="G54"/>
    <hyperlink r:id="rId71" ref="G55"/>
    <hyperlink r:id="rId72" ref="G56"/>
    <hyperlink r:id="rId73" ref="G57"/>
    <hyperlink r:id="rId74" ref="G58"/>
    <hyperlink r:id="rId75" ref="G59"/>
    <hyperlink r:id="rId76" ref="G60"/>
    <hyperlink r:id="rId77" ref="G61"/>
    <hyperlink r:id="rId78" ref="G62"/>
    <hyperlink r:id="rId79" ref="G65"/>
    <hyperlink r:id="rId80" ref="G66"/>
    <hyperlink r:id="rId81" ref="G67"/>
    <hyperlink r:id="rId82" ref="C68"/>
    <hyperlink r:id="rId83" ref="G68"/>
    <hyperlink r:id="rId84" ref="G69"/>
    <hyperlink r:id="rId85" ref="G70"/>
    <hyperlink r:id="rId86" ref="G71"/>
    <hyperlink r:id="rId87" ref="G72"/>
    <hyperlink r:id="rId88" ref="G73"/>
    <hyperlink r:id="rId89" ref="G74"/>
    <hyperlink r:id="rId90" ref="G75"/>
    <hyperlink r:id="rId91" ref="G76"/>
    <hyperlink r:id="rId92" ref="G77"/>
    <hyperlink r:id="rId93" ref="G78"/>
    <hyperlink r:id="rId94" ref="G79"/>
    <hyperlink r:id="rId95" ref="G80"/>
    <hyperlink r:id="rId96" ref="G81"/>
    <hyperlink r:id="rId97" ref="G82"/>
    <hyperlink r:id="rId98" ref="G83"/>
    <hyperlink r:id="rId99" ref="G84"/>
    <hyperlink r:id="rId100" ref="G85"/>
    <hyperlink r:id="rId101" ref="C86"/>
    <hyperlink r:id="rId102" ref="G86"/>
    <hyperlink r:id="rId103" ref="G87"/>
    <hyperlink r:id="rId104" ref="G88"/>
    <hyperlink r:id="rId105" ref="G89"/>
    <hyperlink r:id="rId106" ref="G90"/>
    <hyperlink r:id="rId107" ref="G91"/>
    <hyperlink r:id="rId108" ref="G94"/>
    <hyperlink r:id="rId109" ref="G95"/>
    <hyperlink r:id="rId110" ref="G96"/>
    <hyperlink r:id="rId111" ref="G97"/>
    <hyperlink r:id="rId112" ref="G98"/>
    <hyperlink r:id="rId113" ref="G99"/>
    <hyperlink r:id="rId114" ref="G100"/>
    <hyperlink r:id="rId115" ref="G101"/>
    <hyperlink r:id="rId116" ref="G102"/>
    <hyperlink r:id="rId117" ref="G103"/>
    <hyperlink r:id="rId118" ref="G104"/>
    <hyperlink r:id="rId119" ref="G105"/>
    <hyperlink r:id="rId120" ref="G106"/>
    <hyperlink r:id="rId121" ref="G107"/>
    <hyperlink r:id="rId122" ref="G108"/>
    <hyperlink r:id="rId123" ref="G109"/>
    <hyperlink r:id="rId124" ref="G110"/>
    <hyperlink r:id="rId125" ref="G111"/>
    <hyperlink r:id="rId126" ref="G112"/>
    <hyperlink r:id="rId127" ref="G113"/>
    <hyperlink r:id="rId128" ref="G114"/>
    <hyperlink r:id="rId129" ref="G117"/>
  </hyperlinks>
  <drawing r:id="rId1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25"/>
  </cols>
  <sheetData>
    <row r="1" ht="24.75" customHeight="1">
      <c r="A1" s="343">
        <v>2025.0</v>
      </c>
      <c r="B1" s="344"/>
      <c r="C1" s="345" t="s">
        <v>33</v>
      </c>
      <c r="D1" s="345" t="s">
        <v>34</v>
      </c>
      <c r="E1" s="345" t="s">
        <v>35</v>
      </c>
      <c r="F1" s="345" t="s">
        <v>36</v>
      </c>
      <c r="G1" s="345" t="s">
        <v>37</v>
      </c>
      <c r="H1" s="345" t="s">
        <v>38</v>
      </c>
      <c r="I1" s="345" t="s">
        <v>39</v>
      </c>
      <c r="J1" s="345" t="s">
        <v>40</v>
      </c>
      <c r="K1" s="345" t="s">
        <v>41</v>
      </c>
      <c r="L1" s="345" t="s">
        <v>42</v>
      </c>
      <c r="M1" s="345" t="s">
        <v>43</v>
      </c>
      <c r="N1" s="345" t="s">
        <v>44</v>
      </c>
      <c r="O1" s="346"/>
      <c r="P1" s="346"/>
      <c r="Q1" s="346"/>
      <c r="R1" s="346"/>
      <c r="S1" s="346"/>
      <c r="T1" s="346"/>
    </row>
    <row r="2">
      <c r="A2" s="347" t="s">
        <v>327</v>
      </c>
      <c r="B2" s="348" t="s">
        <v>328</v>
      </c>
      <c r="C2" s="349"/>
      <c r="D2" s="349"/>
      <c r="E2" s="349"/>
      <c r="F2" s="349"/>
      <c r="G2" s="349"/>
      <c r="H2" s="349"/>
      <c r="I2" s="349"/>
      <c r="J2" s="349"/>
      <c r="K2" s="349"/>
      <c r="L2" s="349"/>
      <c r="M2" s="349"/>
      <c r="N2" s="349"/>
    </row>
    <row r="3">
      <c r="A3" s="350"/>
      <c r="B3" s="348" t="s">
        <v>57</v>
      </c>
      <c r="C3" s="349"/>
      <c r="D3" s="349"/>
      <c r="E3" s="349"/>
      <c r="F3" s="349"/>
      <c r="G3" s="351"/>
      <c r="H3" s="351"/>
      <c r="I3" s="351"/>
      <c r="J3" s="349"/>
      <c r="K3" s="349"/>
      <c r="L3" s="349"/>
      <c r="M3" s="349"/>
      <c r="N3" s="349"/>
    </row>
    <row r="4">
      <c r="A4" s="350"/>
      <c r="B4" s="348" t="s">
        <v>11</v>
      </c>
      <c r="C4" s="349"/>
      <c r="D4" s="349"/>
      <c r="E4" s="349"/>
      <c r="F4" s="349"/>
      <c r="G4" s="351"/>
      <c r="H4" s="351"/>
      <c r="I4" s="351"/>
      <c r="J4" s="349"/>
      <c r="K4" s="349"/>
      <c r="L4" s="349"/>
      <c r="M4" s="349"/>
      <c r="N4" s="349"/>
    </row>
    <row r="5">
      <c r="A5" s="350"/>
      <c r="B5" s="348" t="s">
        <v>17</v>
      </c>
      <c r="C5" s="349"/>
      <c r="D5" s="349"/>
      <c r="E5" s="349"/>
      <c r="F5" s="349"/>
      <c r="G5" s="351"/>
      <c r="H5" s="351"/>
      <c r="I5" s="351"/>
      <c r="J5" s="349"/>
      <c r="K5" s="349"/>
      <c r="L5" s="349"/>
      <c r="M5" s="349"/>
      <c r="N5" s="349"/>
    </row>
    <row r="6">
      <c r="A6" s="352"/>
      <c r="B6" s="348" t="s">
        <v>329</v>
      </c>
      <c r="C6" s="348"/>
      <c r="D6" s="348"/>
      <c r="E6" s="348"/>
      <c r="F6" s="348"/>
      <c r="G6" s="353"/>
      <c r="H6" s="348"/>
      <c r="I6" s="348"/>
      <c r="J6" s="348"/>
      <c r="K6" s="348"/>
      <c r="L6" s="348"/>
      <c r="M6" s="348"/>
      <c r="N6" s="348"/>
      <c r="O6" s="354"/>
      <c r="P6" s="354"/>
      <c r="Q6" s="354"/>
      <c r="R6" s="354"/>
      <c r="S6" s="354"/>
      <c r="T6" s="354"/>
    </row>
    <row r="8" ht="36.75" customHeight="1">
      <c r="A8" s="355" t="s">
        <v>330</v>
      </c>
      <c r="B8" s="344"/>
      <c r="C8" s="356" t="s">
        <v>33</v>
      </c>
      <c r="D8" s="345" t="s">
        <v>34</v>
      </c>
      <c r="E8" s="356" t="s">
        <v>35</v>
      </c>
      <c r="F8" s="356" t="s">
        <v>36</v>
      </c>
      <c r="G8" s="356" t="s">
        <v>37</v>
      </c>
      <c r="H8" s="345" t="s">
        <v>38</v>
      </c>
      <c r="I8" s="356" t="s">
        <v>39</v>
      </c>
      <c r="J8" s="356" t="s">
        <v>40</v>
      </c>
      <c r="K8" s="356" t="s">
        <v>41</v>
      </c>
      <c r="L8" s="345" t="s">
        <v>42</v>
      </c>
      <c r="M8" s="356" t="s">
        <v>43</v>
      </c>
      <c r="N8" s="356" t="s">
        <v>44</v>
      </c>
      <c r="O8" s="357"/>
      <c r="P8" s="357"/>
      <c r="Q8" s="357"/>
      <c r="R8" s="357"/>
      <c r="S8" s="357"/>
      <c r="T8" s="357"/>
    </row>
    <row r="9">
      <c r="A9" s="3" t="s">
        <v>327</v>
      </c>
      <c r="C9" s="348"/>
      <c r="D9" s="348"/>
      <c r="E9" s="348"/>
      <c r="F9" s="348"/>
      <c r="G9" s="351"/>
      <c r="H9" s="351"/>
      <c r="I9" s="351"/>
      <c r="J9" s="349"/>
      <c r="K9" s="349"/>
      <c r="L9" s="349"/>
      <c r="M9" s="349"/>
      <c r="N9" s="349"/>
    </row>
    <row r="10">
      <c r="A10" s="358" t="s">
        <v>331</v>
      </c>
      <c r="B10" s="344"/>
      <c r="C10" s="351"/>
      <c r="D10" s="351"/>
      <c r="E10" s="351"/>
      <c r="F10" s="351"/>
      <c r="G10" s="351"/>
      <c r="H10" s="349"/>
      <c r="I10" s="349"/>
      <c r="J10" s="349"/>
      <c r="K10" s="349"/>
      <c r="L10" s="349"/>
      <c r="M10" s="349"/>
      <c r="N10" s="349"/>
    </row>
    <row r="11">
      <c r="A11" s="358" t="s">
        <v>332</v>
      </c>
      <c r="B11" s="344"/>
      <c r="C11" s="351"/>
      <c r="D11" s="351"/>
      <c r="E11" s="351"/>
      <c r="F11" s="351"/>
      <c r="G11" s="349"/>
      <c r="H11" s="349"/>
      <c r="I11" s="349"/>
      <c r="J11" s="349"/>
      <c r="K11" s="349"/>
      <c r="L11" s="349"/>
      <c r="M11" s="349"/>
      <c r="N11" s="349"/>
    </row>
    <row r="12">
      <c r="A12" s="358" t="s">
        <v>333</v>
      </c>
      <c r="B12" s="344"/>
      <c r="C12" s="351"/>
      <c r="D12" s="351"/>
      <c r="E12" s="351"/>
      <c r="F12" s="351"/>
      <c r="G12" s="349"/>
      <c r="H12" s="349"/>
      <c r="I12" s="349"/>
      <c r="J12" s="349"/>
      <c r="K12" s="349"/>
      <c r="L12" s="349"/>
      <c r="M12" s="349"/>
      <c r="N12" s="349"/>
    </row>
  </sheetData>
  <mergeCells count="7">
    <mergeCell ref="A1:B1"/>
    <mergeCell ref="A2:A6"/>
    <mergeCell ref="A8:B8"/>
    <mergeCell ref="A9:B9"/>
    <mergeCell ref="A10:B10"/>
    <mergeCell ref="A11:B11"/>
    <mergeCell ref="A12:B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63"/>
    <col customWidth="1" min="3" max="3" width="14.38"/>
    <col customWidth="1" min="4" max="4" width="25.0"/>
    <col customWidth="1" min="5" max="5" width="8.38"/>
    <col customWidth="1" min="6" max="6" width="9.25"/>
    <col customWidth="1" min="7" max="7" width="115.0"/>
    <col customWidth="1" min="8" max="8" width="19.5"/>
    <col customWidth="1" hidden="1" min="9" max="9" width="7.0"/>
    <col customWidth="1" min="10" max="10" width="22.5"/>
  </cols>
  <sheetData>
    <row r="1" ht="21.0" customHeight="1">
      <c r="A1" s="359" t="s">
        <v>334</v>
      </c>
      <c r="B1" s="32" t="s">
        <v>335</v>
      </c>
      <c r="C1" s="32" t="s">
        <v>50</v>
      </c>
      <c r="D1" s="33" t="s">
        <v>51</v>
      </c>
      <c r="E1" s="34" t="s">
        <v>52</v>
      </c>
      <c r="F1" s="35" t="s">
        <v>53</v>
      </c>
      <c r="G1" s="36" t="s">
        <v>54</v>
      </c>
      <c r="H1" s="36" t="s">
        <v>55</v>
      </c>
      <c r="I1" s="36" t="s">
        <v>55</v>
      </c>
      <c r="J1" s="37" t="s">
        <v>56</v>
      </c>
    </row>
    <row r="2" ht="19.5" customHeight="1">
      <c r="A2" s="360" t="str">
        <f t="shared" ref="A2:A330" si="1">TEXT(B2, "MMMM")</f>
        <v>January</v>
      </c>
      <c r="B2" s="38">
        <v>45658.0</v>
      </c>
      <c r="C2" s="39" t="s">
        <v>11</v>
      </c>
      <c r="D2" s="242" t="s">
        <v>336</v>
      </c>
      <c r="E2" s="212">
        <v>1000.0</v>
      </c>
      <c r="F2" s="114">
        <v>30000.0</v>
      </c>
      <c r="G2" s="43" t="s">
        <v>337</v>
      </c>
      <c r="H2" s="44" t="s">
        <v>338</v>
      </c>
      <c r="I2" s="45" t="str">
        <f t="array" ref="I2:I80">HYPERLINK(H2:H1086, "ARTICLELINK")</f>
        <v>#REF!</v>
      </c>
      <c r="J2" s="45" t="s">
        <v>339</v>
      </c>
    </row>
    <row r="3">
      <c r="A3" s="360" t="str">
        <f t="shared" si="1"/>
        <v>January</v>
      </c>
      <c r="B3" s="38">
        <v>45661.0</v>
      </c>
      <c r="C3" s="45" t="s">
        <v>57</v>
      </c>
      <c r="D3" s="40" t="s">
        <v>58</v>
      </c>
      <c r="E3" s="41">
        <v>2200.0</v>
      </c>
      <c r="F3" s="42">
        <v>500000.0</v>
      </c>
      <c r="G3" s="43" t="s">
        <v>340</v>
      </c>
      <c r="H3" s="46" t="s">
        <v>341</v>
      </c>
      <c r="I3" s="47"/>
      <c r="J3" s="45" t="s">
        <v>339</v>
      </c>
    </row>
    <row r="4" ht="16.5" customHeight="1">
      <c r="A4" s="360" t="str">
        <f t="shared" si="1"/>
        <v>January</v>
      </c>
      <c r="B4" s="38">
        <v>45662.0</v>
      </c>
      <c r="C4" s="45" t="s">
        <v>17</v>
      </c>
      <c r="D4" s="226" t="s">
        <v>145</v>
      </c>
      <c r="E4" s="361"/>
      <c r="F4" s="361"/>
      <c r="G4" s="48" t="s">
        <v>342</v>
      </c>
      <c r="H4" s="49" t="s">
        <v>343</v>
      </c>
      <c r="I4" s="45"/>
      <c r="J4" s="45" t="s">
        <v>339</v>
      </c>
    </row>
    <row r="5">
      <c r="A5" s="360" t="str">
        <f t="shared" si="1"/>
        <v>January</v>
      </c>
      <c r="B5" s="38">
        <v>45666.0</v>
      </c>
      <c r="C5" s="45" t="s">
        <v>57</v>
      </c>
      <c r="D5" s="40" t="s">
        <v>68</v>
      </c>
      <c r="E5" s="41">
        <v>3000.0</v>
      </c>
      <c r="F5" s="42">
        <v>40000.0</v>
      </c>
      <c r="G5" s="43" t="s">
        <v>344</v>
      </c>
      <c r="H5" s="50" t="s">
        <v>345</v>
      </c>
      <c r="I5" s="45"/>
      <c r="J5" s="45" t="s">
        <v>346</v>
      </c>
    </row>
    <row r="6">
      <c r="A6" s="360" t="str">
        <f t="shared" si="1"/>
        <v>January</v>
      </c>
      <c r="B6" s="38">
        <v>45666.0</v>
      </c>
      <c r="C6" s="45" t="s">
        <v>57</v>
      </c>
      <c r="D6" s="40" t="s">
        <v>77</v>
      </c>
      <c r="E6" s="41">
        <v>9500.0</v>
      </c>
      <c r="F6" s="42">
        <v>250000.0</v>
      </c>
      <c r="G6" s="43" t="s">
        <v>347</v>
      </c>
      <c r="H6" s="44" t="s">
        <v>348</v>
      </c>
      <c r="I6" s="45"/>
      <c r="J6" s="45" t="s">
        <v>346</v>
      </c>
    </row>
    <row r="7">
      <c r="A7" s="360" t="str">
        <f t="shared" si="1"/>
        <v>January</v>
      </c>
      <c r="B7" s="38">
        <v>45666.0</v>
      </c>
      <c r="C7" s="45" t="s">
        <v>17</v>
      </c>
      <c r="D7" s="40" t="s">
        <v>349</v>
      </c>
      <c r="E7" s="76"/>
      <c r="F7" s="76"/>
      <c r="G7" s="43" t="s">
        <v>350</v>
      </c>
      <c r="H7" s="140" t="s">
        <v>351</v>
      </c>
      <c r="I7" s="53"/>
      <c r="J7" s="45" t="s">
        <v>346</v>
      </c>
    </row>
    <row r="8">
      <c r="A8" s="360" t="str">
        <f t="shared" si="1"/>
        <v>January</v>
      </c>
      <c r="B8" s="38">
        <v>45666.0</v>
      </c>
      <c r="C8" s="45" t="s">
        <v>11</v>
      </c>
      <c r="D8" s="40" t="s">
        <v>71</v>
      </c>
      <c r="E8" s="51">
        <v>1000.0</v>
      </c>
      <c r="F8" s="42">
        <v>100000.0</v>
      </c>
      <c r="G8" s="43" t="s">
        <v>352</v>
      </c>
      <c r="H8" s="44" t="s">
        <v>353</v>
      </c>
      <c r="I8" s="45"/>
      <c r="J8" s="45" t="s">
        <v>346</v>
      </c>
    </row>
    <row r="9">
      <c r="A9" s="360" t="str">
        <f t="shared" si="1"/>
        <v>January</v>
      </c>
      <c r="B9" s="38">
        <v>45667.0</v>
      </c>
      <c r="C9" s="45" t="s">
        <v>17</v>
      </c>
      <c r="D9" s="40" t="s">
        <v>354</v>
      </c>
      <c r="E9" s="76"/>
      <c r="F9" s="76"/>
      <c r="G9" s="43" t="s">
        <v>355</v>
      </c>
      <c r="H9" s="50" t="s">
        <v>356</v>
      </c>
      <c r="I9" s="45"/>
      <c r="J9" s="45" t="s">
        <v>339</v>
      </c>
    </row>
    <row r="10">
      <c r="A10" s="360" t="str">
        <f t="shared" si="1"/>
        <v>January</v>
      </c>
      <c r="B10" s="38">
        <v>45668.0</v>
      </c>
      <c r="C10" s="45" t="s">
        <v>17</v>
      </c>
      <c r="D10" s="54" t="s">
        <v>357</v>
      </c>
      <c r="E10" s="76"/>
      <c r="F10" s="76"/>
      <c r="G10" s="43" t="s">
        <v>358</v>
      </c>
      <c r="H10" s="50" t="s">
        <v>359</v>
      </c>
      <c r="I10" s="45"/>
      <c r="J10" s="45" t="s">
        <v>346</v>
      </c>
    </row>
    <row r="11">
      <c r="A11" s="360" t="str">
        <f t="shared" si="1"/>
        <v>January</v>
      </c>
      <c r="B11" s="38">
        <v>45668.0</v>
      </c>
      <c r="C11" s="45" t="s">
        <v>17</v>
      </c>
      <c r="D11" s="226" t="s">
        <v>360</v>
      </c>
      <c r="E11" s="361"/>
      <c r="F11" s="361"/>
      <c r="G11" s="43" t="s">
        <v>355</v>
      </c>
      <c r="H11" s="44" t="s">
        <v>361</v>
      </c>
      <c r="I11" s="45"/>
      <c r="J11" s="45" t="s">
        <v>339</v>
      </c>
    </row>
    <row r="12">
      <c r="A12" s="360" t="str">
        <f t="shared" si="1"/>
        <v>January</v>
      </c>
      <c r="B12" s="38">
        <v>45670.0</v>
      </c>
      <c r="C12" s="45" t="s">
        <v>17</v>
      </c>
      <c r="D12" s="40" t="s">
        <v>362</v>
      </c>
      <c r="E12" s="76"/>
      <c r="F12" s="76"/>
      <c r="G12" s="43" t="s">
        <v>355</v>
      </c>
      <c r="H12" s="50" t="s">
        <v>363</v>
      </c>
      <c r="I12" s="45"/>
      <c r="J12" s="45" t="s">
        <v>339</v>
      </c>
    </row>
    <row r="13">
      <c r="A13" s="360" t="str">
        <f t="shared" si="1"/>
        <v>January</v>
      </c>
      <c r="B13" s="38">
        <v>45670.0</v>
      </c>
      <c r="C13" s="45" t="s">
        <v>17</v>
      </c>
      <c r="D13" s="40" t="s">
        <v>364</v>
      </c>
      <c r="E13" s="76"/>
      <c r="F13" s="76"/>
      <c r="G13" s="43" t="s">
        <v>355</v>
      </c>
      <c r="H13" s="50" t="s">
        <v>365</v>
      </c>
      <c r="I13" s="45"/>
      <c r="J13" s="45" t="s">
        <v>339</v>
      </c>
    </row>
    <row r="14">
      <c r="A14" s="360" t="str">
        <f t="shared" si="1"/>
        <v>January</v>
      </c>
      <c r="B14" s="38">
        <v>45672.0</v>
      </c>
      <c r="C14" s="45" t="s">
        <v>57</v>
      </c>
      <c r="D14" s="40" t="s">
        <v>77</v>
      </c>
      <c r="E14" s="41">
        <v>9500.0</v>
      </c>
      <c r="F14" s="42">
        <v>250000.0</v>
      </c>
      <c r="G14" s="43" t="s">
        <v>366</v>
      </c>
      <c r="H14" s="50" t="s">
        <v>367</v>
      </c>
      <c r="I14" s="45"/>
      <c r="J14" s="45" t="s">
        <v>339</v>
      </c>
    </row>
    <row r="15">
      <c r="A15" s="360" t="str">
        <f t="shared" si="1"/>
        <v>January</v>
      </c>
      <c r="B15" s="38">
        <v>45672.0</v>
      </c>
      <c r="C15" s="45" t="s">
        <v>57</v>
      </c>
      <c r="D15" s="40" t="s">
        <v>58</v>
      </c>
      <c r="E15" s="41">
        <v>2200.0</v>
      </c>
      <c r="F15" s="42">
        <v>500000.0</v>
      </c>
      <c r="G15" s="43" t="s">
        <v>368</v>
      </c>
      <c r="H15" s="44" t="s">
        <v>369</v>
      </c>
      <c r="I15" s="45"/>
      <c r="J15" s="45" t="s">
        <v>339</v>
      </c>
    </row>
    <row r="16">
      <c r="A16" s="360" t="str">
        <f t="shared" si="1"/>
        <v>January</v>
      </c>
      <c r="B16" s="38">
        <v>45672.0</v>
      </c>
      <c r="C16" s="45" t="s">
        <v>11</v>
      </c>
      <c r="D16" s="40" t="s">
        <v>71</v>
      </c>
      <c r="E16" s="51">
        <v>1000.0</v>
      </c>
      <c r="F16" s="42">
        <v>100000.0</v>
      </c>
      <c r="G16" s="362" t="s">
        <v>370</v>
      </c>
      <c r="H16" s="50" t="s">
        <v>371</v>
      </c>
      <c r="I16" s="45"/>
      <c r="J16" s="45" t="s">
        <v>339</v>
      </c>
    </row>
    <row r="17">
      <c r="A17" s="360" t="str">
        <f t="shared" si="1"/>
        <v>January</v>
      </c>
      <c r="B17" s="38">
        <v>45674.0</v>
      </c>
      <c r="C17" s="45" t="s">
        <v>17</v>
      </c>
      <c r="D17" s="40" t="s">
        <v>134</v>
      </c>
      <c r="E17" s="76"/>
      <c r="F17" s="76"/>
      <c r="G17" s="43" t="s">
        <v>372</v>
      </c>
      <c r="H17" s="50" t="s">
        <v>373</v>
      </c>
      <c r="I17" s="45"/>
      <c r="J17" s="45" t="s">
        <v>339</v>
      </c>
    </row>
    <row r="18">
      <c r="A18" s="360" t="str">
        <f t="shared" si="1"/>
        <v>January</v>
      </c>
      <c r="B18" s="38">
        <v>45678.0</v>
      </c>
      <c r="C18" s="45" t="s">
        <v>57</v>
      </c>
      <c r="D18" s="40" t="s">
        <v>374</v>
      </c>
      <c r="E18" s="41">
        <v>1000.0</v>
      </c>
      <c r="F18" s="42">
        <v>150000.0</v>
      </c>
      <c r="G18" s="43" t="s">
        <v>375</v>
      </c>
      <c r="H18" s="50" t="s">
        <v>376</v>
      </c>
      <c r="I18" s="45"/>
      <c r="J18" s="45" t="s">
        <v>339</v>
      </c>
    </row>
    <row r="19">
      <c r="A19" s="360" t="str">
        <f t="shared" si="1"/>
        <v>January</v>
      </c>
      <c r="B19" s="38">
        <v>45678.0</v>
      </c>
      <c r="C19" s="45" t="s">
        <v>57</v>
      </c>
      <c r="D19" s="40" t="s">
        <v>77</v>
      </c>
      <c r="E19" s="41">
        <v>9500.0</v>
      </c>
      <c r="F19" s="42">
        <v>250000.0</v>
      </c>
      <c r="G19" s="43" t="s">
        <v>377</v>
      </c>
      <c r="H19" s="174" t="s">
        <v>378</v>
      </c>
      <c r="I19" s="45"/>
      <c r="J19" s="45" t="s">
        <v>339</v>
      </c>
    </row>
    <row r="20">
      <c r="A20" s="360" t="str">
        <f t="shared" si="1"/>
        <v>January</v>
      </c>
      <c r="B20" s="38">
        <v>45680.0</v>
      </c>
      <c r="C20" s="45" t="s">
        <v>57</v>
      </c>
      <c r="D20" s="40" t="s">
        <v>77</v>
      </c>
      <c r="E20" s="41">
        <v>9500.0</v>
      </c>
      <c r="F20" s="42">
        <v>250000.0</v>
      </c>
      <c r="G20" s="43" t="s">
        <v>379</v>
      </c>
      <c r="H20" s="50" t="s">
        <v>380</v>
      </c>
      <c r="I20" s="45"/>
      <c r="J20" s="45" t="s">
        <v>381</v>
      </c>
    </row>
    <row r="21">
      <c r="A21" s="360" t="str">
        <f t="shared" si="1"/>
        <v>January</v>
      </c>
      <c r="B21" s="38">
        <v>45680.0</v>
      </c>
      <c r="C21" s="45" t="s">
        <v>17</v>
      </c>
      <c r="D21" s="40" t="s">
        <v>382</v>
      </c>
      <c r="E21" s="76"/>
      <c r="F21" s="76"/>
      <c r="G21" s="43" t="s">
        <v>383</v>
      </c>
      <c r="H21" s="50" t="s">
        <v>384</v>
      </c>
      <c r="I21" s="45"/>
      <c r="J21" s="45" t="s">
        <v>339</v>
      </c>
    </row>
    <row r="22">
      <c r="A22" s="360" t="str">
        <f t="shared" si="1"/>
        <v>January</v>
      </c>
      <c r="B22" s="38">
        <v>45680.0</v>
      </c>
      <c r="C22" s="45" t="s">
        <v>17</v>
      </c>
      <c r="D22" s="40" t="s">
        <v>134</v>
      </c>
      <c r="E22" s="76"/>
      <c r="F22" s="76"/>
      <c r="G22" s="43" t="s">
        <v>385</v>
      </c>
      <c r="H22" s="44" t="s">
        <v>386</v>
      </c>
      <c r="I22" s="45"/>
      <c r="J22" s="45" t="s">
        <v>339</v>
      </c>
    </row>
    <row r="23">
      <c r="A23" s="360" t="str">
        <f t="shared" si="1"/>
        <v>January</v>
      </c>
      <c r="B23" s="38">
        <v>45682.0</v>
      </c>
      <c r="C23" s="45" t="s">
        <v>17</v>
      </c>
      <c r="D23" s="40" t="s">
        <v>134</v>
      </c>
      <c r="E23" s="76"/>
      <c r="F23" s="76"/>
      <c r="G23" s="43" t="s">
        <v>387</v>
      </c>
      <c r="H23" s="174" t="s">
        <v>388</v>
      </c>
      <c r="I23" s="45"/>
      <c r="J23" s="45" t="s">
        <v>339</v>
      </c>
    </row>
    <row r="24">
      <c r="A24" s="360" t="str">
        <f t="shared" si="1"/>
        <v>January</v>
      </c>
      <c r="B24" s="38">
        <v>45684.0</v>
      </c>
      <c r="C24" s="45" t="s">
        <v>57</v>
      </c>
      <c r="D24" s="40" t="s">
        <v>58</v>
      </c>
      <c r="E24" s="41">
        <v>2200.0</v>
      </c>
      <c r="F24" s="42">
        <v>500000.0</v>
      </c>
      <c r="G24" s="43" t="s">
        <v>389</v>
      </c>
      <c r="H24" s="44" t="s">
        <v>390</v>
      </c>
      <c r="I24" s="45"/>
      <c r="J24" s="45" t="s">
        <v>381</v>
      </c>
    </row>
    <row r="25">
      <c r="A25" s="360" t="str">
        <f t="shared" si="1"/>
        <v>January</v>
      </c>
      <c r="B25" s="38">
        <v>45685.0</v>
      </c>
      <c r="C25" s="45" t="s">
        <v>57</v>
      </c>
      <c r="D25" s="40" t="s">
        <v>77</v>
      </c>
      <c r="E25" s="41">
        <v>9500.0</v>
      </c>
      <c r="F25" s="42">
        <v>250000.0</v>
      </c>
      <c r="G25" s="43" t="s">
        <v>391</v>
      </c>
      <c r="H25" s="44" t="s">
        <v>392</v>
      </c>
      <c r="I25" s="45"/>
      <c r="J25" s="45" t="s">
        <v>339</v>
      </c>
    </row>
    <row r="26">
      <c r="A26" s="360" t="str">
        <f t="shared" si="1"/>
        <v>January</v>
      </c>
      <c r="B26" s="38">
        <v>45685.0</v>
      </c>
      <c r="C26" s="45" t="s">
        <v>57</v>
      </c>
      <c r="D26" s="40" t="s">
        <v>58</v>
      </c>
      <c r="E26" s="41">
        <v>2200.0</v>
      </c>
      <c r="F26" s="42">
        <v>500000.0</v>
      </c>
      <c r="G26" s="43" t="s">
        <v>393</v>
      </c>
      <c r="H26" s="44" t="s">
        <v>394</v>
      </c>
      <c r="I26" s="45"/>
      <c r="J26" s="45" t="s">
        <v>339</v>
      </c>
    </row>
    <row r="27">
      <c r="A27" s="360" t="str">
        <f t="shared" si="1"/>
        <v>January</v>
      </c>
      <c r="B27" s="38">
        <v>45685.0</v>
      </c>
      <c r="C27" s="45" t="s">
        <v>17</v>
      </c>
      <c r="D27" s="40" t="s">
        <v>134</v>
      </c>
      <c r="E27" s="76"/>
      <c r="F27" s="76"/>
      <c r="G27" s="43" t="s">
        <v>395</v>
      </c>
      <c r="H27" s="50" t="s">
        <v>396</v>
      </c>
      <c r="I27" s="45"/>
      <c r="J27" s="45" t="s">
        <v>339</v>
      </c>
    </row>
    <row r="28">
      <c r="A28" s="360" t="str">
        <f t="shared" si="1"/>
        <v>January</v>
      </c>
      <c r="B28" s="38">
        <v>45685.0</v>
      </c>
      <c r="C28" s="45" t="s">
        <v>17</v>
      </c>
      <c r="D28" s="40" t="s">
        <v>66</v>
      </c>
      <c r="E28" s="76"/>
      <c r="F28" s="76"/>
      <c r="G28" s="43" t="s">
        <v>397</v>
      </c>
      <c r="H28" s="44" t="s">
        <v>398</v>
      </c>
      <c r="I28" s="45"/>
      <c r="J28" s="45" t="s">
        <v>339</v>
      </c>
    </row>
    <row r="29">
      <c r="A29" s="360" t="str">
        <f t="shared" si="1"/>
        <v>January</v>
      </c>
      <c r="B29" s="38">
        <v>45685.0</v>
      </c>
      <c r="C29" s="45" t="s">
        <v>17</v>
      </c>
      <c r="D29" s="40" t="s">
        <v>134</v>
      </c>
      <c r="E29" s="76"/>
      <c r="F29" s="76"/>
      <c r="G29" s="43" t="s">
        <v>399</v>
      </c>
      <c r="H29" s="44" t="s">
        <v>400</v>
      </c>
      <c r="I29" s="45"/>
      <c r="J29" s="45" t="s">
        <v>339</v>
      </c>
    </row>
    <row r="30">
      <c r="A30" s="360" t="str">
        <f t="shared" si="1"/>
        <v>January</v>
      </c>
      <c r="B30" s="38">
        <v>45686.0</v>
      </c>
      <c r="C30" s="45" t="s">
        <v>17</v>
      </c>
      <c r="D30" s="40" t="s">
        <v>66</v>
      </c>
      <c r="E30" s="76"/>
      <c r="F30" s="76"/>
      <c r="G30" s="43" t="s">
        <v>401</v>
      </c>
      <c r="H30" s="50" t="s">
        <v>402</v>
      </c>
      <c r="I30" s="45"/>
      <c r="J30" s="45" t="s">
        <v>339</v>
      </c>
    </row>
    <row r="31">
      <c r="A31" s="360" t="str">
        <f t="shared" si="1"/>
        <v>February</v>
      </c>
      <c r="B31" s="38">
        <v>45690.0</v>
      </c>
      <c r="C31" s="45" t="s">
        <v>17</v>
      </c>
      <c r="D31" s="40" t="s">
        <v>134</v>
      </c>
      <c r="E31" s="213"/>
      <c r="F31" s="213"/>
      <c r="G31" s="62" t="s">
        <v>403</v>
      </c>
      <c r="H31" s="44" t="s">
        <v>404</v>
      </c>
      <c r="I31" s="45"/>
      <c r="J31" s="45" t="s">
        <v>339</v>
      </c>
    </row>
    <row r="32">
      <c r="A32" s="360" t="str">
        <f t="shared" si="1"/>
        <v>February</v>
      </c>
      <c r="B32" s="297">
        <v>45691.0</v>
      </c>
      <c r="C32" s="298" t="s">
        <v>57</v>
      </c>
      <c r="D32" s="299" t="s">
        <v>77</v>
      </c>
      <c r="E32" s="180">
        <v>9500.0</v>
      </c>
      <c r="F32" s="42">
        <v>250000.0</v>
      </c>
      <c r="G32" s="332" t="s">
        <v>405</v>
      </c>
      <c r="H32" s="363" t="s">
        <v>406</v>
      </c>
      <c r="I32" s="47"/>
      <c r="J32" s="45" t="s">
        <v>339</v>
      </c>
    </row>
    <row r="33">
      <c r="A33" s="360" t="str">
        <f t="shared" si="1"/>
        <v>February</v>
      </c>
      <c r="B33" s="204">
        <v>45692.0</v>
      </c>
      <c r="C33" s="39" t="s">
        <v>57</v>
      </c>
      <c r="D33" s="170" t="s">
        <v>58</v>
      </c>
      <c r="E33" s="159">
        <v>2200.0</v>
      </c>
      <c r="F33" s="42">
        <v>500000.0</v>
      </c>
      <c r="G33" s="169" t="s">
        <v>407</v>
      </c>
      <c r="H33" s="196" t="s">
        <v>408</v>
      </c>
      <c r="I33" s="39"/>
      <c r="J33" s="45" t="s">
        <v>339</v>
      </c>
    </row>
    <row r="34">
      <c r="A34" s="360" t="str">
        <f t="shared" si="1"/>
        <v>February</v>
      </c>
      <c r="B34" s="38">
        <v>45693.0</v>
      </c>
      <c r="C34" s="45" t="s">
        <v>17</v>
      </c>
      <c r="D34" s="40" t="s">
        <v>409</v>
      </c>
      <c r="E34" s="76"/>
      <c r="F34" s="76"/>
      <c r="G34" s="43" t="s">
        <v>410</v>
      </c>
      <c r="H34" s="44" t="s">
        <v>411</v>
      </c>
      <c r="I34" s="45"/>
      <c r="J34" s="45" t="s">
        <v>339</v>
      </c>
    </row>
    <row r="35">
      <c r="A35" s="360" t="str">
        <f t="shared" si="1"/>
        <v>February</v>
      </c>
      <c r="B35" s="38">
        <v>45693.0</v>
      </c>
      <c r="C35" s="45" t="s">
        <v>17</v>
      </c>
      <c r="D35" s="107" t="s">
        <v>412</v>
      </c>
      <c r="E35" s="76"/>
      <c r="F35" s="76"/>
      <c r="G35" s="43" t="s">
        <v>413</v>
      </c>
      <c r="H35" s="44" t="s">
        <v>414</v>
      </c>
      <c r="I35" s="45"/>
      <c r="J35" s="45" t="s">
        <v>339</v>
      </c>
    </row>
    <row r="36">
      <c r="A36" s="360" t="str">
        <f t="shared" si="1"/>
        <v>February</v>
      </c>
      <c r="B36" s="38">
        <v>45694.0</v>
      </c>
      <c r="C36" s="45" t="s">
        <v>17</v>
      </c>
      <c r="D36" s="40" t="s">
        <v>409</v>
      </c>
      <c r="E36" s="76"/>
      <c r="F36" s="76"/>
      <c r="G36" s="43" t="s">
        <v>415</v>
      </c>
      <c r="H36" s="44" t="s">
        <v>416</v>
      </c>
      <c r="I36" s="45"/>
      <c r="J36" s="45" t="s">
        <v>339</v>
      </c>
    </row>
    <row r="37">
      <c r="A37" s="360" t="str">
        <f t="shared" si="1"/>
        <v>February</v>
      </c>
      <c r="B37" s="38">
        <v>45694.0</v>
      </c>
      <c r="C37" s="45" t="s">
        <v>11</v>
      </c>
      <c r="D37" s="40" t="s">
        <v>71</v>
      </c>
      <c r="E37" s="51">
        <v>1000.0</v>
      </c>
      <c r="F37" s="42">
        <v>100000.0</v>
      </c>
      <c r="G37" s="43" t="s">
        <v>417</v>
      </c>
      <c r="H37" s="44" t="s">
        <v>418</v>
      </c>
      <c r="I37" s="45"/>
      <c r="J37" s="45" t="s">
        <v>339</v>
      </c>
    </row>
    <row r="38">
      <c r="A38" s="360" t="str">
        <f t="shared" si="1"/>
        <v>February</v>
      </c>
      <c r="B38" s="38">
        <v>45693.0</v>
      </c>
      <c r="C38" s="45" t="s">
        <v>128</v>
      </c>
      <c r="D38" s="40" t="s">
        <v>419</v>
      </c>
      <c r="E38" s="41">
        <v>9000.0</v>
      </c>
      <c r="F38" s="42">
        <v>700000.0</v>
      </c>
      <c r="G38" s="43" t="s">
        <v>420</v>
      </c>
      <c r="H38" s="44" t="s">
        <v>421</v>
      </c>
      <c r="I38" s="45"/>
      <c r="J38" s="45" t="s">
        <v>339</v>
      </c>
    </row>
    <row r="39">
      <c r="A39" s="360" t="str">
        <f t="shared" si="1"/>
        <v>February</v>
      </c>
      <c r="B39" s="38">
        <v>45695.0</v>
      </c>
      <c r="C39" s="45" t="s">
        <v>57</v>
      </c>
      <c r="D39" s="40" t="s">
        <v>77</v>
      </c>
      <c r="E39" s="41">
        <v>9500.0</v>
      </c>
      <c r="F39" s="42">
        <v>250000.0</v>
      </c>
      <c r="G39" s="43" t="s">
        <v>422</v>
      </c>
      <c r="H39" s="44" t="s">
        <v>423</v>
      </c>
      <c r="I39" s="45"/>
      <c r="J39" s="45" t="s">
        <v>339</v>
      </c>
    </row>
    <row r="40">
      <c r="A40" s="360" t="str">
        <f t="shared" si="1"/>
        <v>February</v>
      </c>
      <c r="B40" s="38">
        <v>45697.0</v>
      </c>
      <c r="C40" s="45" t="s">
        <v>57</v>
      </c>
      <c r="D40" s="40" t="s">
        <v>58</v>
      </c>
      <c r="E40" s="41">
        <v>2200.0</v>
      </c>
      <c r="F40" s="42">
        <v>500000.0</v>
      </c>
      <c r="G40" s="43" t="s">
        <v>424</v>
      </c>
      <c r="H40" s="50" t="s">
        <v>425</v>
      </c>
      <c r="I40" s="45"/>
      <c r="J40" s="45" t="s">
        <v>339</v>
      </c>
    </row>
    <row r="41">
      <c r="A41" s="360" t="str">
        <f t="shared" si="1"/>
        <v>February</v>
      </c>
      <c r="B41" s="38">
        <v>45698.0</v>
      </c>
      <c r="C41" s="45" t="s">
        <v>17</v>
      </c>
      <c r="D41" s="40" t="s">
        <v>134</v>
      </c>
      <c r="E41" s="364"/>
      <c r="F41" s="364"/>
      <c r="G41" s="210" t="s">
        <v>426</v>
      </c>
      <c r="H41" s="50" t="s">
        <v>427</v>
      </c>
      <c r="I41" s="152"/>
      <c r="J41" s="45" t="s">
        <v>339</v>
      </c>
    </row>
    <row r="42">
      <c r="A42" s="360" t="str">
        <f t="shared" si="1"/>
        <v>February</v>
      </c>
      <c r="B42" s="38">
        <v>45698.0</v>
      </c>
      <c r="C42" s="45" t="s">
        <v>17</v>
      </c>
      <c r="D42" s="40" t="s">
        <v>134</v>
      </c>
      <c r="E42" s="76"/>
      <c r="F42" s="76"/>
      <c r="G42" s="43" t="s">
        <v>428</v>
      </c>
      <c r="H42" s="44" t="s">
        <v>429</v>
      </c>
      <c r="I42" s="152"/>
      <c r="J42" s="45" t="s">
        <v>339</v>
      </c>
    </row>
    <row r="43">
      <c r="A43" s="360" t="str">
        <f t="shared" si="1"/>
        <v>February</v>
      </c>
      <c r="B43" s="38">
        <v>45698.0</v>
      </c>
      <c r="C43" s="45" t="s">
        <v>17</v>
      </c>
      <c r="D43" s="40" t="s">
        <v>409</v>
      </c>
      <c r="E43" s="76"/>
      <c r="F43" s="76"/>
      <c r="G43" s="43" t="s">
        <v>430</v>
      </c>
      <c r="H43" s="44" t="s">
        <v>431</v>
      </c>
      <c r="I43" s="152"/>
      <c r="J43" s="45" t="s">
        <v>339</v>
      </c>
    </row>
    <row r="44">
      <c r="A44" s="360" t="str">
        <f t="shared" si="1"/>
        <v>February</v>
      </c>
      <c r="B44" s="38">
        <v>45702.0</v>
      </c>
      <c r="C44" s="45" t="s">
        <v>17</v>
      </c>
      <c r="D44" s="40" t="s">
        <v>432</v>
      </c>
      <c r="E44" s="76"/>
      <c r="F44" s="76"/>
      <c r="G44" s="43" t="s">
        <v>433</v>
      </c>
      <c r="H44" s="44" t="s">
        <v>434</v>
      </c>
      <c r="I44" s="152"/>
      <c r="J44" s="45" t="s">
        <v>339</v>
      </c>
    </row>
    <row r="45">
      <c r="A45" s="360" t="str">
        <f t="shared" si="1"/>
        <v>February</v>
      </c>
      <c r="B45" s="38">
        <v>45705.0</v>
      </c>
      <c r="C45" s="45" t="s">
        <v>17</v>
      </c>
      <c r="D45" s="40" t="s">
        <v>145</v>
      </c>
      <c r="E45" s="76"/>
      <c r="F45" s="76"/>
      <c r="G45" s="43" t="s">
        <v>435</v>
      </c>
      <c r="H45" s="44" t="s">
        <v>436</v>
      </c>
      <c r="I45" s="152"/>
      <c r="J45" s="45" t="s">
        <v>339</v>
      </c>
    </row>
    <row r="46">
      <c r="A46" s="360" t="str">
        <f t="shared" si="1"/>
        <v>February</v>
      </c>
      <c r="B46" s="38">
        <v>45706.0</v>
      </c>
      <c r="C46" s="45" t="s">
        <v>17</v>
      </c>
      <c r="D46" s="3" t="s">
        <v>437</v>
      </c>
      <c r="E46" s="155"/>
      <c r="F46" s="155"/>
      <c r="G46" s="43" t="s">
        <v>383</v>
      </c>
      <c r="H46" s="174" t="s">
        <v>438</v>
      </c>
      <c r="I46" s="152"/>
      <c r="J46" s="45" t="s">
        <v>339</v>
      </c>
    </row>
    <row r="47">
      <c r="A47" s="360" t="str">
        <f t="shared" si="1"/>
        <v>February</v>
      </c>
      <c r="B47" s="38">
        <v>45706.0</v>
      </c>
      <c r="C47" s="45" t="s">
        <v>17</v>
      </c>
      <c r="D47" s="115" t="s">
        <v>439</v>
      </c>
      <c r="E47" s="155"/>
      <c r="F47" s="155"/>
      <c r="G47" s="43" t="s">
        <v>383</v>
      </c>
      <c r="H47" s="140" t="s">
        <v>440</v>
      </c>
      <c r="I47" s="53"/>
      <c r="J47" s="45"/>
    </row>
    <row r="48">
      <c r="A48" s="360" t="str">
        <f t="shared" si="1"/>
        <v>February</v>
      </c>
      <c r="B48" s="38">
        <v>45711.0</v>
      </c>
      <c r="C48" s="45" t="s">
        <v>57</v>
      </c>
      <c r="D48" s="40" t="s">
        <v>58</v>
      </c>
      <c r="E48" s="41">
        <v>2200.0</v>
      </c>
      <c r="F48" s="42">
        <v>500000.0</v>
      </c>
      <c r="G48" s="43" t="s">
        <v>441</v>
      </c>
      <c r="H48" s="140" t="s">
        <v>442</v>
      </c>
      <c r="I48" s="53"/>
      <c r="J48" s="45" t="s">
        <v>339</v>
      </c>
    </row>
    <row r="49">
      <c r="A49" s="360" t="str">
        <f t="shared" si="1"/>
        <v>February</v>
      </c>
      <c r="B49" s="38">
        <v>45714.0</v>
      </c>
      <c r="C49" s="45" t="s">
        <v>57</v>
      </c>
      <c r="D49" s="40" t="s">
        <v>77</v>
      </c>
      <c r="E49" s="41">
        <v>9500.0</v>
      </c>
      <c r="F49" s="42">
        <v>250000.0</v>
      </c>
      <c r="G49" s="43" t="s">
        <v>443</v>
      </c>
      <c r="H49" s="44" t="s">
        <v>444</v>
      </c>
      <c r="I49" s="152"/>
      <c r="J49" s="45" t="s">
        <v>339</v>
      </c>
    </row>
    <row r="50">
      <c r="A50" s="360" t="str">
        <f t="shared" si="1"/>
        <v>February</v>
      </c>
      <c r="B50" s="297">
        <v>45715.0</v>
      </c>
      <c r="C50" s="45" t="s">
        <v>11</v>
      </c>
      <c r="D50" s="332" t="s">
        <v>71</v>
      </c>
      <c r="E50" s="51">
        <v>1000.0</v>
      </c>
      <c r="F50" s="42">
        <v>100000.0</v>
      </c>
      <c r="G50" s="332" t="s">
        <v>445</v>
      </c>
      <c r="H50" s="79" t="s">
        <v>446</v>
      </c>
      <c r="I50" s="187"/>
      <c r="J50" s="45" t="s">
        <v>339</v>
      </c>
    </row>
    <row r="51">
      <c r="A51" s="360" t="str">
        <f t="shared" si="1"/>
        <v>March</v>
      </c>
      <c r="B51" s="204">
        <v>45719.0</v>
      </c>
      <c r="C51" s="45" t="s">
        <v>17</v>
      </c>
      <c r="D51" s="170" t="s">
        <v>90</v>
      </c>
      <c r="E51" s="365"/>
      <c r="F51" s="365"/>
      <c r="G51" s="366" t="s">
        <v>447</v>
      </c>
      <c r="H51" s="367" t="s">
        <v>448</v>
      </c>
      <c r="I51" s="53"/>
      <c r="J51" s="45" t="s">
        <v>339</v>
      </c>
    </row>
    <row r="52">
      <c r="A52" s="360" t="str">
        <f t="shared" si="1"/>
        <v>March</v>
      </c>
      <c r="B52" s="204">
        <v>45719.0</v>
      </c>
      <c r="C52" s="45" t="s">
        <v>17</v>
      </c>
      <c r="D52" s="3" t="s">
        <v>145</v>
      </c>
      <c r="E52" s="1"/>
      <c r="F52" s="1"/>
      <c r="G52" s="3" t="s">
        <v>449</v>
      </c>
      <c r="H52" s="140" t="s">
        <v>450</v>
      </c>
      <c r="I52" s="368"/>
      <c r="J52" s="45" t="s">
        <v>339</v>
      </c>
    </row>
    <row r="53">
      <c r="A53" s="360" t="str">
        <f t="shared" si="1"/>
        <v>March</v>
      </c>
      <c r="B53" s="204">
        <v>45721.0</v>
      </c>
      <c r="C53" s="45" t="s">
        <v>17</v>
      </c>
      <c r="D53" s="40" t="s">
        <v>451</v>
      </c>
      <c r="E53" s="76"/>
      <c r="F53" s="76"/>
      <c r="G53" s="43" t="s">
        <v>452</v>
      </c>
      <c r="H53" s="369" t="s">
        <v>453</v>
      </c>
      <c r="I53" s="112"/>
      <c r="J53" s="45" t="s">
        <v>339</v>
      </c>
    </row>
    <row r="54">
      <c r="A54" s="360" t="str">
        <f t="shared" si="1"/>
        <v>March</v>
      </c>
      <c r="B54" s="38">
        <v>45726.0</v>
      </c>
      <c r="C54" s="45" t="s">
        <v>11</v>
      </c>
      <c r="D54" s="40" t="s">
        <v>71</v>
      </c>
      <c r="E54" s="51">
        <v>1000.0</v>
      </c>
      <c r="F54" s="42">
        <v>100000.0</v>
      </c>
      <c r="G54" s="43" t="s">
        <v>454</v>
      </c>
      <c r="H54" s="44" t="s">
        <v>455</v>
      </c>
      <c r="I54" s="112"/>
      <c r="J54" s="45" t="s">
        <v>339</v>
      </c>
    </row>
    <row r="55">
      <c r="A55" s="360" t="str">
        <f t="shared" si="1"/>
        <v>March</v>
      </c>
      <c r="B55" s="38">
        <v>45727.0</v>
      </c>
      <c r="C55" s="45" t="s">
        <v>57</v>
      </c>
      <c r="D55" s="40" t="s">
        <v>77</v>
      </c>
      <c r="E55" s="41">
        <v>9500.0</v>
      </c>
      <c r="F55" s="42">
        <v>250000.0</v>
      </c>
      <c r="G55" s="43" t="s">
        <v>456</v>
      </c>
      <c r="H55" s="49" t="s">
        <v>457</v>
      </c>
      <c r="I55" s="112"/>
      <c r="J55" s="45" t="s">
        <v>339</v>
      </c>
    </row>
    <row r="56">
      <c r="A56" s="360" t="str">
        <f t="shared" si="1"/>
        <v>March</v>
      </c>
      <c r="B56" s="38">
        <v>45727.0</v>
      </c>
      <c r="C56" s="45" t="s">
        <v>11</v>
      </c>
      <c r="D56" s="40" t="s">
        <v>336</v>
      </c>
      <c r="E56" s="41">
        <v>1000.0</v>
      </c>
      <c r="F56" s="114">
        <v>30000.0</v>
      </c>
      <c r="G56" s="43" t="s">
        <v>458</v>
      </c>
      <c r="H56" s="49" t="s">
        <v>459</v>
      </c>
      <c r="I56" s="112"/>
      <c r="J56" s="45" t="s">
        <v>339</v>
      </c>
    </row>
    <row r="57">
      <c r="A57" s="360" t="str">
        <f t="shared" si="1"/>
        <v>March</v>
      </c>
      <c r="B57" s="38">
        <v>45727.0</v>
      </c>
      <c r="C57" s="45" t="s">
        <v>17</v>
      </c>
      <c r="D57" s="40" t="s">
        <v>134</v>
      </c>
      <c r="E57" s="76"/>
      <c r="F57" s="76"/>
      <c r="G57" s="43" t="s">
        <v>460</v>
      </c>
      <c r="H57" s="49" t="s">
        <v>461</v>
      </c>
      <c r="I57" s="112"/>
      <c r="J57" s="45" t="s">
        <v>339</v>
      </c>
    </row>
    <row r="58">
      <c r="A58" s="360" t="str">
        <f t="shared" si="1"/>
        <v>March</v>
      </c>
      <c r="B58" s="38">
        <v>45728.0</v>
      </c>
      <c r="C58" s="45" t="s">
        <v>57</v>
      </c>
      <c r="D58" s="40" t="s">
        <v>58</v>
      </c>
      <c r="E58" s="41">
        <v>2200.0</v>
      </c>
      <c r="F58" s="42">
        <v>500000.0</v>
      </c>
      <c r="G58" s="43" t="s">
        <v>462</v>
      </c>
      <c r="H58" s="44" t="s">
        <v>463</v>
      </c>
      <c r="I58" s="112"/>
      <c r="J58" s="45" t="s">
        <v>339</v>
      </c>
    </row>
    <row r="59">
      <c r="A59" s="360" t="str">
        <f t="shared" si="1"/>
        <v>March</v>
      </c>
      <c r="B59" s="38">
        <v>45728.0</v>
      </c>
      <c r="C59" s="45" t="s">
        <v>17</v>
      </c>
      <c r="D59" s="40" t="s">
        <v>464</v>
      </c>
      <c r="E59" s="76"/>
      <c r="F59" s="76"/>
      <c r="G59" s="43" t="s">
        <v>465</v>
      </c>
      <c r="H59" s="174" t="s">
        <v>466</v>
      </c>
      <c r="I59" s="112"/>
      <c r="J59" s="45" t="s">
        <v>339</v>
      </c>
    </row>
    <row r="60">
      <c r="A60" s="360" t="str">
        <f t="shared" si="1"/>
        <v>March</v>
      </c>
      <c r="B60" s="38">
        <v>45728.0</v>
      </c>
      <c r="C60" s="45" t="s">
        <v>17</v>
      </c>
      <c r="D60" s="40" t="s">
        <v>467</v>
      </c>
      <c r="E60" s="76"/>
      <c r="F60" s="76"/>
      <c r="G60" s="43" t="s">
        <v>468</v>
      </c>
      <c r="H60" s="44" t="s">
        <v>469</v>
      </c>
      <c r="I60" s="112"/>
      <c r="J60" s="45" t="s">
        <v>339</v>
      </c>
    </row>
    <row r="61">
      <c r="A61" s="360" t="str">
        <f t="shared" si="1"/>
        <v>March</v>
      </c>
      <c r="B61" s="38">
        <v>45729.0</v>
      </c>
      <c r="C61" s="45" t="s">
        <v>57</v>
      </c>
      <c r="D61" s="40" t="s">
        <v>374</v>
      </c>
      <c r="E61" s="41">
        <v>1000.0</v>
      </c>
      <c r="F61" s="42">
        <v>150000.0</v>
      </c>
      <c r="G61" s="43" t="s">
        <v>470</v>
      </c>
      <c r="H61" s="44" t="s">
        <v>471</v>
      </c>
      <c r="I61" s="112"/>
      <c r="J61" s="45" t="s">
        <v>339</v>
      </c>
    </row>
    <row r="62">
      <c r="A62" s="360" t="str">
        <f t="shared" si="1"/>
        <v>March</v>
      </c>
      <c r="B62" s="38">
        <v>45729.0</v>
      </c>
      <c r="C62" s="45" t="s">
        <v>17</v>
      </c>
      <c r="D62" s="40" t="s">
        <v>354</v>
      </c>
      <c r="E62" s="76"/>
      <c r="F62" s="76"/>
      <c r="G62" s="43" t="s">
        <v>383</v>
      </c>
      <c r="H62" s="44" t="s">
        <v>472</v>
      </c>
      <c r="I62" s="112"/>
      <c r="J62" s="45" t="s">
        <v>339</v>
      </c>
    </row>
    <row r="63">
      <c r="A63" s="360" t="str">
        <f t="shared" si="1"/>
        <v>March</v>
      </c>
      <c r="B63" s="38">
        <v>45729.0</v>
      </c>
      <c r="C63" s="45" t="s">
        <v>17</v>
      </c>
      <c r="D63" s="40" t="s">
        <v>473</v>
      </c>
      <c r="E63" s="76"/>
      <c r="F63" s="76"/>
      <c r="G63" s="43" t="s">
        <v>383</v>
      </c>
      <c r="H63" s="44" t="s">
        <v>474</v>
      </c>
      <c r="I63" s="152"/>
      <c r="J63" s="152"/>
    </row>
    <row r="64">
      <c r="A64" s="360" t="str">
        <f t="shared" si="1"/>
        <v>March</v>
      </c>
      <c r="B64" s="38">
        <v>45729.0</v>
      </c>
      <c r="C64" s="45" t="s">
        <v>17</v>
      </c>
      <c r="D64" s="40" t="s">
        <v>475</v>
      </c>
      <c r="E64" s="76"/>
      <c r="F64" s="76"/>
      <c r="G64" s="43" t="s">
        <v>476</v>
      </c>
      <c r="H64" s="44" t="s">
        <v>477</v>
      </c>
      <c r="I64" s="112"/>
      <c r="J64" s="45" t="s">
        <v>339</v>
      </c>
    </row>
    <row r="65">
      <c r="A65" s="360" t="str">
        <f t="shared" si="1"/>
        <v>March</v>
      </c>
      <c r="B65" s="38">
        <v>45731.0</v>
      </c>
      <c r="C65" s="45" t="s">
        <v>17</v>
      </c>
      <c r="D65" s="3" t="s">
        <v>478</v>
      </c>
      <c r="E65" s="1"/>
      <c r="F65" s="1"/>
      <c r="G65" s="3" t="s">
        <v>479</v>
      </c>
      <c r="H65" s="140" t="s">
        <v>480</v>
      </c>
      <c r="I65" s="368"/>
      <c r="J65" s="45" t="s">
        <v>339</v>
      </c>
    </row>
    <row r="66">
      <c r="A66" s="360" t="str">
        <f t="shared" si="1"/>
        <v>March</v>
      </c>
      <c r="B66" s="38">
        <v>45731.0</v>
      </c>
      <c r="C66" s="45" t="s">
        <v>57</v>
      </c>
      <c r="D66" s="40" t="s">
        <v>77</v>
      </c>
      <c r="E66" s="41">
        <v>9500.0</v>
      </c>
      <c r="F66" s="42">
        <v>250000.0</v>
      </c>
      <c r="G66" s="43" t="s">
        <v>481</v>
      </c>
      <c r="H66" s="44" t="s">
        <v>482</v>
      </c>
      <c r="I66" s="112"/>
      <c r="J66" s="45" t="s">
        <v>339</v>
      </c>
    </row>
    <row r="67">
      <c r="A67" s="360" t="str">
        <f t="shared" si="1"/>
        <v>March</v>
      </c>
      <c r="B67" s="38">
        <v>45731.0</v>
      </c>
      <c r="C67" s="45" t="s">
        <v>57</v>
      </c>
      <c r="D67" s="40" t="s">
        <v>58</v>
      </c>
      <c r="E67" s="41">
        <v>2200.0</v>
      </c>
      <c r="F67" s="42">
        <v>500000.0</v>
      </c>
      <c r="G67" s="43" t="s">
        <v>483</v>
      </c>
      <c r="H67" s="186" t="s">
        <v>484</v>
      </c>
      <c r="I67" s="53"/>
      <c r="J67" s="45" t="s">
        <v>339</v>
      </c>
    </row>
    <row r="68">
      <c r="A68" s="360" t="str">
        <f t="shared" si="1"/>
        <v>March</v>
      </c>
      <c r="B68" s="38">
        <v>45732.0</v>
      </c>
      <c r="C68" s="45" t="s">
        <v>57</v>
      </c>
      <c r="D68" s="40" t="s">
        <v>58</v>
      </c>
      <c r="E68" s="41">
        <v>2200.0</v>
      </c>
      <c r="F68" s="42">
        <v>500000.0</v>
      </c>
      <c r="G68" s="125" t="s">
        <v>485</v>
      </c>
      <c r="H68" s="49" t="s">
        <v>486</v>
      </c>
      <c r="I68" s="112"/>
      <c r="J68" s="45" t="s">
        <v>339</v>
      </c>
    </row>
    <row r="69">
      <c r="A69" s="360" t="str">
        <f t="shared" si="1"/>
        <v>March</v>
      </c>
      <c r="B69" s="38">
        <v>45734.0</v>
      </c>
      <c r="C69" s="45" t="s">
        <v>17</v>
      </c>
      <c r="D69" s="40" t="s">
        <v>409</v>
      </c>
      <c r="E69" s="1"/>
      <c r="F69" s="1"/>
      <c r="G69" s="3" t="s">
        <v>487</v>
      </c>
      <c r="H69" s="49" t="s">
        <v>488</v>
      </c>
      <c r="I69" s="112"/>
      <c r="J69" s="45" t="s">
        <v>339</v>
      </c>
    </row>
    <row r="70">
      <c r="A70" s="360" t="str">
        <f t="shared" si="1"/>
        <v>March</v>
      </c>
      <c r="B70" s="38">
        <v>45735.0</v>
      </c>
      <c r="C70" s="45" t="s">
        <v>57</v>
      </c>
      <c r="D70" s="40" t="s">
        <v>58</v>
      </c>
      <c r="E70" s="41">
        <v>2200.0</v>
      </c>
      <c r="F70" s="42">
        <v>500000.0</v>
      </c>
      <c r="G70" s="149" t="s">
        <v>489</v>
      </c>
      <c r="H70" s="150" t="s">
        <v>490</v>
      </c>
      <c r="I70" s="112"/>
      <c r="J70" s="45" t="s">
        <v>339</v>
      </c>
    </row>
    <row r="71">
      <c r="A71" s="360" t="str">
        <f t="shared" si="1"/>
        <v>March</v>
      </c>
      <c r="B71" s="38">
        <v>45735.0</v>
      </c>
      <c r="C71" s="45" t="s">
        <v>57</v>
      </c>
      <c r="D71" s="40" t="s">
        <v>77</v>
      </c>
      <c r="E71" s="41">
        <v>9500.0</v>
      </c>
      <c r="F71" s="42">
        <v>250000.0</v>
      </c>
      <c r="G71" s="43" t="s">
        <v>491</v>
      </c>
      <c r="H71" s="150" t="s">
        <v>492</v>
      </c>
      <c r="I71" s="152"/>
      <c r="J71" s="45" t="s">
        <v>339</v>
      </c>
    </row>
    <row r="72">
      <c r="A72" s="360" t="str">
        <f t="shared" si="1"/>
        <v>March</v>
      </c>
      <c r="B72" s="38">
        <v>45736.0</v>
      </c>
      <c r="C72" s="45" t="s">
        <v>11</v>
      </c>
      <c r="D72" s="40" t="s">
        <v>137</v>
      </c>
      <c r="E72" s="41">
        <v>9300.0</v>
      </c>
      <c r="F72" s="153">
        <v>200000.0</v>
      </c>
      <c r="G72" s="154" t="s">
        <v>493</v>
      </c>
      <c r="H72" s="150" t="s">
        <v>494</v>
      </c>
      <c r="I72" s="152"/>
      <c r="J72" s="45" t="s">
        <v>339</v>
      </c>
    </row>
    <row r="73">
      <c r="A73" s="360" t="str">
        <f t="shared" si="1"/>
        <v>March</v>
      </c>
      <c r="B73" s="38">
        <v>45737.0</v>
      </c>
      <c r="C73" s="45" t="s">
        <v>17</v>
      </c>
      <c r="D73" s="40" t="s">
        <v>134</v>
      </c>
      <c r="E73" s="155"/>
      <c r="F73" s="155"/>
      <c r="G73" s="116" t="s">
        <v>495</v>
      </c>
      <c r="H73" s="44" t="s">
        <v>496</v>
      </c>
      <c r="I73" s="152"/>
      <c r="J73" s="45" t="s">
        <v>339</v>
      </c>
    </row>
    <row r="74">
      <c r="A74" s="360" t="str">
        <f t="shared" si="1"/>
        <v>March</v>
      </c>
      <c r="B74" s="38">
        <v>45743.0</v>
      </c>
      <c r="C74" s="45" t="s">
        <v>57</v>
      </c>
      <c r="D74" s="40" t="s">
        <v>58</v>
      </c>
      <c r="E74" s="41">
        <v>2200.0</v>
      </c>
      <c r="F74" s="42">
        <v>500000.0</v>
      </c>
      <c r="G74" s="43" t="s">
        <v>497</v>
      </c>
      <c r="H74" s="44" t="s">
        <v>498</v>
      </c>
      <c r="I74" s="152"/>
      <c r="J74" s="152" t="s">
        <v>499</v>
      </c>
    </row>
    <row r="75">
      <c r="A75" s="360" t="str">
        <f t="shared" si="1"/>
        <v>March</v>
      </c>
      <c r="B75" s="38">
        <v>45745.0</v>
      </c>
      <c r="C75" s="45" t="s">
        <v>57</v>
      </c>
      <c r="D75" s="40" t="s">
        <v>77</v>
      </c>
      <c r="E75" s="41">
        <v>9500.0</v>
      </c>
      <c r="F75" s="42">
        <v>250000.0</v>
      </c>
      <c r="G75" s="125" t="s">
        <v>500</v>
      </c>
      <c r="H75" s="150" t="s">
        <v>501</v>
      </c>
      <c r="I75" s="152"/>
      <c r="J75" s="45" t="s">
        <v>502</v>
      </c>
    </row>
    <row r="76">
      <c r="A76" s="360" t="str">
        <f t="shared" si="1"/>
        <v>March</v>
      </c>
      <c r="B76" s="38">
        <v>45746.0</v>
      </c>
      <c r="C76" s="45" t="s">
        <v>57</v>
      </c>
      <c r="D76" s="40" t="s">
        <v>77</v>
      </c>
      <c r="E76" s="41">
        <v>9500.0</v>
      </c>
      <c r="F76" s="42">
        <v>250000.0</v>
      </c>
      <c r="G76" s="43" t="s">
        <v>503</v>
      </c>
      <c r="H76" s="44" t="s">
        <v>504</v>
      </c>
      <c r="I76" s="152"/>
      <c r="J76" s="45" t="s">
        <v>339</v>
      </c>
    </row>
    <row r="77">
      <c r="A77" s="360" t="str">
        <f t="shared" si="1"/>
        <v>March</v>
      </c>
      <c r="B77" s="63">
        <v>45746.0</v>
      </c>
      <c r="C77" s="45" t="s">
        <v>57</v>
      </c>
      <c r="D77" s="226" t="s">
        <v>58</v>
      </c>
      <c r="E77" s="180">
        <v>2200.0</v>
      </c>
      <c r="F77" s="42">
        <v>500000.0</v>
      </c>
      <c r="G77" s="3" t="s">
        <v>505</v>
      </c>
      <c r="H77" s="140" t="s">
        <v>506</v>
      </c>
      <c r="I77" s="368"/>
      <c r="J77" s="47" t="s">
        <v>502</v>
      </c>
    </row>
    <row r="78">
      <c r="A78" s="360" t="str">
        <f t="shared" si="1"/>
        <v>April</v>
      </c>
      <c r="B78" s="68">
        <v>45748.0</v>
      </c>
      <c r="C78" s="69" t="s">
        <v>11</v>
      </c>
      <c r="D78" s="70" t="s">
        <v>137</v>
      </c>
      <c r="E78" s="159">
        <v>9300.0</v>
      </c>
      <c r="F78" s="153">
        <v>200000.0</v>
      </c>
      <c r="G78" s="73" t="s">
        <v>507</v>
      </c>
      <c r="H78" s="160" t="s">
        <v>508</v>
      </c>
      <c r="I78" s="69"/>
      <c r="J78" s="69" t="s">
        <v>339</v>
      </c>
    </row>
    <row r="79">
      <c r="A79" s="360" t="str">
        <f t="shared" si="1"/>
        <v>April</v>
      </c>
      <c r="B79" s="38">
        <v>45749.0</v>
      </c>
      <c r="C79" s="45" t="s">
        <v>17</v>
      </c>
      <c r="D79" s="40" t="s">
        <v>409</v>
      </c>
      <c r="E79" s="22"/>
      <c r="F79" s="22"/>
      <c r="G79" s="14" t="s">
        <v>509</v>
      </c>
      <c r="H79" s="49" t="s">
        <v>510</v>
      </c>
      <c r="I79" s="9"/>
      <c r="J79" s="45" t="s">
        <v>339</v>
      </c>
    </row>
    <row r="80">
      <c r="A80" s="360" t="str">
        <f t="shared" si="1"/>
        <v>April</v>
      </c>
      <c r="B80" s="38">
        <v>45754.0</v>
      </c>
      <c r="C80" s="45" t="s">
        <v>11</v>
      </c>
      <c r="D80" s="40" t="s">
        <v>137</v>
      </c>
      <c r="E80" s="41">
        <v>9300.0</v>
      </c>
      <c r="F80" s="153">
        <v>200000.0</v>
      </c>
      <c r="G80" s="172" t="s">
        <v>511</v>
      </c>
      <c r="H80" s="370" t="s">
        <v>512</v>
      </c>
      <c r="I80" s="371" t="s">
        <v>513</v>
      </c>
      <c r="J80" s="45" t="s">
        <v>339</v>
      </c>
    </row>
    <row r="81">
      <c r="A81" s="360" t="str">
        <f t="shared" si="1"/>
        <v>April</v>
      </c>
      <c r="B81" s="38">
        <v>45757.0</v>
      </c>
      <c r="C81" s="45" t="s">
        <v>57</v>
      </c>
      <c r="D81" s="40" t="s">
        <v>58</v>
      </c>
      <c r="E81" s="41">
        <v>2200.0</v>
      </c>
      <c r="F81" s="42">
        <v>500000.0</v>
      </c>
      <c r="G81" s="14" t="s">
        <v>514</v>
      </c>
      <c r="H81" s="49" t="s">
        <v>515</v>
      </c>
      <c r="I81" s="9"/>
      <c r="J81" s="45" t="s">
        <v>339</v>
      </c>
    </row>
    <row r="82">
      <c r="A82" s="360" t="str">
        <f t="shared" si="1"/>
        <v>April</v>
      </c>
      <c r="B82" s="38">
        <v>45756.0</v>
      </c>
      <c r="C82" s="45" t="s">
        <v>11</v>
      </c>
      <c r="D82" s="40" t="s">
        <v>71</v>
      </c>
      <c r="E82" s="51">
        <v>1000.0</v>
      </c>
      <c r="F82" s="42">
        <v>100000.0</v>
      </c>
      <c r="G82" s="14" t="s">
        <v>516</v>
      </c>
      <c r="H82" s="49" t="s">
        <v>517</v>
      </c>
      <c r="I82" s="9"/>
      <c r="J82" s="45" t="s">
        <v>339</v>
      </c>
    </row>
    <row r="83">
      <c r="A83" s="360" t="str">
        <f t="shared" si="1"/>
        <v>April</v>
      </c>
      <c r="B83" s="38">
        <v>45758.0</v>
      </c>
      <c r="C83" s="45" t="s">
        <v>17</v>
      </c>
      <c r="D83" s="40" t="s">
        <v>66</v>
      </c>
      <c r="E83" s="76"/>
      <c r="F83" s="76"/>
      <c r="G83" s="43" t="s">
        <v>518</v>
      </c>
      <c r="H83" s="44" t="s">
        <v>519</v>
      </c>
      <c r="I83" s="45"/>
      <c r="J83" s="45" t="s">
        <v>339</v>
      </c>
    </row>
    <row r="84">
      <c r="A84" s="360" t="str">
        <f t="shared" si="1"/>
        <v>April</v>
      </c>
      <c r="B84" s="38">
        <v>45758.0</v>
      </c>
      <c r="C84" s="45" t="s">
        <v>17</v>
      </c>
      <c r="D84" s="40" t="s">
        <v>409</v>
      </c>
      <c r="E84" s="168"/>
      <c r="F84" s="168"/>
      <c r="G84" s="169" t="s">
        <v>520</v>
      </c>
      <c r="H84" s="166" t="s">
        <v>521</v>
      </c>
      <c r="I84" s="112"/>
      <c r="J84" s="45" t="s">
        <v>339</v>
      </c>
    </row>
    <row r="85">
      <c r="A85" s="360" t="str">
        <f t="shared" si="1"/>
        <v>April</v>
      </c>
      <c r="B85" s="38">
        <v>45759.0</v>
      </c>
      <c r="C85" s="45" t="s">
        <v>57</v>
      </c>
      <c r="D85" s="40" t="s">
        <v>77</v>
      </c>
      <c r="E85" s="41">
        <v>9500.0</v>
      </c>
      <c r="F85" s="42">
        <v>250000.0</v>
      </c>
      <c r="G85" s="43" t="s">
        <v>522</v>
      </c>
      <c r="H85" s="50" t="s">
        <v>523</v>
      </c>
      <c r="I85" s="152"/>
      <c r="J85" s="45" t="s">
        <v>339</v>
      </c>
    </row>
    <row r="86">
      <c r="A86" s="360" t="str">
        <f t="shared" si="1"/>
        <v>April</v>
      </c>
      <c r="B86" s="38">
        <v>45760.0</v>
      </c>
      <c r="C86" s="45" t="s">
        <v>57</v>
      </c>
      <c r="D86" s="40" t="s">
        <v>58</v>
      </c>
      <c r="E86" s="41">
        <v>2200.0</v>
      </c>
      <c r="F86" s="42">
        <v>500000.0</v>
      </c>
      <c r="G86" s="43" t="s">
        <v>524</v>
      </c>
      <c r="H86" s="44" t="s">
        <v>525</v>
      </c>
      <c r="I86" s="152"/>
      <c r="J86" s="45" t="s">
        <v>339</v>
      </c>
    </row>
    <row r="87">
      <c r="A87" s="360" t="str">
        <f t="shared" si="1"/>
        <v>April</v>
      </c>
      <c r="B87" s="38">
        <v>45761.0</v>
      </c>
      <c r="C87" s="45" t="s">
        <v>17</v>
      </c>
      <c r="D87" s="170" t="s">
        <v>90</v>
      </c>
      <c r="E87" s="168"/>
      <c r="F87" s="168"/>
      <c r="G87" s="43" t="s">
        <v>526</v>
      </c>
      <c r="H87" s="50" t="s">
        <v>527</v>
      </c>
      <c r="I87" s="152"/>
      <c r="J87" s="45" t="s">
        <v>339</v>
      </c>
    </row>
    <row r="88">
      <c r="A88" s="360" t="str">
        <f t="shared" si="1"/>
        <v>April</v>
      </c>
      <c r="B88" s="38">
        <v>45761.0</v>
      </c>
      <c r="C88" s="45" t="s">
        <v>128</v>
      </c>
      <c r="D88" s="170" t="s">
        <v>528</v>
      </c>
      <c r="E88" s="159">
        <v>20000.0</v>
      </c>
      <c r="F88" s="171">
        <v>300000.0</v>
      </c>
      <c r="G88" s="43" t="s">
        <v>529</v>
      </c>
      <c r="H88" s="50" t="s">
        <v>530</v>
      </c>
      <c r="I88" s="152"/>
      <c r="J88" s="45" t="s">
        <v>339</v>
      </c>
    </row>
    <row r="89">
      <c r="A89" s="360" t="str">
        <f t="shared" si="1"/>
        <v>April</v>
      </c>
      <c r="B89" s="38">
        <v>45765.0</v>
      </c>
      <c r="C89" s="45" t="s">
        <v>57</v>
      </c>
      <c r="D89" s="40" t="s">
        <v>58</v>
      </c>
      <c r="E89" s="41">
        <v>2200.0</v>
      </c>
      <c r="F89" s="42">
        <v>500000.0</v>
      </c>
      <c r="G89" s="43" t="s">
        <v>531</v>
      </c>
      <c r="H89" s="50" t="s">
        <v>532</v>
      </c>
      <c r="I89" s="152"/>
      <c r="J89" s="45" t="s">
        <v>339</v>
      </c>
    </row>
    <row r="90">
      <c r="A90" s="360" t="str">
        <f t="shared" si="1"/>
        <v>April</v>
      </c>
      <c r="B90" s="38">
        <v>45766.0</v>
      </c>
      <c r="C90" s="45" t="s">
        <v>128</v>
      </c>
      <c r="D90" s="172" t="s">
        <v>533</v>
      </c>
      <c r="E90" s="41">
        <v>20000.0</v>
      </c>
      <c r="F90" s="42">
        <v>100000.0</v>
      </c>
      <c r="G90" s="43" t="s">
        <v>534</v>
      </c>
      <c r="H90" s="173" t="s">
        <v>535</v>
      </c>
      <c r="I90" s="152"/>
      <c r="J90" s="152"/>
    </row>
    <row r="91">
      <c r="A91" s="360" t="str">
        <f t="shared" si="1"/>
        <v>April</v>
      </c>
      <c r="B91" s="38">
        <v>45759.0</v>
      </c>
      <c r="C91" s="45" t="s">
        <v>57</v>
      </c>
      <c r="D91" s="40" t="s">
        <v>77</v>
      </c>
      <c r="E91" s="41">
        <v>9500.0</v>
      </c>
      <c r="F91" s="42">
        <v>250000.0</v>
      </c>
      <c r="G91" s="43" t="s">
        <v>536</v>
      </c>
      <c r="H91" s="50" t="s">
        <v>537</v>
      </c>
      <c r="I91" s="152"/>
      <c r="J91" s="45" t="s">
        <v>339</v>
      </c>
    </row>
    <row r="92">
      <c r="A92" s="360" t="str">
        <f t="shared" si="1"/>
        <v>April</v>
      </c>
      <c r="B92" s="38">
        <v>45769.0</v>
      </c>
      <c r="C92" s="45" t="s">
        <v>57</v>
      </c>
      <c r="D92" s="40" t="s">
        <v>77</v>
      </c>
      <c r="E92" s="41">
        <v>9500.0</v>
      </c>
      <c r="F92" s="42">
        <v>250000.0</v>
      </c>
      <c r="G92" s="43" t="s">
        <v>538</v>
      </c>
      <c r="H92" s="50" t="s">
        <v>539</v>
      </c>
      <c r="I92" s="152"/>
      <c r="J92" s="45" t="s">
        <v>339</v>
      </c>
    </row>
    <row r="93">
      <c r="A93" s="360" t="str">
        <f t="shared" si="1"/>
        <v>April</v>
      </c>
      <c r="B93" s="38">
        <v>45769.0</v>
      </c>
      <c r="C93" s="45" t="s">
        <v>57</v>
      </c>
      <c r="D93" s="40" t="s">
        <v>58</v>
      </c>
      <c r="E93" s="41">
        <v>2200.0</v>
      </c>
      <c r="F93" s="42">
        <v>500000.0</v>
      </c>
      <c r="G93" s="43" t="s">
        <v>540</v>
      </c>
      <c r="H93" s="174" t="s">
        <v>541</v>
      </c>
      <c r="I93" s="152"/>
      <c r="J93" s="45" t="s">
        <v>339</v>
      </c>
    </row>
    <row r="94">
      <c r="A94" s="360" t="str">
        <f t="shared" si="1"/>
        <v>April</v>
      </c>
      <c r="B94" s="38">
        <v>45770.0</v>
      </c>
      <c r="C94" s="45" t="s">
        <v>17</v>
      </c>
      <c r="D94" s="172" t="s">
        <v>542</v>
      </c>
      <c r="E94" s="76"/>
      <c r="F94" s="76"/>
      <c r="G94" s="43" t="s">
        <v>543</v>
      </c>
      <c r="H94" s="173" t="s">
        <v>544</v>
      </c>
      <c r="I94" s="152"/>
      <c r="J94" s="45" t="s">
        <v>339</v>
      </c>
    </row>
    <row r="95">
      <c r="A95" s="360" t="str">
        <f t="shared" si="1"/>
        <v>April</v>
      </c>
      <c r="B95" s="38">
        <v>45770.0</v>
      </c>
      <c r="C95" s="45" t="s">
        <v>17</v>
      </c>
      <c r="D95" s="172" t="s">
        <v>545</v>
      </c>
      <c r="E95" s="76"/>
      <c r="F95" s="76"/>
      <c r="G95" s="43" t="s">
        <v>546</v>
      </c>
      <c r="H95" s="173" t="s">
        <v>547</v>
      </c>
      <c r="I95" s="152"/>
      <c r="J95" s="45" t="s">
        <v>339</v>
      </c>
    </row>
    <row r="96">
      <c r="A96" s="360" t="str">
        <f t="shared" si="1"/>
        <v>April</v>
      </c>
      <c r="B96" s="38">
        <v>45771.0</v>
      </c>
      <c r="C96" s="45" t="s">
        <v>17</v>
      </c>
      <c r="D96" s="40" t="s">
        <v>123</v>
      </c>
      <c r="E96" s="175"/>
      <c r="F96" s="175"/>
      <c r="G96" s="176" t="s">
        <v>548</v>
      </c>
      <c r="H96" s="177" t="s">
        <v>549</v>
      </c>
      <c r="I96" s="152"/>
      <c r="J96" s="45" t="s">
        <v>550</v>
      </c>
    </row>
    <row r="97">
      <c r="A97" s="360" t="str">
        <f t="shared" si="1"/>
        <v>April</v>
      </c>
      <c r="B97" s="38">
        <v>45771.0</v>
      </c>
      <c r="C97" s="45" t="s">
        <v>17</v>
      </c>
      <c r="D97" s="14" t="s">
        <v>551</v>
      </c>
      <c r="E97" s="175"/>
      <c r="F97" s="175"/>
      <c r="G97" s="176" t="s">
        <v>552</v>
      </c>
      <c r="H97" s="44" t="s">
        <v>553</v>
      </c>
      <c r="I97" s="152"/>
      <c r="J97" s="45" t="s">
        <v>339</v>
      </c>
    </row>
    <row r="98" ht="15.75" customHeight="1">
      <c r="A98" s="360" t="str">
        <f t="shared" si="1"/>
        <v>April</v>
      </c>
      <c r="B98" s="218">
        <v>45771.0</v>
      </c>
      <c r="C98" s="178" t="s">
        <v>11</v>
      </c>
      <c r="D98" s="179" t="s">
        <v>554</v>
      </c>
      <c r="E98" s="180">
        <v>5000.0</v>
      </c>
      <c r="F98" s="181">
        <v>50000.0</v>
      </c>
      <c r="G98" s="182" t="s">
        <v>555</v>
      </c>
      <c r="H98" s="183" t="s">
        <v>556</v>
      </c>
      <c r="I98" s="184"/>
      <c r="J98" s="178" t="s">
        <v>339</v>
      </c>
    </row>
    <row r="99">
      <c r="A99" s="360" t="str">
        <f t="shared" si="1"/>
        <v>April</v>
      </c>
      <c r="B99" s="204">
        <v>45772.0</v>
      </c>
      <c r="C99" s="39" t="s">
        <v>17</v>
      </c>
      <c r="D99" s="185" t="s">
        <v>542</v>
      </c>
      <c r="E99" s="168"/>
      <c r="F99" s="168"/>
      <c r="G99" s="169" t="s">
        <v>548</v>
      </c>
      <c r="H99" s="186" t="s">
        <v>557</v>
      </c>
      <c r="I99" s="53"/>
      <c r="J99" s="39" t="s">
        <v>339</v>
      </c>
    </row>
    <row r="100">
      <c r="A100" s="360" t="str">
        <f t="shared" si="1"/>
        <v>April</v>
      </c>
      <c r="B100" s="38">
        <v>45773.0</v>
      </c>
      <c r="C100" s="45" t="s">
        <v>17</v>
      </c>
      <c r="D100" s="40" t="s">
        <v>439</v>
      </c>
      <c r="E100" s="175"/>
      <c r="F100" s="175"/>
      <c r="G100" s="176" t="s">
        <v>558</v>
      </c>
      <c r="H100" s="44" t="s">
        <v>559</v>
      </c>
      <c r="I100" s="187"/>
      <c r="J100" s="45" t="s">
        <v>339</v>
      </c>
    </row>
    <row r="101">
      <c r="A101" s="360" t="str">
        <f t="shared" si="1"/>
        <v>April</v>
      </c>
      <c r="B101" s="38">
        <v>45775.0</v>
      </c>
      <c r="C101" s="45" t="s">
        <v>17</v>
      </c>
      <c r="D101" s="40" t="s">
        <v>439</v>
      </c>
      <c r="E101" s="164"/>
      <c r="F101" s="164"/>
      <c r="G101" s="165" t="s">
        <v>558</v>
      </c>
      <c r="H101" s="166" t="s">
        <v>560</v>
      </c>
      <c r="I101" s="167"/>
      <c r="J101" s="45" t="s">
        <v>339</v>
      </c>
    </row>
    <row r="102">
      <c r="A102" s="360" t="str">
        <f t="shared" si="1"/>
        <v>April</v>
      </c>
      <c r="B102" s="372">
        <v>45777.0</v>
      </c>
      <c r="C102" s="189" t="s">
        <v>17</v>
      </c>
      <c r="D102" s="190" t="s">
        <v>439</v>
      </c>
      <c r="E102" s="191"/>
      <c r="F102" s="191"/>
      <c r="G102" s="192" t="s">
        <v>561</v>
      </c>
      <c r="H102" s="373" t="s">
        <v>562</v>
      </c>
      <c r="I102" s="194"/>
      <c r="J102" s="189" t="s">
        <v>339</v>
      </c>
    </row>
    <row r="103">
      <c r="A103" s="360" t="str">
        <f t="shared" si="1"/>
        <v>May</v>
      </c>
      <c r="B103" s="204">
        <v>45778.0</v>
      </c>
      <c r="C103" s="39" t="s">
        <v>57</v>
      </c>
      <c r="D103" s="170" t="s">
        <v>77</v>
      </c>
      <c r="E103" s="65">
        <v>9500.0</v>
      </c>
      <c r="F103" s="42">
        <v>250000.0</v>
      </c>
      <c r="G103" s="195" t="s">
        <v>563</v>
      </c>
      <c r="H103" s="196" t="s">
        <v>564</v>
      </c>
      <c r="I103" s="112"/>
      <c r="J103" s="45" t="s">
        <v>339</v>
      </c>
    </row>
    <row r="104">
      <c r="A104" s="360" t="str">
        <f t="shared" si="1"/>
        <v>May</v>
      </c>
      <c r="B104" s="204">
        <v>45778.0</v>
      </c>
      <c r="C104" s="39" t="s">
        <v>11</v>
      </c>
      <c r="D104" s="198" t="s">
        <v>71</v>
      </c>
      <c r="E104" s="51">
        <v>1000.0</v>
      </c>
      <c r="F104" s="42">
        <v>100000.0</v>
      </c>
      <c r="G104" s="3" t="s">
        <v>565</v>
      </c>
      <c r="H104" s="173" t="s">
        <v>566</v>
      </c>
      <c r="I104" s="112"/>
      <c r="J104" s="45" t="s">
        <v>339</v>
      </c>
    </row>
    <row r="105">
      <c r="A105" s="360" t="str">
        <f t="shared" si="1"/>
        <v>May</v>
      </c>
      <c r="B105" s="204">
        <v>45778.0</v>
      </c>
      <c r="C105" s="39" t="s">
        <v>11</v>
      </c>
      <c r="D105" s="40" t="s">
        <v>567</v>
      </c>
      <c r="E105" s="205">
        <v>3000.0</v>
      </c>
      <c r="F105" s="42">
        <v>40000.0</v>
      </c>
      <c r="G105" s="200" t="s">
        <v>568</v>
      </c>
      <c r="H105" s="201" t="s">
        <v>569</v>
      </c>
      <c r="I105" s="112"/>
      <c r="J105" s="45" t="s">
        <v>339</v>
      </c>
    </row>
    <row r="106">
      <c r="A106" s="360" t="str">
        <f t="shared" si="1"/>
        <v>May</v>
      </c>
      <c r="B106" s="204">
        <v>45779.0</v>
      </c>
      <c r="C106" s="39" t="s">
        <v>11</v>
      </c>
      <c r="D106" s="40" t="s">
        <v>570</v>
      </c>
      <c r="E106" s="206"/>
      <c r="F106" s="206"/>
      <c r="G106" s="200" t="s">
        <v>565</v>
      </c>
      <c r="H106" s="201" t="s">
        <v>571</v>
      </c>
      <c r="I106" s="112"/>
      <c r="J106" s="45" t="s">
        <v>339</v>
      </c>
    </row>
    <row r="107">
      <c r="A107" s="360" t="str">
        <f t="shared" si="1"/>
        <v>May</v>
      </c>
      <c r="B107" s="204">
        <v>45785.0</v>
      </c>
      <c r="C107" s="39" t="s">
        <v>57</v>
      </c>
      <c r="D107" s="170" t="s">
        <v>77</v>
      </c>
      <c r="E107" s="41">
        <v>9500.0</v>
      </c>
      <c r="F107" s="42">
        <v>250000.0</v>
      </c>
      <c r="G107" s="200" t="s">
        <v>572</v>
      </c>
      <c r="H107" s="374" t="s">
        <v>573</v>
      </c>
      <c r="I107" s="112"/>
      <c r="J107" s="45" t="s">
        <v>339</v>
      </c>
    </row>
    <row r="108">
      <c r="A108" s="360" t="str">
        <f t="shared" si="1"/>
        <v>May</v>
      </c>
      <c r="B108" s="204">
        <v>45786.0</v>
      </c>
      <c r="C108" s="39" t="s">
        <v>57</v>
      </c>
      <c r="D108" s="170" t="s">
        <v>77</v>
      </c>
      <c r="E108" s="41">
        <v>9500.0</v>
      </c>
      <c r="F108" s="42">
        <v>250000.0</v>
      </c>
      <c r="G108" s="200" t="s">
        <v>574</v>
      </c>
      <c r="H108" s="375" t="s">
        <v>575</v>
      </c>
      <c r="I108" s="112"/>
      <c r="J108" s="45" t="s">
        <v>339</v>
      </c>
    </row>
    <row r="109">
      <c r="A109" s="360" t="str">
        <f t="shared" si="1"/>
        <v>May</v>
      </c>
      <c r="B109" s="204">
        <v>45786.0</v>
      </c>
      <c r="C109" s="39" t="s">
        <v>57</v>
      </c>
      <c r="D109" s="40" t="s">
        <v>137</v>
      </c>
      <c r="E109" s="41">
        <v>9300.0</v>
      </c>
      <c r="F109" s="153">
        <v>200000.0</v>
      </c>
      <c r="G109" s="200" t="s">
        <v>576</v>
      </c>
      <c r="H109" s="374" t="s">
        <v>577</v>
      </c>
      <c r="I109" s="152"/>
      <c r="J109" s="45" t="s">
        <v>339</v>
      </c>
    </row>
    <row r="110">
      <c r="A110" s="360" t="str">
        <f t="shared" si="1"/>
        <v>May</v>
      </c>
      <c r="B110" s="38">
        <v>45788.0</v>
      </c>
      <c r="C110" s="45" t="s">
        <v>57</v>
      </c>
      <c r="D110" s="40" t="s">
        <v>58</v>
      </c>
      <c r="E110" s="41">
        <v>2200.0</v>
      </c>
      <c r="F110" s="42">
        <v>500000.0</v>
      </c>
      <c r="G110" s="200" t="s">
        <v>578</v>
      </c>
      <c r="H110" s="44" t="s">
        <v>579</v>
      </c>
      <c r="I110" s="152"/>
      <c r="J110" s="45" t="s">
        <v>339</v>
      </c>
    </row>
    <row r="111">
      <c r="A111" s="360" t="str">
        <f t="shared" si="1"/>
        <v>May</v>
      </c>
      <c r="B111" s="38">
        <v>45788.0</v>
      </c>
      <c r="C111" s="45" t="s">
        <v>57</v>
      </c>
      <c r="D111" s="40" t="s">
        <v>58</v>
      </c>
      <c r="E111" s="41">
        <v>2200.0</v>
      </c>
      <c r="F111" s="42">
        <v>500000.0</v>
      </c>
      <c r="G111" s="210" t="s">
        <v>580</v>
      </c>
      <c r="H111" s="140" t="s">
        <v>581</v>
      </c>
      <c r="J111" s="45" t="s">
        <v>339</v>
      </c>
    </row>
    <row r="112">
      <c r="A112" s="360" t="str">
        <f t="shared" si="1"/>
        <v>May</v>
      </c>
      <c r="B112" s="204">
        <v>45789.0</v>
      </c>
      <c r="C112" s="45" t="s">
        <v>17</v>
      </c>
      <c r="D112" s="40" t="s">
        <v>145</v>
      </c>
      <c r="E112" s="206"/>
      <c r="F112" s="206"/>
      <c r="G112" s="200" t="s">
        <v>578</v>
      </c>
      <c r="H112" s="374" t="s">
        <v>582</v>
      </c>
      <c r="I112" s="112"/>
      <c r="J112" s="45" t="s">
        <v>339</v>
      </c>
    </row>
    <row r="113">
      <c r="A113" s="360" t="str">
        <f t="shared" si="1"/>
        <v>May</v>
      </c>
      <c r="B113" s="204">
        <v>45789.0</v>
      </c>
      <c r="C113" s="39" t="s">
        <v>57</v>
      </c>
      <c r="D113" s="170" t="s">
        <v>77</v>
      </c>
      <c r="E113" s="41">
        <v>9500.0</v>
      </c>
      <c r="F113" s="42">
        <v>250000.0</v>
      </c>
      <c r="G113" s="200" t="s">
        <v>583</v>
      </c>
      <c r="H113" s="374" t="s">
        <v>584</v>
      </c>
      <c r="I113" s="152"/>
      <c r="J113" s="45" t="s">
        <v>339</v>
      </c>
    </row>
    <row r="114">
      <c r="A114" s="360" t="str">
        <f t="shared" si="1"/>
        <v>May</v>
      </c>
      <c r="B114" s="38">
        <v>45789.0</v>
      </c>
      <c r="C114" s="45" t="s">
        <v>17</v>
      </c>
      <c r="D114" s="40" t="s">
        <v>134</v>
      </c>
      <c r="E114" s="206"/>
      <c r="F114" s="206"/>
      <c r="G114" s="200" t="s">
        <v>585</v>
      </c>
      <c r="H114" s="150" t="s">
        <v>586</v>
      </c>
      <c r="I114" s="152"/>
      <c r="J114" s="45" t="s">
        <v>339</v>
      </c>
    </row>
    <row r="115">
      <c r="A115" s="360" t="str">
        <f t="shared" si="1"/>
        <v>May</v>
      </c>
      <c r="B115" s="204">
        <v>45789.0</v>
      </c>
      <c r="C115" s="45" t="s">
        <v>17</v>
      </c>
      <c r="D115" s="40" t="s">
        <v>145</v>
      </c>
      <c r="E115" s="206"/>
      <c r="F115" s="206"/>
      <c r="G115" s="200" t="s">
        <v>587</v>
      </c>
      <c r="H115" s="150" t="s">
        <v>588</v>
      </c>
      <c r="I115" s="152"/>
      <c r="J115" s="45" t="s">
        <v>339</v>
      </c>
    </row>
    <row r="116">
      <c r="A116" s="360" t="str">
        <f t="shared" si="1"/>
        <v>May</v>
      </c>
      <c r="B116" s="204">
        <v>45789.0</v>
      </c>
      <c r="C116" s="39" t="s">
        <v>57</v>
      </c>
      <c r="D116" s="40" t="s">
        <v>374</v>
      </c>
      <c r="E116" s="41">
        <v>1000.0</v>
      </c>
      <c r="F116" s="42">
        <v>150000.0</v>
      </c>
      <c r="G116" s="200" t="s">
        <v>589</v>
      </c>
      <c r="H116" s="50" t="s">
        <v>590</v>
      </c>
      <c r="I116" s="152"/>
      <c r="J116" s="45" t="s">
        <v>339</v>
      </c>
    </row>
    <row r="117">
      <c r="A117" s="360" t="str">
        <f t="shared" si="1"/>
        <v>May</v>
      </c>
      <c r="B117" s="38">
        <v>45789.0</v>
      </c>
      <c r="C117" s="45" t="s">
        <v>57</v>
      </c>
      <c r="D117" s="40" t="s">
        <v>58</v>
      </c>
      <c r="E117" s="41">
        <v>2200.0</v>
      </c>
      <c r="F117" s="42">
        <v>500000.0</v>
      </c>
      <c r="G117" s="210" t="s">
        <v>591</v>
      </c>
      <c r="H117" s="140" t="s">
        <v>592</v>
      </c>
      <c r="J117" s="45" t="s">
        <v>339</v>
      </c>
    </row>
    <row r="118">
      <c r="A118" s="360" t="str">
        <f t="shared" si="1"/>
        <v>May</v>
      </c>
      <c r="B118" s="38">
        <v>45790.0</v>
      </c>
      <c r="C118" s="45" t="s">
        <v>57</v>
      </c>
      <c r="D118" s="40" t="s">
        <v>593</v>
      </c>
      <c r="E118" s="41">
        <v>3000.0</v>
      </c>
      <c r="F118" s="42">
        <v>40000.0</v>
      </c>
      <c r="G118" s="200" t="s">
        <v>594</v>
      </c>
      <c r="H118" s="44" t="s">
        <v>595</v>
      </c>
      <c r="I118" s="152"/>
      <c r="J118" s="45" t="s">
        <v>339</v>
      </c>
    </row>
    <row r="119">
      <c r="A119" s="360" t="str">
        <f t="shared" si="1"/>
        <v>May</v>
      </c>
      <c r="B119" s="38">
        <v>45791.0</v>
      </c>
      <c r="C119" s="45" t="s">
        <v>17</v>
      </c>
      <c r="D119" s="40" t="s">
        <v>596</v>
      </c>
      <c r="E119" s="206"/>
      <c r="F119" s="206"/>
      <c r="G119" s="200" t="s">
        <v>597</v>
      </c>
      <c r="H119" s="150" t="s">
        <v>598</v>
      </c>
      <c r="I119" s="152"/>
      <c r="J119" s="45" t="s">
        <v>339</v>
      </c>
    </row>
    <row r="120">
      <c r="A120" s="360" t="str">
        <f t="shared" si="1"/>
        <v>May</v>
      </c>
      <c r="B120" s="38">
        <v>45790.0</v>
      </c>
      <c r="C120" s="45" t="s">
        <v>11</v>
      </c>
      <c r="D120" s="40" t="s">
        <v>599</v>
      </c>
      <c r="E120" s="206"/>
      <c r="F120" s="206"/>
      <c r="G120" s="200" t="s">
        <v>600</v>
      </c>
      <c r="H120" s="150" t="s">
        <v>601</v>
      </c>
      <c r="I120" s="152"/>
      <c r="J120" s="45" t="s">
        <v>339</v>
      </c>
    </row>
    <row r="121">
      <c r="A121" s="360" t="str">
        <f t="shared" si="1"/>
        <v>May</v>
      </c>
      <c r="B121" s="204">
        <v>45791.0</v>
      </c>
      <c r="C121" s="39" t="s">
        <v>57</v>
      </c>
      <c r="D121" s="40" t="s">
        <v>374</v>
      </c>
      <c r="E121" s="41">
        <v>1000.0</v>
      </c>
      <c r="F121" s="42">
        <v>150000.0</v>
      </c>
      <c r="G121" s="200" t="s">
        <v>602</v>
      </c>
      <c r="H121" s="150" t="s">
        <v>603</v>
      </c>
      <c r="I121" s="152"/>
      <c r="J121" s="45" t="s">
        <v>339</v>
      </c>
    </row>
    <row r="122">
      <c r="A122" s="360" t="str">
        <f t="shared" si="1"/>
        <v>May</v>
      </c>
      <c r="B122" s="38">
        <v>45792.0</v>
      </c>
      <c r="C122" s="45" t="s">
        <v>11</v>
      </c>
      <c r="D122" s="14" t="s">
        <v>554</v>
      </c>
      <c r="E122" s="41">
        <v>5000.0</v>
      </c>
      <c r="F122" s="42">
        <v>50000.0</v>
      </c>
      <c r="G122" s="200" t="s">
        <v>604</v>
      </c>
      <c r="H122" s="150" t="s">
        <v>605</v>
      </c>
      <c r="I122" s="152"/>
      <c r="J122" s="45" t="s">
        <v>339</v>
      </c>
    </row>
    <row r="123">
      <c r="A123" s="360" t="str">
        <f t="shared" si="1"/>
        <v>May</v>
      </c>
      <c r="B123" s="38">
        <v>45792.0</v>
      </c>
      <c r="C123" s="45" t="s">
        <v>17</v>
      </c>
      <c r="D123" s="40" t="s">
        <v>134</v>
      </c>
      <c r="E123" s="206"/>
      <c r="F123" s="206"/>
      <c r="G123" s="200" t="s">
        <v>606</v>
      </c>
      <c r="H123" s="150" t="s">
        <v>607</v>
      </c>
      <c r="I123" s="152"/>
      <c r="J123" s="45" t="s">
        <v>339</v>
      </c>
    </row>
    <row r="124">
      <c r="A124" s="360" t="str">
        <f t="shared" si="1"/>
        <v>May</v>
      </c>
      <c r="B124" s="38">
        <v>45789.0</v>
      </c>
      <c r="C124" s="45" t="s">
        <v>57</v>
      </c>
      <c r="D124" s="40" t="s">
        <v>58</v>
      </c>
      <c r="E124" s="41">
        <v>2200.0</v>
      </c>
      <c r="F124" s="42">
        <v>500000.0</v>
      </c>
      <c r="G124" s="62" t="s">
        <v>608</v>
      </c>
      <c r="H124" s="49" t="s">
        <v>609</v>
      </c>
      <c r="I124" s="152"/>
      <c r="J124" s="45" t="s">
        <v>339</v>
      </c>
    </row>
    <row r="125">
      <c r="A125" s="360" t="str">
        <f t="shared" si="1"/>
        <v>May</v>
      </c>
      <c r="B125" s="204">
        <v>45792.0</v>
      </c>
      <c r="C125" s="39" t="s">
        <v>57</v>
      </c>
      <c r="D125" s="170" t="s">
        <v>77</v>
      </c>
      <c r="E125" s="41">
        <v>9500.0</v>
      </c>
      <c r="F125" s="42">
        <v>250000.0</v>
      </c>
      <c r="G125" s="62" t="s">
        <v>610</v>
      </c>
      <c r="H125" s="44" t="s">
        <v>611</v>
      </c>
      <c r="I125" s="152"/>
      <c r="J125" s="45" t="s">
        <v>339</v>
      </c>
    </row>
    <row r="126">
      <c r="A126" s="360" t="str">
        <f t="shared" si="1"/>
        <v>May</v>
      </c>
      <c r="B126" s="204">
        <v>45793.0</v>
      </c>
      <c r="C126" s="39" t="s">
        <v>17</v>
      </c>
      <c r="D126" s="170" t="s">
        <v>612</v>
      </c>
      <c r="E126" s="212"/>
      <c r="F126" s="213"/>
      <c r="G126" s="62" t="s">
        <v>613</v>
      </c>
      <c r="H126" s="44" t="s">
        <v>614</v>
      </c>
      <c r="I126" s="152"/>
      <c r="J126" s="45" t="s">
        <v>339</v>
      </c>
    </row>
    <row r="127">
      <c r="A127" s="360" t="str">
        <f t="shared" si="1"/>
        <v>May</v>
      </c>
      <c r="B127" s="204">
        <v>45793.0</v>
      </c>
      <c r="C127" s="39" t="s">
        <v>17</v>
      </c>
      <c r="D127" s="170" t="s">
        <v>451</v>
      </c>
      <c r="E127" s="212"/>
      <c r="F127" s="213"/>
      <c r="G127" s="62" t="s">
        <v>615</v>
      </c>
      <c r="H127" s="50" t="s">
        <v>616</v>
      </c>
      <c r="I127" s="152"/>
      <c r="J127" s="45" t="s">
        <v>339</v>
      </c>
    </row>
    <row r="128">
      <c r="A128" s="360" t="str">
        <f t="shared" si="1"/>
        <v>May</v>
      </c>
      <c r="B128" s="204">
        <v>45793.0</v>
      </c>
      <c r="C128" s="39" t="s">
        <v>11</v>
      </c>
      <c r="D128" s="170" t="s">
        <v>145</v>
      </c>
      <c r="E128" s="206"/>
      <c r="F128" s="206"/>
      <c r="G128" s="200" t="s">
        <v>617</v>
      </c>
      <c r="H128" s="150" t="s">
        <v>618</v>
      </c>
      <c r="I128" s="187"/>
      <c r="J128" s="45" t="s">
        <v>339</v>
      </c>
    </row>
    <row r="129">
      <c r="A129" s="360" t="str">
        <f t="shared" si="1"/>
        <v>May</v>
      </c>
      <c r="B129" s="204">
        <v>45796.0</v>
      </c>
      <c r="C129" s="214" t="s">
        <v>11</v>
      </c>
      <c r="D129" s="185" t="s">
        <v>554</v>
      </c>
      <c r="E129" s="215">
        <v>5000.0</v>
      </c>
      <c r="F129" s="42">
        <v>50000.0</v>
      </c>
      <c r="G129" s="195" t="s">
        <v>619</v>
      </c>
      <c r="H129" s="376" t="s">
        <v>620</v>
      </c>
      <c r="I129" s="39"/>
      <c r="J129" s="45" t="s">
        <v>339</v>
      </c>
    </row>
    <row r="130">
      <c r="A130" s="360" t="str">
        <f t="shared" si="1"/>
        <v>May</v>
      </c>
      <c r="B130" s="204">
        <v>45796.0</v>
      </c>
      <c r="C130" s="214" t="s">
        <v>11</v>
      </c>
      <c r="D130" s="172" t="s">
        <v>71</v>
      </c>
      <c r="E130" s="51">
        <v>1000.0</v>
      </c>
      <c r="F130" s="42">
        <v>100000.0</v>
      </c>
      <c r="G130" s="200" t="s">
        <v>621</v>
      </c>
      <c r="H130" s="150" t="s">
        <v>622</v>
      </c>
      <c r="I130" s="112"/>
      <c r="J130" s="45" t="s">
        <v>339</v>
      </c>
    </row>
    <row r="131">
      <c r="A131" s="360" t="str">
        <f t="shared" si="1"/>
        <v>May</v>
      </c>
      <c r="B131" s="204">
        <v>45797.0</v>
      </c>
      <c r="C131" s="214" t="s">
        <v>11</v>
      </c>
      <c r="D131" s="172" t="s">
        <v>71</v>
      </c>
      <c r="E131" s="51">
        <v>1000.0</v>
      </c>
      <c r="F131" s="42">
        <v>100000.0</v>
      </c>
      <c r="G131" s="200" t="s">
        <v>623</v>
      </c>
      <c r="H131" s="44" t="s">
        <v>624</v>
      </c>
      <c r="I131" s="152"/>
      <c r="J131" s="45" t="s">
        <v>339</v>
      </c>
    </row>
    <row r="132">
      <c r="A132" s="360" t="str">
        <f t="shared" si="1"/>
        <v>May</v>
      </c>
      <c r="B132" s="38">
        <v>45800.0</v>
      </c>
      <c r="C132" s="45" t="s">
        <v>17</v>
      </c>
      <c r="D132" s="40" t="s">
        <v>625</v>
      </c>
      <c r="E132" s="213"/>
      <c r="F132" s="213"/>
      <c r="G132" s="62" t="s">
        <v>626</v>
      </c>
      <c r="H132" s="44" t="s">
        <v>627</v>
      </c>
      <c r="I132" s="167"/>
      <c r="J132" s="45" t="s">
        <v>339</v>
      </c>
    </row>
    <row r="133">
      <c r="A133" s="360" t="str">
        <f t="shared" si="1"/>
        <v>May</v>
      </c>
      <c r="B133" s="204">
        <v>45806.0</v>
      </c>
      <c r="C133" s="81" t="s">
        <v>17</v>
      </c>
      <c r="D133" s="217" t="s">
        <v>570</v>
      </c>
      <c r="E133" s="213"/>
      <c r="F133" s="213"/>
      <c r="G133" s="62" t="s">
        <v>628</v>
      </c>
      <c r="H133" s="44" t="s">
        <v>629</v>
      </c>
      <c r="I133" s="167"/>
      <c r="J133" s="45" t="s">
        <v>339</v>
      </c>
    </row>
    <row r="134">
      <c r="A134" s="360" t="str">
        <f t="shared" si="1"/>
        <v>May</v>
      </c>
      <c r="B134" s="204">
        <v>45806.0</v>
      </c>
      <c r="C134" s="81" t="s">
        <v>57</v>
      </c>
      <c r="D134" s="40" t="s">
        <v>374</v>
      </c>
      <c r="E134" s="41">
        <v>1000.0</v>
      </c>
      <c r="F134" s="42">
        <v>150000.0</v>
      </c>
      <c r="G134" s="62" t="s">
        <v>630</v>
      </c>
      <c r="H134" s="44" t="s">
        <v>631</v>
      </c>
      <c r="I134" s="167"/>
      <c r="J134" s="45" t="s">
        <v>339</v>
      </c>
    </row>
    <row r="135">
      <c r="A135" s="360" t="str">
        <f t="shared" si="1"/>
        <v>May</v>
      </c>
      <c r="B135" s="204">
        <v>45806.0</v>
      </c>
      <c r="C135" s="81" t="s">
        <v>57</v>
      </c>
      <c r="D135" s="217" t="s">
        <v>137</v>
      </c>
      <c r="E135" s="41">
        <v>9300.0</v>
      </c>
      <c r="F135" s="102">
        <v>200000.0</v>
      </c>
      <c r="G135" s="62" t="s">
        <v>632</v>
      </c>
      <c r="H135" s="44" t="s">
        <v>633</v>
      </c>
      <c r="I135" s="167"/>
      <c r="J135" s="45" t="s">
        <v>339</v>
      </c>
    </row>
    <row r="136">
      <c r="A136" s="360" t="str">
        <f t="shared" si="1"/>
        <v>May</v>
      </c>
      <c r="B136" s="204">
        <v>45806.0</v>
      </c>
      <c r="C136" s="214" t="s">
        <v>11</v>
      </c>
      <c r="D136" s="172" t="s">
        <v>71</v>
      </c>
      <c r="E136" s="51">
        <v>1000.0</v>
      </c>
      <c r="F136" s="42">
        <v>100000.0</v>
      </c>
      <c r="G136" s="62" t="s">
        <v>634</v>
      </c>
      <c r="H136" s="44" t="s">
        <v>635</v>
      </c>
      <c r="I136" s="167"/>
      <c r="J136" s="45" t="s">
        <v>339</v>
      </c>
    </row>
    <row r="137">
      <c r="A137" s="360" t="str">
        <f t="shared" si="1"/>
        <v>May</v>
      </c>
      <c r="B137" s="204">
        <v>45806.0</v>
      </c>
      <c r="C137" s="39" t="s">
        <v>57</v>
      </c>
      <c r="D137" s="170" t="s">
        <v>77</v>
      </c>
      <c r="E137" s="41">
        <v>9500.0</v>
      </c>
      <c r="F137" s="42">
        <v>250000.0</v>
      </c>
      <c r="G137" s="62" t="s">
        <v>636</v>
      </c>
      <c r="H137" s="44" t="s">
        <v>637</v>
      </c>
      <c r="I137" s="167"/>
      <c r="J137" s="45" t="s">
        <v>339</v>
      </c>
    </row>
    <row r="138">
      <c r="A138" s="360" t="str">
        <f t="shared" si="1"/>
        <v>May</v>
      </c>
      <c r="B138" s="38">
        <v>45806.0</v>
      </c>
      <c r="C138" s="45" t="s">
        <v>17</v>
      </c>
      <c r="D138" s="40" t="s">
        <v>638</v>
      </c>
      <c r="E138" s="213"/>
      <c r="F138" s="213"/>
      <c r="G138" s="62" t="s">
        <v>639</v>
      </c>
      <c r="H138" s="44" t="s">
        <v>640</v>
      </c>
      <c r="I138" s="167"/>
      <c r="J138" s="45" t="s">
        <v>339</v>
      </c>
    </row>
    <row r="139">
      <c r="A139" s="360" t="str">
        <f t="shared" si="1"/>
        <v>May</v>
      </c>
      <c r="B139" s="38">
        <v>45807.0</v>
      </c>
      <c r="C139" s="45" t="s">
        <v>17</v>
      </c>
      <c r="D139" s="40" t="s">
        <v>134</v>
      </c>
      <c r="E139" s="213"/>
      <c r="F139" s="213"/>
      <c r="G139" s="62" t="s">
        <v>641</v>
      </c>
      <c r="H139" s="44" t="s">
        <v>642</v>
      </c>
      <c r="I139" s="167"/>
      <c r="J139" s="45" t="s">
        <v>339</v>
      </c>
    </row>
    <row r="140">
      <c r="A140" s="360" t="str">
        <f t="shared" si="1"/>
        <v>May</v>
      </c>
      <c r="B140" s="38">
        <v>45807.0</v>
      </c>
      <c r="C140" s="45" t="s">
        <v>17</v>
      </c>
      <c r="D140" s="40" t="s">
        <v>66</v>
      </c>
      <c r="E140" s="213"/>
      <c r="F140" s="213"/>
      <c r="G140" s="62" t="s">
        <v>643</v>
      </c>
      <c r="H140" s="44" t="s">
        <v>644</v>
      </c>
      <c r="I140" s="167"/>
      <c r="J140" s="45" t="s">
        <v>339</v>
      </c>
    </row>
    <row r="141">
      <c r="A141" s="360" t="str">
        <f t="shared" si="1"/>
        <v>May</v>
      </c>
      <c r="B141" s="218">
        <v>45807.0</v>
      </c>
      <c r="C141" s="178" t="s">
        <v>11</v>
      </c>
      <c r="D141" s="219" t="s">
        <v>645</v>
      </c>
      <c r="E141" s="220"/>
      <c r="F141" s="220"/>
      <c r="G141" s="221" t="s">
        <v>646</v>
      </c>
      <c r="H141" s="183" t="s">
        <v>647</v>
      </c>
      <c r="I141" s="222"/>
      <c r="J141" s="178" t="s">
        <v>339</v>
      </c>
    </row>
    <row r="142">
      <c r="A142" s="360" t="str">
        <f t="shared" si="1"/>
        <v>June</v>
      </c>
      <c r="B142" s="80">
        <v>45817.0</v>
      </c>
      <c r="C142" s="39" t="s">
        <v>17</v>
      </c>
      <c r="D142" s="170" t="s">
        <v>648</v>
      </c>
      <c r="E142" s="223"/>
      <c r="F142" s="223"/>
      <c r="G142" s="224" t="s">
        <v>649</v>
      </c>
      <c r="H142" s="196" t="s">
        <v>650</v>
      </c>
      <c r="I142" s="167"/>
      <c r="J142" s="81" t="s">
        <v>339</v>
      </c>
    </row>
    <row r="143">
      <c r="A143" s="360" t="str">
        <f t="shared" si="1"/>
        <v>June</v>
      </c>
      <c r="B143" s="204">
        <v>45819.0</v>
      </c>
      <c r="C143" s="39" t="s">
        <v>57</v>
      </c>
      <c r="D143" s="170" t="s">
        <v>77</v>
      </c>
      <c r="E143" s="41">
        <v>9500.0</v>
      </c>
      <c r="F143" s="42">
        <v>250000.0</v>
      </c>
      <c r="G143" s="62" t="s">
        <v>651</v>
      </c>
      <c r="H143" s="44" t="s">
        <v>652</v>
      </c>
      <c r="I143" s="167"/>
      <c r="J143" s="45" t="s">
        <v>339</v>
      </c>
    </row>
    <row r="144">
      <c r="A144" s="360" t="str">
        <f t="shared" si="1"/>
        <v>June</v>
      </c>
      <c r="B144" s="204">
        <v>45819.0</v>
      </c>
      <c r="C144" s="81" t="s">
        <v>57</v>
      </c>
      <c r="D144" s="40" t="s">
        <v>374</v>
      </c>
      <c r="E144" s="41">
        <v>1000.0</v>
      </c>
      <c r="F144" s="42">
        <v>150000.0</v>
      </c>
      <c r="G144" s="224" t="s">
        <v>653</v>
      </c>
      <c r="H144" s="166" t="s">
        <v>654</v>
      </c>
      <c r="I144" s="225"/>
      <c r="J144" s="45" t="s">
        <v>339</v>
      </c>
    </row>
    <row r="145">
      <c r="A145" s="360" t="str">
        <f t="shared" si="1"/>
        <v>June</v>
      </c>
      <c r="B145" s="80">
        <v>45819.0</v>
      </c>
      <c r="C145" s="39" t="s">
        <v>17</v>
      </c>
      <c r="D145" s="40" t="s">
        <v>655</v>
      </c>
      <c r="E145" s="213"/>
      <c r="F145" s="213"/>
      <c r="G145" s="62" t="s">
        <v>656</v>
      </c>
      <c r="H145" s="44" t="s">
        <v>657</v>
      </c>
      <c r="I145" s="152"/>
      <c r="J145" s="45" t="s">
        <v>339</v>
      </c>
    </row>
    <row r="146">
      <c r="A146" s="360" t="str">
        <f t="shared" si="1"/>
        <v>June</v>
      </c>
      <c r="B146" s="204">
        <v>45820.0</v>
      </c>
      <c r="C146" s="39" t="s">
        <v>57</v>
      </c>
      <c r="D146" s="170" t="s">
        <v>77</v>
      </c>
      <c r="E146" s="41">
        <v>9500.0</v>
      </c>
      <c r="F146" s="42">
        <v>250000.0</v>
      </c>
      <c r="G146" s="62" t="s">
        <v>658</v>
      </c>
      <c r="H146" s="44" t="s">
        <v>659</v>
      </c>
      <c r="I146" s="45"/>
      <c r="J146" s="45" t="s">
        <v>339</v>
      </c>
    </row>
    <row r="147">
      <c r="A147" s="360" t="str">
        <f t="shared" si="1"/>
        <v>June</v>
      </c>
      <c r="B147" s="204">
        <v>45820.0</v>
      </c>
      <c r="C147" s="214" t="s">
        <v>11</v>
      </c>
      <c r="D147" s="172" t="s">
        <v>71</v>
      </c>
      <c r="E147" s="51">
        <v>1000.0</v>
      </c>
      <c r="F147" s="42">
        <v>100000.0</v>
      </c>
      <c r="G147" s="62" t="s">
        <v>660</v>
      </c>
      <c r="H147" s="44" t="s">
        <v>661</v>
      </c>
      <c r="I147" s="45"/>
      <c r="J147" s="45" t="s">
        <v>339</v>
      </c>
    </row>
    <row r="148">
      <c r="A148" s="360" t="str">
        <f t="shared" si="1"/>
        <v>June</v>
      </c>
      <c r="B148" s="204">
        <v>45820.0</v>
      </c>
      <c r="C148" s="45" t="s">
        <v>17</v>
      </c>
      <c r="D148" s="40" t="s">
        <v>662</v>
      </c>
      <c r="E148" s="213"/>
      <c r="F148" s="213"/>
      <c r="G148" s="62" t="s">
        <v>663</v>
      </c>
      <c r="H148" s="44" t="s">
        <v>664</v>
      </c>
      <c r="I148" s="45"/>
      <c r="J148" s="45" t="s">
        <v>339</v>
      </c>
    </row>
    <row r="149">
      <c r="A149" s="360" t="str">
        <f t="shared" si="1"/>
        <v>June</v>
      </c>
      <c r="B149" s="204">
        <v>45821.0</v>
      </c>
      <c r="C149" s="45" t="s">
        <v>17</v>
      </c>
      <c r="D149" s="40" t="s">
        <v>123</v>
      </c>
      <c r="E149" s="213"/>
      <c r="F149" s="213"/>
      <c r="G149" s="62" t="s">
        <v>665</v>
      </c>
      <c r="H149" s="44" t="s">
        <v>666</v>
      </c>
      <c r="I149" s="45"/>
      <c r="J149" s="45" t="s">
        <v>339</v>
      </c>
    </row>
    <row r="150">
      <c r="A150" s="360" t="str">
        <f t="shared" si="1"/>
        <v>June</v>
      </c>
      <c r="B150" s="38">
        <v>45821.0</v>
      </c>
      <c r="C150" s="45" t="s">
        <v>57</v>
      </c>
      <c r="D150" s="40" t="s">
        <v>58</v>
      </c>
      <c r="E150" s="41">
        <v>2200.0</v>
      </c>
      <c r="F150" s="42">
        <v>500000.0</v>
      </c>
      <c r="G150" s="62" t="s">
        <v>667</v>
      </c>
      <c r="H150" s="44" t="s">
        <v>668</v>
      </c>
      <c r="I150" s="45"/>
      <c r="J150" s="45" t="s">
        <v>339</v>
      </c>
    </row>
    <row r="151">
      <c r="A151" s="360" t="str">
        <f t="shared" si="1"/>
        <v>June</v>
      </c>
      <c r="B151" s="38">
        <v>45824.0</v>
      </c>
      <c r="C151" s="45" t="s">
        <v>17</v>
      </c>
      <c r="D151" s="40" t="s">
        <v>432</v>
      </c>
      <c r="E151" s="213"/>
      <c r="F151" s="213"/>
      <c r="G151" s="62" t="s">
        <v>669</v>
      </c>
      <c r="H151" s="44" t="s">
        <v>670</v>
      </c>
      <c r="I151" s="45"/>
      <c r="J151" s="45" t="s">
        <v>339</v>
      </c>
    </row>
    <row r="152">
      <c r="A152" s="360" t="str">
        <f t="shared" si="1"/>
        <v>June</v>
      </c>
      <c r="B152" s="38">
        <v>45824.0</v>
      </c>
      <c r="C152" s="45" t="s">
        <v>17</v>
      </c>
      <c r="D152" s="40" t="s">
        <v>671</v>
      </c>
      <c r="E152" s="213"/>
      <c r="F152" s="213"/>
      <c r="G152" s="62" t="s">
        <v>672</v>
      </c>
      <c r="H152" s="50" t="s">
        <v>673</v>
      </c>
      <c r="I152" s="45"/>
      <c r="J152" s="45" t="s">
        <v>339</v>
      </c>
    </row>
    <row r="153">
      <c r="A153" s="360" t="str">
        <f t="shared" si="1"/>
        <v>June</v>
      </c>
      <c r="B153" s="38">
        <v>45824.0</v>
      </c>
      <c r="C153" s="47" t="s">
        <v>17</v>
      </c>
      <c r="D153" s="226" t="s">
        <v>674</v>
      </c>
      <c r="E153" s="227">
        <v>200.0</v>
      </c>
      <c r="F153" s="228">
        <v>50000.0</v>
      </c>
      <c r="G153" s="229" t="s">
        <v>675</v>
      </c>
      <c r="H153" s="46" t="s">
        <v>676</v>
      </c>
      <c r="I153" s="47"/>
      <c r="J153" s="45" t="s">
        <v>339</v>
      </c>
    </row>
    <row r="154">
      <c r="A154" s="360" t="str">
        <f t="shared" si="1"/>
        <v>June</v>
      </c>
      <c r="B154" s="38">
        <v>45824.0</v>
      </c>
      <c r="C154" s="47" t="s">
        <v>11</v>
      </c>
      <c r="D154" s="226" t="s">
        <v>567</v>
      </c>
      <c r="E154" s="205">
        <v>3000.0</v>
      </c>
      <c r="F154" s="42">
        <v>40000.0</v>
      </c>
      <c r="G154" s="229" t="s">
        <v>677</v>
      </c>
      <c r="H154" s="79" t="s">
        <v>678</v>
      </c>
      <c r="I154" s="47"/>
      <c r="J154" s="45" t="s">
        <v>339</v>
      </c>
    </row>
    <row r="155">
      <c r="A155" s="360" t="str">
        <f t="shared" si="1"/>
        <v>June</v>
      </c>
      <c r="B155" s="38">
        <v>45824.0</v>
      </c>
      <c r="C155" s="47" t="s">
        <v>17</v>
      </c>
      <c r="D155" s="226" t="s">
        <v>679</v>
      </c>
      <c r="E155" s="227"/>
      <c r="F155" s="227"/>
      <c r="G155" s="229" t="s">
        <v>672</v>
      </c>
      <c r="H155" s="79" t="s">
        <v>680</v>
      </c>
      <c r="I155" s="47"/>
      <c r="J155" s="45" t="s">
        <v>339</v>
      </c>
    </row>
    <row r="156">
      <c r="A156" s="360" t="str">
        <f t="shared" si="1"/>
        <v>June</v>
      </c>
      <c r="B156" s="204">
        <v>45819.0</v>
      </c>
      <c r="C156" s="39" t="s">
        <v>57</v>
      </c>
      <c r="D156" s="170" t="s">
        <v>77</v>
      </c>
      <c r="E156" s="41">
        <v>9500.0</v>
      </c>
      <c r="F156" s="42">
        <v>250000.0</v>
      </c>
      <c r="G156" s="377" t="s">
        <v>681</v>
      </c>
      <c r="H156" s="377" t="s">
        <v>682</v>
      </c>
      <c r="I156" s="47"/>
      <c r="J156" s="45" t="s">
        <v>339</v>
      </c>
    </row>
    <row r="157">
      <c r="A157" s="360" t="str">
        <f t="shared" si="1"/>
        <v>June</v>
      </c>
      <c r="B157" s="38">
        <v>45824.0</v>
      </c>
      <c r="C157" s="45" t="s">
        <v>17</v>
      </c>
      <c r="D157" s="40" t="s">
        <v>134</v>
      </c>
      <c r="E157" s="227"/>
      <c r="F157" s="227"/>
      <c r="G157" s="229" t="s">
        <v>683</v>
      </c>
      <c r="H157" s="46" t="s">
        <v>684</v>
      </c>
      <c r="I157" s="47"/>
      <c r="J157" s="45" t="s">
        <v>339</v>
      </c>
    </row>
    <row r="158">
      <c r="A158" s="360" t="str">
        <f t="shared" si="1"/>
        <v>June</v>
      </c>
      <c r="B158" s="204">
        <v>45824.0</v>
      </c>
      <c r="C158" s="81" t="s">
        <v>57</v>
      </c>
      <c r="D158" s="40" t="s">
        <v>374</v>
      </c>
      <c r="E158" s="41">
        <v>1000.0</v>
      </c>
      <c r="F158" s="42">
        <v>150000.0</v>
      </c>
      <c r="G158" s="377" t="s">
        <v>685</v>
      </c>
      <c r="H158" s="377" t="s">
        <v>686</v>
      </c>
      <c r="I158" s="47"/>
      <c r="J158" s="45" t="s">
        <v>339</v>
      </c>
    </row>
    <row r="159">
      <c r="A159" s="360" t="str">
        <f t="shared" si="1"/>
        <v>June</v>
      </c>
      <c r="B159" s="38">
        <v>45824.0</v>
      </c>
      <c r="C159" s="45" t="s">
        <v>57</v>
      </c>
      <c r="D159" s="40" t="s">
        <v>58</v>
      </c>
      <c r="E159" s="41">
        <v>2200.0</v>
      </c>
      <c r="F159" s="42">
        <v>500000.0</v>
      </c>
      <c r="G159" s="378" t="s">
        <v>687</v>
      </c>
      <c r="H159" s="378" t="s">
        <v>688</v>
      </c>
      <c r="I159" s="47"/>
      <c r="J159" s="45" t="s">
        <v>339</v>
      </c>
    </row>
    <row r="160">
      <c r="A160" s="360" t="str">
        <f t="shared" si="1"/>
        <v>June</v>
      </c>
      <c r="B160" s="38">
        <v>45824.0</v>
      </c>
      <c r="C160" s="47" t="s">
        <v>17</v>
      </c>
      <c r="D160" s="226" t="s">
        <v>674</v>
      </c>
      <c r="E160" s="227">
        <v>200.0</v>
      </c>
      <c r="F160" s="228">
        <v>50000.0</v>
      </c>
      <c r="G160" s="229" t="s">
        <v>689</v>
      </c>
      <c r="H160" s="79" t="s">
        <v>690</v>
      </c>
      <c r="I160" s="47"/>
      <c r="J160" s="45" t="s">
        <v>339</v>
      </c>
    </row>
    <row r="161">
      <c r="A161" s="360" t="str">
        <f t="shared" si="1"/>
        <v>June</v>
      </c>
      <c r="B161" s="204">
        <v>45824.0</v>
      </c>
      <c r="C161" s="81" t="s">
        <v>57</v>
      </c>
      <c r="D161" s="217" t="s">
        <v>137</v>
      </c>
      <c r="E161" s="41">
        <v>9300.0</v>
      </c>
      <c r="F161" s="102">
        <v>200000.0</v>
      </c>
      <c r="G161" s="378" t="s">
        <v>691</v>
      </c>
      <c r="H161" s="378" t="s">
        <v>692</v>
      </c>
      <c r="I161" s="47"/>
      <c r="J161" s="45" t="s">
        <v>339</v>
      </c>
    </row>
    <row r="162">
      <c r="A162" s="360" t="str">
        <f t="shared" si="1"/>
        <v>June</v>
      </c>
      <c r="B162" s="38">
        <v>45824.0</v>
      </c>
      <c r="C162" s="45" t="s">
        <v>57</v>
      </c>
      <c r="D162" s="40" t="s">
        <v>58</v>
      </c>
      <c r="E162" s="41">
        <v>2200.0</v>
      </c>
      <c r="F162" s="42">
        <v>500000.0</v>
      </c>
      <c r="G162" s="378" t="s">
        <v>693</v>
      </c>
      <c r="H162" s="378" t="s">
        <v>694</v>
      </c>
      <c r="I162" s="47"/>
      <c r="J162" s="45" t="s">
        <v>339</v>
      </c>
    </row>
    <row r="163">
      <c r="A163" s="360" t="str">
        <f t="shared" si="1"/>
        <v>June</v>
      </c>
      <c r="B163" s="204">
        <v>45826.0</v>
      </c>
      <c r="C163" s="39" t="s">
        <v>11</v>
      </c>
      <c r="D163" s="170" t="s">
        <v>145</v>
      </c>
      <c r="E163" s="206"/>
      <c r="F163" s="206"/>
      <c r="G163" s="229" t="s">
        <v>695</v>
      </c>
      <c r="H163" s="46" t="s">
        <v>696</v>
      </c>
      <c r="I163" s="47"/>
      <c r="J163" s="45" t="s">
        <v>339</v>
      </c>
    </row>
    <row r="164">
      <c r="A164" s="360" t="str">
        <f t="shared" si="1"/>
        <v>June</v>
      </c>
      <c r="B164" s="204">
        <v>45826.0</v>
      </c>
      <c r="C164" s="39" t="s">
        <v>57</v>
      </c>
      <c r="D164" s="170" t="s">
        <v>137</v>
      </c>
      <c r="E164" s="41">
        <v>9300.0</v>
      </c>
      <c r="F164" s="102">
        <v>200000.0</v>
      </c>
      <c r="G164" s="62" t="s">
        <v>695</v>
      </c>
      <c r="H164" s="44" t="s">
        <v>697</v>
      </c>
      <c r="I164" s="45"/>
      <c r="J164" s="45" t="s">
        <v>339</v>
      </c>
    </row>
    <row r="165">
      <c r="A165" s="360" t="str">
        <f t="shared" si="1"/>
        <v>June</v>
      </c>
      <c r="B165" s="204">
        <v>45827.0</v>
      </c>
      <c r="C165" s="39" t="s">
        <v>57</v>
      </c>
      <c r="D165" s="170" t="s">
        <v>77</v>
      </c>
      <c r="E165" s="41">
        <v>9500.0</v>
      </c>
      <c r="F165" s="42">
        <v>250000.0</v>
      </c>
      <c r="G165" s="62" t="s">
        <v>698</v>
      </c>
      <c r="H165" s="44" t="s">
        <v>699</v>
      </c>
      <c r="I165" s="45"/>
      <c r="J165" s="45" t="s">
        <v>339</v>
      </c>
    </row>
    <row r="166">
      <c r="A166" s="360" t="str">
        <f t="shared" si="1"/>
        <v>June</v>
      </c>
      <c r="B166" s="204">
        <v>45833.0</v>
      </c>
      <c r="C166" s="45" t="s">
        <v>17</v>
      </c>
      <c r="D166" s="40" t="s">
        <v>700</v>
      </c>
      <c r="E166" s="213"/>
      <c r="F166" s="213"/>
      <c r="G166" s="62" t="s">
        <v>701</v>
      </c>
      <c r="H166" s="44" t="s">
        <v>702</v>
      </c>
      <c r="I166" s="45"/>
      <c r="J166" s="45" t="s">
        <v>339</v>
      </c>
    </row>
    <row r="167">
      <c r="A167" s="360" t="str">
        <f t="shared" si="1"/>
        <v>June</v>
      </c>
      <c r="B167" s="80">
        <v>45833.0</v>
      </c>
      <c r="C167" s="47" t="s">
        <v>17</v>
      </c>
      <c r="D167" s="226" t="s">
        <v>362</v>
      </c>
      <c r="E167" s="227"/>
      <c r="F167" s="227"/>
      <c r="G167" s="229" t="s">
        <v>701</v>
      </c>
      <c r="H167" s="79" t="s">
        <v>703</v>
      </c>
      <c r="I167" s="47"/>
      <c r="J167" s="45" t="s">
        <v>339</v>
      </c>
    </row>
    <row r="168">
      <c r="A168" s="360" t="str">
        <f t="shared" si="1"/>
        <v>June</v>
      </c>
      <c r="B168" s="204">
        <v>45838.0</v>
      </c>
      <c r="C168" s="39" t="s">
        <v>57</v>
      </c>
      <c r="D168" s="170" t="s">
        <v>77</v>
      </c>
      <c r="E168" s="41">
        <v>9500.0</v>
      </c>
      <c r="F168" s="42">
        <v>250000.0</v>
      </c>
      <c r="G168" s="86" t="s">
        <v>704</v>
      </c>
      <c r="H168" s="379" t="s">
        <v>705</v>
      </c>
      <c r="I168" s="81"/>
      <c r="J168" s="45" t="s">
        <v>339</v>
      </c>
    </row>
    <row r="169">
      <c r="A169" s="360" t="str">
        <f t="shared" si="1"/>
        <v>July</v>
      </c>
      <c r="B169" s="232">
        <v>45841.0</v>
      </c>
      <c r="C169" s="233" t="s">
        <v>17</v>
      </c>
      <c r="D169" s="234" t="s">
        <v>662</v>
      </c>
      <c r="E169" s="235"/>
      <c r="F169" s="235"/>
      <c r="G169" s="236" t="s">
        <v>706</v>
      </c>
      <c r="H169" s="380" t="s">
        <v>707</v>
      </c>
      <c r="I169" s="237"/>
      <c r="J169" s="45" t="s">
        <v>339</v>
      </c>
    </row>
    <row r="170">
      <c r="A170" s="360" t="str">
        <f t="shared" si="1"/>
        <v>July</v>
      </c>
      <c r="B170" s="38">
        <v>45842.0</v>
      </c>
      <c r="C170" s="238" t="s">
        <v>17</v>
      </c>
      <c r="D170" s="40" t="s">
        <v>570</v>
      </c>
      <c r="E170" s="213"/>
      <c r="F170" s="213"/>
      <c r="G170" s="62" t="s">
        <v>708</v>
      </c>
      <c r="H170" s="44" t="s">
        <v>709</v>
      </c>
      <c r="I170" s="45"/>
      <c r="J170" s="45" t="s">
        <v>339</v>
      </c>
    </row>
    <row r="171">
      <c r="A171" s="360" t="str">
        <f t="shared" si="1"/>
        <v>July</v>
      </c>
      <c r="B171" s="38">
        <v>45841.0</v>
      </c>
      <c r="C171" s="239" t="s">
        <v>11</v>
      </c>
      <c r="D171" s="172" t="s">
        <v>71</v>
      </c>
      <c r="E171" s="51">
        <v>1000.0</v>
      </c>
      <c r="F171" s="42">
        <v>100000.0</v>
      </c>
      <c r="G171" s="62" t="s">
        <v>710</v>
      </c>
      <c r="H171" s="174" t="s">
        <v>711</v>
      </c>
      <c r="I171" s="45"/>
      <c r="J171" s="45" t="s">
        <v>339</v>
      </c>
    </row>
    <row r="172">
      <c r="A172" s="360" t="str">
        <f t="shared" si="1"/>
        <v>July</v>
      </c>
      <c r="B172" s="38">
        <v>45841.0</v>
      </c>
      <c r="C172" s="45" t="s">
        <v>57</v>
      </c>
      <c r="D172" s="40" t="s">
        <v>58</v>
      </c>
      <c r="E172" s="41">
        <v>2200.0</v>
      </c>
      <c r="F172" s="42">
        <v>500000.0</v>
      </c>
      <c r="G172" s="62" t="s">
        <v>712</v>
      </c>
      <c r="H172" s="44" t="s">
        <v>713</v>
      </c>
      <c r="I172" s="1"/>
      <c r="J172" s="45" t="s">
        <v>339</v>
      </c>
    </row>
    <row r="173">
      <c r="A173" s="360" t="str">
        <f t="shared" si="1"/>
        <v>July</v>
      </c>
      <c r="B173" s="38">
        <v>45841.0</v>
      </c>
      <c r="C173" s="45" t="s">
        <v>17</v>
      </c>
      <c r="D173" s="40" t="s">
        <v>714</v>
      </c>
      <c r="E173" s="213"/>
      <c r="F173" s="213"/>
      <c r="G173" s="62" t="s">
        <v>715</v>
      </c>
      <c r="H173" s="44" t="s">
        <v>716</v>
      </c>
      <c r="I173" s="1"/>
      <c r="J173" s="45" t="s">
        <v>339</v>
      </c>
    </row>
    <row r="174">
      <c r="A174" s="360" t="str">
        <f t="shared" si="1"/>
        <v>July</v>
      </c>
      <c r="B174" s="38">
        <v>45841.0</v>
      </c>
      <c r="C174" s="81" t="s">
        <v>57</v>
      </c>
      <c r="D174" s="40" t="s">
        <v>374</v>
      </c>
      <c r="E174" s="41">
        <v>1000.0</v>
      </c>
      <c r="F174" s="42">
        <v>150000.0</v>
      </c>
      <c r="G174" s="62" t="s">
        <v>717</v>
      </c>
      <c r="H174" s="173" t="s">
        <v>718</v>
      </c>
      <c r="I174" s="45"/>
      <c r="J174" s="45" t="s">
        <v>339</v>
      </c>
    </row>
    <row r="175">
      <c r="A175" s="360" t="str">
        <f t="shared" si="1"/>
        <v>July</v>
      </c>
      <c r="B175" s="204">
        <v>45842.0</v>
      </c>
      <c r="C175" s="214" t="s">
        <v>11</v>
      </c>
      <c r="D175" s="185" t="s">
        <v>554</v>
      </c>
      <c r="E175" s="215">
        <v>5000.0</v>
      </c>
      <c r="F175" s="42">
        <v>50000.0</v>
      </c>
      <c r="G175" s="62" t="s">
        <v>719</v>
      </c>
      <c r="H175" s="174" t="s">
        <v>720</v>
      </c>
      <c r="I175" s="45"/>
      <c r="J175" s="45" t="s">
        <v>339</v>
      </c>
    </row>
    <row r="176">
      <c r="A176" s="360" t="str">
        <f t="shared" si="1"/>
        <v>July</v>
      </c>
      <c r="B176" s="204">
        <v>45842.0</v>
      </c>
      <c r="C176" s="39" t="s">
        <v>11</v>
      </c>
      <c r="D176" s="170" t="s">
        <v>145</v>
      </c>
      <c r="E176" s="213"/>
      <c r="F176" s="213"/>
      <c r="G176" s="62" t="s">
        <v>717</v>
      </c>
      <c r="H176" s="174" t="s">
        <v>721</v>
      </c>
      <c r="I176" s="45"/>
      <c r="J176" s="45" t="s">
        <v>339</v>
      </c>
    </row>
    <row r="177">
      <c r="A177" s="360" t="str">
        <f t="shared" si="1"/>
        <v>July</v>
      </c>
      <c r="B177" s="38">
        <v>45848.0</v>
      </c>
      <c r="C177" s="39" t="s">
        <v>11</v>
      </c>
      <c r="D177" s="242" t="s">
        <v>336</v>
      </c>
      <c r="E177" s="212">
        <v>1000.0</v>
      </c>
      <c r="F177" s="114">
        <v>30000.0</v>
      </c>
      <c r="G177" s="62" t="s">
        <v>722</v>
      </c>
      <c r="H177" s="174" t="s">
        <v>723</v>
      </c>
      <c r="I177" s="45"/>
      <c r="J177" s="45" t="s">
        <v>339</v>
      </c>
    </row>
    <row r="178">
      <c r="A178" s="360" t="str">
        <f t="shared" si="1"/>
        <v>July</v>
      </c>
      <c r="B178" s="38">
        <v>45852.0</v>
      </c>
      <c r="C178" s="239" t="s">
        <v>11</v>
      </c>
      <c r="D178" s="172" t="s">
        <v>71</v>
      </c>
      <c r="E178" s="51">
        <v>1000.0</v>
      </c>
      <c r="F178" s="42">
        <v>100000.0</v>
      </c>
      <c r="G178" s="62" t="s">
        <v>724</v>
      </c>
      <c r="H178" s="174" t="s">
        <v>725</v>
      </c>
      <c r="I178" s="45"/>
      <c r="J178" s="45" t="s">
        <v>726</v>
      </c>
    </row>
    <row r="179">
      <c r="A179" s="360" t="str">
        <f t="shared" si="1"/>
        <v>July</v>
      </c>
      <c r="B179" s="38">
        <v>45853.0</v>
      </c>
      <c r="C179" s="45" t="s">
        <v>57</v>
      </c>
      <c r="D179" s="40" t="s">
        <v>58</v>
      </c>
      <c r="E179" s="41">
        <v>2200.0</v>
      </c>
      <c r="F179" s="42">
        <v>500000.0</v>
      </c>
      <c r="G179" s="224" t="s">
        <v>727</v>
      </c>
      <c r="H179" s="166" t="s">
        <v>728</v>
      </c>
      <c r="I179" s="112"/>
      <c r="J179" s="45" t="s">
        <v>726</v>
      </c>
    </row>
    <row r="180">
      <c r="A180" s="360" t="str">
        <f t="shared" si="1"/>
        <v>July</v>
      </c>
      <c r="B180" s="38">
        <v>45854.0</v>
      </c>
      <c r="C180" s="39" t="s">
        <v>57</v>
      </c>
      <c r="D180" s="170" t="s">
        <v>77</v>
      </c>
      <c r="E180" s="41">
        <v>9500.0</v>
      </c>
      <c r="F180" s="42">
        <v>250000.0</v>
      </c>
      <c r="G180" s="165" t="s">
        <v>729</v>
      </c>
      <c r="H180" s="166" t="s">
        <v>730</v>
      </c>
      <c r="I180" s="112"/>
      <c r="J180" s="45" t="s">
        <v>339</v>
      </c>
    </row>
    <row r="181">
      <c r="A181" s="360" t="str">
        <f t="shared" si="1"/>
        <v>July</v>
      </c>
      <c r="B181" s="38">
        <v>45856.0</v>
      </c>
      <c r="C181" s="39" t="s">
        <v>57</v>
      </c>
      <c r="D181" s="170" t="s">
        <v>77</v>
      </c>
      <c r="E181" s="41">
        <v>9500.0</v>
      </c>
      <c r="F181" s="42">
        <v>250000.0</v>
      </c>
      <c r="G181" s="165" t="s">
        <v>731</v>
      </c>
      <c r="H181" s="166" t="s">
        <v>732</v>
      </c>
      <c r="I181" s="112"/>
      <c r="J181" s="112"/>
    </row>
    <row r="182">
      <c r="A182" s="360" t="str">
        <f t="shared" si="1"/>
        <v>July</v>
      </c>
      <c r="B182" s="204">
        <v>45857.0</v>
      </c>
      <c r="C182" s="39" t="s">
        <v>57</v>
      </c>
      <c r="D182" s="170" t="s">
        <v>77</v>
      </c>
      <c r="E182" s="41">
        <v>9500.0</v>
      </c>
      <c r="F182" s="42">
        <v>250000.0</v>
      </c>
      <c r="G182" s="165" t="s">
        <v>733</v>
      </c>
      <c r="H182" s="166" t="s">
        <v>734</v>
      </c>
      <c r="I182" s="112"/>
      <c r="J182" s="112"/>
    </row>
    <row r="183">
      <c r="A183" s="360" t="str">
        <f t="shared" si="1"/>
        <v>July</v>
      </c>
      <c r="B183" s="204">
        <v>45857.0</v>
      </c>
      <c r="C183" s="39" t="s">
        <v>17</v>
      </c>
      <c r="D183" s="170" t="s">
        <v>123</v>
      </c>
      <c r="E183" s="164"/>
      <c r="F183" s="164"/>
      <c r="G183" s="165" t="s">
        <v>735</v>
      </c>
      <c r="H183" s="166" t="s">
        <v>736</v>
      </c>
      <c r="I183" s="112"/>
      <c r="J183" s="112"/>
    </row>
    <row r="184">
      <c r="A184" s="360" t="str">
        <f t="shared" si="1"/>
        <v>July</v>
      </c>
      <c r="B184" s="38">
        <v>45858.0</v>
      </c>
      <c r="C184" s="81" t="s">
        <v>57</v>
      </c>
      <c r="D184" s="40" t="s">
        <v>374</v>
      </c>
      <c r="E184" s="41">
        <v>1000.0</v>
      </c>
      <c r="F184" s="42">
        <v>150000.0</v>
      </c>
      <c r="G184" s="165" t="s">
        <v>737</v>
      </c>
      <c r="H184" s="166" t="s">
        <v>738</v>
      </c>
      <c r="I184" s="112"/>
      <c r="J184" s="112"/>
    </row>
    <row r="185">
      <c r="A185" s="360" t="str">
        <f t="shared" si="1"/>
        <v>July</v>
      </c>
      <c r="B185" s="38">
        <v>45853.0</v>
      </c>
      <c r="C185" s="45" t="s">
        <v>57</v>
      </c>
      <c r="D185" s="40" t="s">
        <v>58</v>
      </c>
      <c r="E185" s="41">
        <v>2200.0</v>
      </c>
      <c r="F185" s="42">
        <v>500000.0</v>
      </c>
      <c r="G185" s="165" t="s">
        <v>739</v>
      </c>
      <c r="H185" s="166" t="s">
        <v>740</v>
      </c>
      <c r="I185" s="112"/>
      <c r="J185" s="112"/>
    </row>
    <row r="186">
      <c r="A186" s="360" t="str">
        <f t="shared" si="1"/>
        <v>July</v>
      </c>
      <c r="B186" s="38">
        <v>45859.0</v>
      </c>
      <c r="C186" s="45" t="s">
        <v>57</v>
      </c>
      <c r="D186" s="40" t="s">
        <v>593</v>
      </c>
      <c r="E186" s="41">
        <v>3000.0</v>
      </c>
      <c r="F186" s="42">
        <v>40000.0</v>
      </c>
      <c r="G186" s="165" t="s">
        <v>741</v>
      </c>
      <c r="H186" s="166" t="s">
        <v>742</v>
      </c>
      <c r="I186" s="112"/>
      <c r="J186" s="112"/>
    </row>
    <row r="187">
      <c r="A187" s="360" t="str">
        <f t="shared" si="1"/>
        <v>July</v>
      </c>
      <c r="B187" s="38">
        <v>45859.0</v>
      </c>
      <c r="C187" s="39" t="s">
        <v>743</v>
      </c>
      <c r="D187" s="170" t="s">
        <v>593</v>
      </c>
      <c r="E187" s="41">
        <v>3000.0</v>
      </c>
      <c r="F187" s="42">
        <v>40000.0</v>
      </c>
      <c r="G187" s="43" t="s">
        <v>744</v>
      </c>
      <c r="H187" s="166" t="s">
        <v>745</v>
      </c>
      <c r="I187" s="112"/>
      <c r="J187" s="112"/>
    </row>
    <row r="188">
      <c r="A188" s="360" t="str">
        <f t="shared" si="1"/>
        <v>July</v>
      </c>
      <c r="B188" s="38">
        <v>45859.0</v>
      </c>
      <c r="C188" s="39" t="s">
        <v>17</v>
      </c>
      <c r="D188" s="170" t="s">
        <v>66</v>
      </c>
      <c r="E188" s="164"/>
      <c r="F188" s="164"/>
      <c r="G188" s="165" t="s">
        <v>746</v>
      </c>
      <c r="H188" s="166" t="s">
        <v>747</v>
      </c>
      <c r="I188" s="112"/>
      <c r="J188" s="112"/>
    </row>
    <row r="189">
      <c r="A189" s="360" t="str">
        <f t="shared" si="1"/>
        <v>July</v>
      </c>
      <c r="B189" s="38">
        <v>45860.0</v>
      </c>
      <c r="C189" s="39" t="s">
        <v>17</v>
      </c>
      <c r="D189" s="170" t="s">
        <v>748</v>
      </c>
      <c r="E189" s="164"/>
      <c r="F189" s="164"/>
      <c r="G189" s="165" t="s">
        <v>749</v>
      </c>
      <c r="H189" s="166" t="s">
        <v>750</v>
      </c>
      <c r="I189" s="112"/>
      <c r="J189" s="112"/>
    </row>
    <row r="190">
      <c r="A190" s="360" t="str">
        <f t="shared" si="1"/>
        <v>July</v>
      </c>
      <c r="B190" s="38">
        <v>45861.0</v>
      </c>
      <c r="C190" s="39" t="s">
        <v>11</v>
      </c>
      <c r="D190" s="170" t="s">
        <v>545</v>
      </c>
      <c r="E190" s="159"/>
      <c r="F190" s="171"/>
      <c r="G190" s="165" t="s">
        <v>749</v>
      </c>
      <c r="H190" s="166" t="s">
        <v>751</v>
      </c>
      <c r="I190" s="112"/>
      <c r="J190" s="112"/>
    </row>
    <row r="191">
      <c r="A191" s="360" t="str">
        <f t="shared" si="1"/>
        <v>July</v>
      </c>
      <c r="B191" s="204">
        <v>45857.0</v>
      </c>
      <c r="C191" s="39" t="s">
        <v>17</v>
      </c>
      <c r="D191" s="170" t="s">
        <v>752</v>
      </c>
      <c r="E191" s="41"/>
      <c r="F191" s="42"/>
      <c r="G191" s="165" t="s">
        <v>753</v>
      </c>
      <c r="H191" s="166" t="s">
        <v>754</v>
      </c>
      <c r="I191" s="112"/>
      <c r="J191" s="112"/>
    </row>
    <row r="192">
      <c r="A192" s="360" t="str">
        <f t="shared" si="1"/>
        <v>July</v>
      </c>
      <c r="B192" s="204">
        <v>45865.0</v>
      </c>
      <c r="C192" s="39" t="s">
        <v>57</v>
      </c>
      <c r="D192" s="170" t="s">
        <v>77</v>
      </c>
      <c r="E192" s="41">
        <v>9500.0</v>
      </c>
      <c r="F192" s="42">
        <v>250000.0</v>
      </c>
      <c r="G192" s="165" t="s">
        <v>755</v>
      </c>
      <c r="H192" s="166" t="s">
        <v>756</v>
      </c>
      <c r="I192" s="112"/>
      <c r="J192" s="112"/>
    </row>
    <row r="193">
      <c r="A193" s="360" t="str">
        <f t="shared" si="1"/>
        <v>July</v>
      </c>
      <c r="B193" s="38">
        <v>45865.0</v>
      </c>
      <c r="C193" s="45" t="s">
        <v>57</v>
      </c>
      <c r="D193" s="40" t="s">
        <v>58</v>
      </c>
      <c r="E193" s="41">
        <v>2200.0</v>
      </c>
      <c r="F193" s="42">
        <v>500000.0</v>
      </c>
      <c r="G193" s="62" t="s">
        <v>757</v>
      </c>
      <c r="H193" s="44" t="s">
        <v>758</v>
      </c>
      <c r="I193" s="45"/>
      <c r="J193" s="45"/>
    </row>
    <row r="194">
      <c r="A194" s="360" t="str">
        <f t="shared" si="1"/>
        <v>July</v>
      </c>
      <c r="B194" s="204">
        <v>45864.0</v>
      </c>
      <c r="C194" s="214" t="s">
        <v>11</v>
      </c>
      <c r="D194" s="185" t="s">
        <v>554</v>
      </c>
      <c r="E194" s="215">
        <v>5000.0</v>
      </c>
      <c r="F194" s="42">
        <v>50000.0</v>
      </c>
      <c r="G194" s="62" t="s">
        <v>759</v>
      </c>
      <c r="H194" s="150" t="s">
        <v>760</v>
      </c>
      <c r="I194" s="45"/>
      <c r="J194" s="45"/>
    </row>
    <row r="195">
      <c r="A195" s="360" t="str">
        <f t="shared" si="1"/>
        <v>July</v>
      </c>
      <c r="B195" s="38">
        <v>45864.0</v>
      </c>
      <c r="C195" s="81" t="s">
        <v>57</v>
      </c>
      <c r="D195" s="40" t="s">
        <v>374</v>
      </c>
      <c r="E195" s="41">
        <v>1000.0</v>
      </c>
      <c r="F195" s="42">
        <v>150000.0</v>
      </c>
      <c r="G195" s="62" t="s">
        <v>761</v>
      </c>
      <c r="H195" s="150" t="s">
        <v>762</v>
      </c>
      <c r="I195" s="45"/>
      <c r="J195" s="45"/>
    </row>
    <row r="196">
      <c r="A196" s="360" t="str">
        <f t="shared" si="1"/>
        <v>July</v>
      </c>
      <c r="B196" s="38">
        <v>45864.0</v>
      </c>
      <c r="C196" s="243" t="s">
        <v>17</v>
      </c>
      <c r="D196" s="170" t="s">
        <v>123</v>
      </c>
      <c r="E196" s="213"/>
      <c r="F196" s="213"/>
      <c r="G196" s="244" t="s">
        <v>763</v>
      </c>
      <c r="H196" s="381" t="s">
        <v>764</v>
      </c>
      <c r="I196" s="47"/>
      <c r="J196" s="47"/>
    </row>
    <row r="197">
      <c r="A197" s="360" t="str">
        <f t="shared" si="1"/>
        <v>July</v>
      </c>
      <c r="B197" s="38">
        <v>45865.0</v>
      </c>
      <c r="C197" s="238" t="s">
        <v>17</v>
      </c>
      <c r="D197" s="40" t="s">
        <v>570</v>
      </c>
      <c r="E197" s="213"/>
      <c r="F197" s="213"/>
      <c r="G197" s="245" t="s">
        <v>765</v>
      </c>
      <c r="H197" s="382" t="s">
        <v>766</v>
      </c>
      <c r="I197" s="81"/>
      <c r="J197" s="81"/>
    </row>
    <row r="198">
      <c r="A198" s="360" t="str">
        <f t="shared" si="1"/>
        <v>July</v>
      </c>
      <c r="B198" s="38">
        <v>45866.0</v>
      </c>
      <c r="C198" s="243" t="s">
        <v>11</v>
      </c>
      <c r="D198" s="217" t="s">
        <v>71</v>
      </c>
      <c r="E198" s="51">
        <v>1000.0</v>
      </c>
      <c r="F198" s="42">
        <v>100000.0</v>
      </c>
      <c r="G198" s="245" t="s">
        <v>767</v>
      </c>
      <c r="H198" s="382" t="s">
        <v>768</v>
      </c>
      <c r="I198" s="81"/>
      <c r="J198" s="81" t="s">
        <v>726</v>
      </c>
    </row>
    <row r="199">
      <c r="A199" s="360" t="str">
        <f t="shared" si="1"/>
        <v>July</v>
      </c>
      <c r="B199" s="38">
        <v>45866.0</v>
      </c>
      <c r="C199" s="39" t="s">
        <v>57</v>
      </c>
      <c r="D199" s="170" t="s">
        <v>77</v>
      </c>
      <c r="E199" s="41">
        <v>9500.0</v>
      </c>
      <c r="F199" s="42">
        <v>250000.0</v>
      </c>
      <c r="G199" s="245" t="s">
        <v>769</v>
      </c>
      <c r="H199" s="382" t="s">
        <v>770</v>
      </c>
      <c r="I199" s="81"/>
      <c r="J199" s="81" t="s">
        <v>726</v>
      </c>
    </row>
    <row r="200">
      <c r="A200" s="360" t="str">
        <f t="shared" si="1"/>
        <v>July</v>
      </c>
      <c r="B200" s="38">
        <v>45866.0</v>
      </c>
      <c r="C200" s="22" t="s">
        <v>11</v>
      </c>
      <c r="D200" s="40" t="s">
        <v>432</v>
      </c>
      <c r="E200" s="246">
        <v>5000.0</v>
      </c>
      <c r="F200" s="42">
        <v>50000.0</v>
      </c>
      <c r="G200" s="241" t="s">
        <v>771</v>
      </c>
      <c r="H200" s="382" t="s">
        <v>772</v>
      </c>
      <c r="I200" s="81"/>
      <c r="J200" s="81" t="s">
        <v>726</v>
      </c>
    </row>
    <row r="201">
      <c r="A201" s="360" t="str">
        <f t="shared" si="1"/>
        <v>July</v>
      </c>
      <c r="B201" s="38">
        <v>45866.0</v>
      </c>
      <c r="C201" s="22" t="s">
        <v>17</v>
      </c>
      <c r="D201" s="40" t="s">
        <v>123</v>
      </c>
      <c r="E201" s="213"/>
      <c r="F201" s="213"/>
      <c r="G201" s="241" t="s">
        <v>773</v>
      </c>
      <c r="H201" s="382" t="s">
        <v>774</v>
      </c>
      <c r="I201" s="81"/>
      <c r="J201" s="81"/>
    </row>
    <row r="202">
      <c r="A202" s="360" t="str">
        <f t="shared" si="1"/>
        <v>July</v>
      </c>
      <c r="B202" s="38">
        <v>45866.0</v>
      </c>
      <c r="C202" s="22" t="s">
        <v>11</v>
      </c>
      <c r="D202" s="40" t="s">
        <v>145</v>
      </c>
      <c r="E202" s="213"/>
      <c r="F202" s="213"/>
      <c r="G202" s="241" t="s">
        <v>757</v>
      </c>
      <c r="H202" s="382" t="s">
        <v>775</v>
      </c>
      <c r="I202" s="81"/>
      <c r="J202" s="81"/>
    </row>
    <row r="203">
      <c r="A203" s="360" t="str">
        <f t="shared" si="1"/>
        <v>July</v>
      </c>
      <c r="B203" s="38">
        <v>45867.0</v>
      </c>
      <c r="C203" s="22" t="s">
        <v>11</v>
      </c>
      <c r="D203" s="40" t="s">
        <v>776</v>
      </c>
      <c r="E203" s="213"/>
      <c r="F203" s="213"/>
      <c r="G203" s="241" t="s">
        <v>777</v>
      </c>
      <c r="H203" s="382" t="s">
        <v>778</v>
      </c>
      <c r="I203" s="81"/>
      <c r="J203" s="81"/>
    </row>
    <row r="204">
      <c r="A204" s="360" t="str">
        <f t="shared" si="1"/>
        <v>July</v>
      </c>
      <c r="B204" s="38">
        <v>45867.0</v>
      </c>
      <c r="C204" s="45" t="s">
        <v>57</v>
      </c>
      <c r="D204" s="40" t="s">
        <v>77</v>
      </c>
      <c r="E204" s="41">
        <v>9500.0</v>
      </c>
      <c r="F204" s="42">
        <v>250000.0</v>
      </c>
      <c r="G204" s="241" t="s">
        <v>779</v>
      </c>
      <c r="H204" s="382" t="s">
        <v>780</v>
      </c>
      <c r="I204" s="81"/>
      <c r="J204" s="81"/>
    </row>
    <row r="205">
      <c r="A205" s="360" t="str">
        <f t="shared" si="1"/>
        <v>July</v>
      </c>
      <c r="B205" s="38">
        <v>45867.0</v>
      </c>
      <c r="C205" s="22" t="s">
        <v>11</v>
      </c>
      <c r="D205" s="40" t="s">
        <v>432</v>
      </c>
      <c r="E205" s="246">
        <v>5000.0</v>
      </c>
      <c r="F205" s="42">
        <v>50000.0</v>
      </c>
      <c r="G205" s="241" t="s">
        <v>781</v>
      </c>
      <c r="H205" s="382" t="s">
        <v>782</v>
      </c>
      <c r="I205" s="81"/>
      <c r="J205" s="81"/>
    </row>
    <row r="206">
      <c r="A206" s="360" t="str">
        <f t="shared" si="1"/>
        <v>July</v>
      </c>
      <c r="B206" s="38">
        <v>45867.0</v>
      </c>
      <c r="C206" s="45" t="s">
        <v>57</v>
      </c>
      <c r="D206" s="40" t="s">
        <v>58</v>
      </c>
      <c r="E206" s="41">
        <v>2200.0</v>
      </c>
      <c r="F206" s="42">
        <v>500000.0</v>
      </c>
      <c r="G206" s="245" t="s">
        <v>783</v>
      </c>
      <c r="H206" s="382" t="s">
        <v>784</v>
      </c>
      <c r="I206" s="81"/>
      <c r="J206" s="81"/>
    </row>
    <row r="207">
      <c r="A207" s="360" t="str">
        <f t="shared" si="1"/>
        <v>July</v>
      </c>
      <c r="B207" s="63">
        <v>45867.0</v>
      </c>
      <c r="C207" s="47" t="s">
        <v>57</v>
      </c>
      <c r="D207" s="226" t="s">
        <v>593</v>
      </c>
      <c r="E207" s="65">
        <v>3000.0</v>
      </c>
      <c r="F207" s="66">
        <v>40000.0</v>
      </c>
      <c r="G207" s="245" t="s">
        <v>785</v>
      </c>
      <c r="H207" s="382" t="s">
        <v>786</v>
      </c>
      <c r="I207" s="81"/>
      <c r="J207" s="81"/>
    </row>
    <row r="208">
      <c r="A208" s="360" t="str">
        <f t="shared" si="1"/>
        <v>August</v>
      </c>
      <c r="B208" s="232">
        <v>45873.0</v>
      </c>
      <c r="C208" s="247" t="s">
        <v>11</v>
      </c>
      <c r="D208" s="248" t="s">
        <v>432</v>
      </c>
      <c r="E208" s="249">
        <v>5000.0</v>
      </c>
      <c r="F208" s="250">
        <v>50000.0</v>
      </c>
      <c r="G208" s="236" t="s">
        <v>787</v>
      </c>
      <c r="H208" s="383" t="s">
        <v>788</v>
      </c>
      <c r="I208" s="237"/>
      <c r="J208" s="237"/>
    </row>
    <row r="209">
      <c r="A209" s="360" t="str">
        <f t="shared" si="1"/>
        <v>August</v>
      </c>
      <c r="B209" s="38">
        <v>45877.0</v>
      </c>
      <c r="C209" s="252" t="s">
        <v>11</v>
      </c>
      <c r="D209" s="40" t="s">
        <v>789</v>
      </c>
      <c r="E209" s="249">
        <v>6000.0</v>
      </c>
      <c r="F209" s="42">
        <v>100000.0</v>
      </c>
      <c r="G209" s="62" t="s">
        <v>790</v>
      </c>
      <c r="H209" s="44" t="s">
        <v>791</v>
      </c>
      <c r="I209" s="45"/>
      <c r="J209" s="45"/>
    </row>
    <row r="210">
      <c r="A210" s="360" t="str">
        <f t="shared" si="1"/>
        <v>August</v>
      </c>
      <c r="B210" s="38">
        <v>45877.0</v>
      </c>
      <c r="C210" s="45" t="s">
        <v>57</v>
      </c>
      <c r="D210" s="40" t="s">
        <v>58</v>
      </c>
      <c r="E210" s="41">
        <v>2200.0</v>
      </c>
      <c r="F210" s="42">
        <v>500000.0</v>
      </c>
      <c r="G210" s="62" t="s">
        <v>792</v>
      </c>
      <c r="H210" s="44" t="s">
        <v>793</v>
      </c>
      <c r="I210" s="45"/>
      <c r="J210" s="45"/>
    </row>
    <row r="211">
      <c r="A211" s="360" t="str">
        <f t="shared" si="1"/>
        <v>August</v>
      </c>
      <c r="B211" s="38">
        <v>45880.0</v>
      </c>
      <c r="C211" s="39" t="s">
        <v>57</v>
      </c>
      <c r="D211" s="170" t="s">
        <v>77</v>
      </c>
      <c r="E211" s="41">
        <v>9500.0</v>
      </c>
      <c r="F211" s="42">
        <v>250000.0</v>
      </c>
      <c r="G211" s="125" t="s">
        <v>794</v>
      </c>
      <c r="H211" s="50" t="s">
        <v>795</v>
      </c>
      <c r="I211" s="45"/>
      <c r="J211" s="45"/>
    </row>
    <row r="212">
      <c r="A212" s="360" t="str">
        <f t="shared" si="1"/>
        <v>August</v>
      </c>
      <c r="B212" s="38">
        <v>45880.0</v>
      </c>
      <c r="C212" s="81" t="s">
        <v>57</v>
      </c>
      <c r="D212" s="40" t="s">
        <v>374</v>
      </c>
      <c r="E212" s="41">
        <v>1000.0</v>
      </c>
      <c r="F212" s="42">
        <v>150000.0</v>
      </c>
      <c r="G212" s="43" t="s">
        <v>796</v>
      </c>
      <c r="H212" s="44" t="s">
        <v>797</v>
      </c>
      <c r="I212" s="152"/>
      <c r="J212" s="152"/>
    </row>
    <row r="213">
      <c r="A213" s="360" t="str">
        <f t="shared" si="1"/>
        <v>August</v>
      </c>
      <c r="B213" s="38">
        <v>45880.0</v>
      </c>
      <c r="C213" s="238" t="s">
        <v>17</v>
      </c>
      <c r="D213" s="40" t="s">
        <v>570</v>
      </c>
      <c r="E213" s="41"/>
      <c r="F213" s="213"/>
      <c r="G213" s="384" t="s">
        <v>798</v>
      </c>
      <c r="H213" s="49" t="s">
        <v>799</v>
      </c>
      <c r="I213" s="152"/>
      <c r="J213" s="45"/>
    </row>
    <row r="214">
      <c r="A214" s="360" t="str">
        <f t="shared" si="1"/>
        <v>August</v>
      </c>
      <c r="B214" s="38">
        <v>45880.0</v>
      </c>
      <c r="C214" s="22" t="s">
        <v>11</v>
      </c>
      <c r="D214" s="40" t="s">
        <v>145</v>
      </c>
      <c r="E214" s="41"/>
      <c r="F214" s="213"/>
      <c r="G214" s="43" t="s">
        <v>796</v>
      </c>
      <c r="H214" s="44" t="s">
        <v>800</v>
      </c>
      <c r="I214" s="152"/>
      <c r="J214" s="45"/>
    </row>
    <row r="215">
      <c r="A215" s="360" t="str">
        <f t="shared" si="1"/>
        <v>August</v>
      </c>
      <c r="B215" s="38">
        <v>45881.0</v>
      </c>
      <c r="C215" s="39" t="s">
        <v>57</v>
      </c>
      <c r="D215" s="170" t="s">
        <v>77</v>
      </c>
      <c r="E215" s="41">
        <v>9500.0</v>
      </c>
      <c r="F215" s="42">
        <v>250000.0</v>
      </c>
      <c r="G215" s="377" t="s">
        <v>801</v>
      </c>
      <c r="H215" s="44" t="s">
        <v>802</v>
      </c>
      <c r="I215" s="152"/>
      <c r="J215" s="152"/>
    </row>
    <row r="216">
      <c r="A216" s="360" t="str">
        <f t="shared" si="1"/>
        <v>August</v>
      </c>
      <c r="B216" s="38">
        <v>45882.0</v>
      </c>
      <c r="C216" s="45" t="s">
        <v>17</v>
      </c>
      <c r="D216" s="40" t="s">
        <v>674</v>
      </c>
      <c r="E216" s="227">
        <v>200.0</v>
      </c>
      <c r="F216" s="228">
        <v>50000.0</v>
      </c>
      <c r="G216" s="385" t="s">
        <v>803</v>
      </c>
      <c r="H216" s="44" t="s">
        <v>804</v>
      </c>
      <c r="I216" s="152"/>
      <c r="J216" s="152"/>
    </row>
    <row r="217">
      <c r="A217" s="360" t="str">
        <f t="shared" si="1"/>
        <v>August</v>
      </c>
      <c r="B217" s="38">
        <v>45882.0</v>
      </c>
      <c r="C217" s="45" t="s">
        <v>11</v>
      </c>
      <c r="D217" s="40" t="s">
        <v>645</v>
      </c>
      <c r="E217" s="212"/>
      <c r="F217" s="213"/>
      <c r="G217" s="62" t="s">
        <v>805</v>
      </c>
      <c r="H217" s="44" t="s">
        <v>806</v>
      </c>
      <c r="I217" s="152"/>
      <c r="J217" s="152"/>
    </row>
    <row r="218">
      <c r="A218" s="360" t="str">
        <f t="shared" si="1"/>
        <v>August</v>
      </c>
      <c r="B218" s="38">
        <v>45882.0</v>
      </c>
      <c r="C218" s="45" t="s">
        <v>17</v>
      </c>
      <c r="D218" s="40" t="s">
        <v>134</v>
      </c>
      <c r="E218" s="212"/>
      <c r="F218" s="213"/>
      <c r="G218" s="140" t="s">
        <v>807</v>
      </c>
      <c r="H218" s="44" t="s">
        <v>808</v>
      </c>
      <c r="I218" s="152"/>
      <c r="J218" s="152"/>
    </row>
    <row r="219">
      <c r="A219" s="360" t="str">
        <f t="shared" si="1"/>
        <v>August</v>
      </c>
      <c r="B219" s="38">
        <v>45882.0</v>
      </c>
      <c r="C219" s="45" t="s">
        <v>57</v>
      </c>
      <c r="D219" s="40" t="s">
        <v>58</v>
      </c>
      <c r="E219" s="41">
        <v>2200.0</v>
      </c>
      <c r="F219" s="42">
        <v>500000.0</v>
      </c>
      <c r="G219" s="255" t="s">
        <v>809</v>
      </c>
      <c r="H219" s="386" t="s">
        <v>810</v>
      </c>
      <c r="I219" s="152"/>
      <c r="J219" s="152"/>
    </row>
    <row r="220">
      <c r="A220" s="360" t="str">
        <f t="shared" si="1"/>
        <v>August</v>
      </c>
      <c r="B220" s="38">
        <v>45882.0</v>
      </c>
      <c r="C220" s="22" t="s">
        <v>11</v>
      </c>
      <c r="D220" s="40" t="s">
        <v>145</v>
      </c>
      <c r="E220" s="212"/>
      <c r="F220" s="213"/>
      <c r="G220" s="378" t="s">
        <v>811</v>
      </c>
      <c r="H220" s="378" t="s">
        <v>812</v>
      </c>
      <c r="I220" s="152"/>
      <c r="J220" s="152"/>
    </row>
    <row r="221">
      <c r="A221" s="360" t="str">
        <f t="shared" si="1"/>
        <v>August</v>
      </c>
      <c r="B221" s="38">
        <v>45882.0</v>
      </c>
      <c r="C221" s="81" t="s">
        <v>57</v>
      </c>
      <c r="D221" s="40" t="s">
        <v>374</v>
      </c>
      <c r="E221" s="41">
        <v>1000.0</v>
      </c>
      <c r="F221" s="42">
        <v>150000.0</v>
      </c>
      <c r="G221" s="62" t="s">
        <v>813</v>
      </c>
      <c r="H221" s="44" t="s">
        <v>814</v>
      </c>
      <c r="I221" s="152"/>
      <c r="J221" s="152"/>
    </row>
    <row r="222">
      <c r="A222" s="360" t="str">
        <f t="shared" si="1"/>
        <v>August</v>
      </c>
      <c r="B222" s="38">
        <v>45882.0</v>
      </c>
      <c r="C222" s="45" t="s">
        <v>17</v>
      </c>
      <c r="D222" s="226" t="s">
        <v>362</v>
      </c>
      <c r="E222" s="212"/>
      <c r="F222" s="213"/>
      <c r="G222" s="62" t="s">
        <v>815</v>
      </c>
      <c r="H222" s="140" t="s">
        <v>816</v>
      </c>
      <c r="I222" s="152"/>
      <c r="J222" s="152"/>
    </row>
    <row r="223">
      <c r="A223" s="360" t="str">
        <f t="shared" si="1"/>
        <v>August</v>
      </c>
      <c r="B223" s="38">
        <v>45883.0</v>
      </c>
      <c r="C223" s="81" t="s">
        <v>57</v>
      </c>
      <c r="D223" s="40" t="s">
        <v>374</v>
      </c>
      <c r="E223" s="41">
        <v>1000.0</v>
      </c>
      <c r="F223" s="42">
        <v>150000.0</v>
      </c>
      <c r="G223" s="62" t="s">
        <v>817</v>
      </c>
      <c r="H223" s="44" t="s">
        <v>818</v>
      </c>
      <c r="I223" s="152"/>
      <c r="J223" s="152"/>
    </row>
    <row r="224">
      <c r="A224" s="360" t="str">
        <f t="shared" si="1"/>
        <v>August</v>
      </c>
      <c r="B224" s="38">
        <v>45882.0</v>
      </c>
      <c r="C224" s="45" t="s">
        <v>11</v>
      </c>
      <c r="D224" s="40" t="s">
        <v>336</v>
      </c>
      <c r="E224" s="212">
        <v>1000.0</v>
      </c>
      <c r="F224" s="114">
        <v>30000.0</v>
      </c>
      <c r="G224" s="62" t="s">
        <v>819</v>
      </c>
      <c r="H224" s="50" t="s">
        <v>820</v>
      </c>
      <c r="I224" s="152"/>
      <c r="J224" s="152"/>
    </row>
    <row r="225">
      <c r="A225" s="360" t="str">
        <f t="shared" si="1"/>
        <v>August</v>
      </c>
      <c r="B225" s="38">
        <v>45883.0</v>
      </c>
      <c r="C225" s="39" t="s">
        <v>17</v>
      </c>
      <c r="D225" s="170" t="s">
        <v>66</v>
      </c>
      <c r="E225" s="212"/>
      <c r="F225" s="42"/>
      <c r="G225" s="384" t="s">
        <v>821</v>
      </c>
      <c r="H225" s="49" t="s">
        <v>822</v>
      </c>
      <c r="I225" s="53"/>
      <c r="J225" s="152"/>
    </row>
    <row r="226">
      <c r="A226" s="360" t="str">
        <f t="shared" si="1"/>
        <v>August</v>
      </c>
      <c r="B226" s="38">
        <v>45885.0</v>
      </c>
      <c r="C226" s="81" t="s">
        <v>17</v>
      </c>
      <c r="D226" s="226" t="s">
        <v>364</v>
      </c>
      <c r="E226" s="256"/>
      <c r="F226" s="66"/>
      <c r="G226" s="229" t="s">
        <v>823</v>
      </c>
      <c r="H226" s="49" t="s">
        <v>824</v>
      </c>
      <c r="I226" s="53"/>
      <c r="J226" s="187"/>
    </row>
    <row r="227">
      <c r="A227" s="360" t="str">
        <f t="shared" si="1"/>
        <v>August</v>
      </c>
      <c r="B227" s="38">
        <v>45885.0</v>
      </c>
      <c r="C227" s="45" t="s">
        <v>57</v>
      </c>
      <c r="D227" s="40" t="s">
        <v>58</v>
      </c>
      <c r="E227" s="41">
        <v>2200.0</v>
      </c>
      <c r="F227" s="42">
        <v>500000.0</v>
      </c>
      <c r="G227" s="140" t="s">
        <v>825</v>
      </c>
      <c r="H227" s="49" t="s">
        <v>826</v>
      </c>
      <c r="I227" s="53"/>
      <c r="J227" s="187"/>
    </row>
    <row r="228">
      <c r="A228" s="360" t="str">
        <f t="shared" si="1"/>
        <v>August</v>
      </c>
      <c r="B228" s="38">
        <v>45885.0</v>
      </c>
      <c r="C228" s="45" t="s">
        <v>57</v>
      </c>
      <c r="D228" s="40" t="s">
        <v>58</v>
      </c>
      <c r="E228" s="41">
        <v>2200.0</v>
      </c>
      <c r="F228" s="42">
        <v>500000.0</v>
      </c>
      <c r="G228" s="387" t="s">
        <v>827</v>
      </c>
      <c r="H228" s="49" t="s">
        <v>828</v>
      </c>
      <c r="I228" s="53"/>
      <c r="J228" s="187"/>
    </row>
    <row r="229">
      <c r="A229" s="360" t="str">
        <f t="shared" si="1"/>
        <v>August</v>
      </c>
      <c r="B229" s="38">
        <v>45887.0</v>
      </c>
      <c r="C229" s="252" t="s">
        <v>11</v>
      </c>
      <c r="D229" s="40" t="s">
        <v>789</v>
      </c>
      <c r="E229" s="249">
        <v>6000.0</v>
      </c>
      <c r="F229" s="42">
        <v>100000.0</v>
      </c>
      <c r="G229" s="49" t="s">
        <v>829</v>
      </c>
      <c r="H229" s="140" t="s">
        <v>830</v>
      </c>
      <c r="I229" s="45"/>
      <c r="J229" s="45"/>
    </row>
    <row r="230">
      <c r="A230" s="360" t="str">
        <f t="shared" si="1"/>
        <v>August</v>
      </c>
      <c r="B230" s="38">
        <v>45888.0</v>
      </c>
      <c r="C230" s="81" t="s">
        <v>57</v>
      </c>
      <c r="D230" s="40" t="s">
        <v>374</v>
      </c>
      <c r="E230" s="41">
        <v>1000.0</v>
      </c>
      <c r="F230" s="42">
        <v>150000.0</v>
      </c>
      <c r="G230" s="387" t="s">
        <v>831</v>
      </c>
      <c r="H230" s="388" t="s">
        <v>832</v>
      </c>
      <c r="I230" s="45"/>
      <c r="J230" s="45"/>
    </row>
    <row r="231">
      <c r="A231" s="360" t="str">
        <f t="shared" si="1"/>
        <v>August</v>
      </c>
      <c r="B231" s="259">
        <v>45888.0</v>
      </c>
      <c r="C231" s="76" t="s">
        <v>57</v>
      </c>
      <c r="D231" s="43" t="s">
        <v>58</v>
      </c>
      <c r="E231" s="41">
        <v>2200.0</v>
      </c>
      <c r="F231" s="42">
        <v>500000.0</v>
      </c>
      <c r="G231" s="387" t="s">
        <v>833</v>
      </c>
      <c r="H231" s="387" t="s">
        <v>834</v>
      </c>
      <c r="I231" s="76"/>
      <c r="J231" s="76"/>
    </row>
    <row r="232">
      <c r="A232" s="360" t="str">
        <f t="shared" si="1"/>
        <v>August</v>
      </c>
      <c r="B232" s="259">
        <v>45888.0</v>
      </c>
      <c r="C232" s="76" t="s">
        <v>17</v>
      </c>
      <c r="D232" s="43" t="s">
        <v>101</v>
      </c>
      <c r="E232" s="212"/>
      <c r="F232" s="42"/>
      <c r="G232" s="387" t="s">
        <v>835</v>
      </c>
      <c r="H232" s="387" t="s">
        <v>836</v>
      </c>
      <c r="I232" s="76"/>
      <c r="J232" s="76"/>
    </row>
    <row r="233">
      <c r="A233" s="360" t="str">
        <f t="shared" si="1"/>
        <v>August</v>
      </c>
      <c r="B233" s="259">
        <v>45889.0</v>
      </c>
      <c r="C233" s="105" t="s">
        <v>11</v>
      </c>
      <c r="D233" s="43" t="s">
        <v>432</v>
      </c>
      <c r="E233" s="246">
        <v>5000.0</v>
      </c>
      <c r="F233" s="42">
        <v>50000.0</v>
      </c>
      <c r="G233" s="389" t="s">
        <v>837</v>
      </c>
      <c r="H233" s="389" t="s">
        <v>838</v>
      </c>
      <c r="I233" s="76"/>
      <c r="J233" s="76"/>
    </row>
    <row r="234">
      <c r="A234" s="360" t="str">
        <f t="shared" si="1"/>
        <v>August</v>
      </c>
      <c r="B234" s="259">
        <v>45889.0</v>
      </c>
      <c r="C234" s="76" t="s">
        <v>17</v>
      </c>
      <c r="D234" s="43" t="s">
        <v>134</v>
      </c>
      <c r="E234" s="212"/>
      <c r="F234" s="213"/>
      <c r="G234" s="389" t="s">
        <v>839</v>
      </c>
      <c r="H234" s="389" t="s">
        <v>840</v>
      </c>
      <c r="I234" s="76"/>
      <c r="J234" s="76"/>
    </row>
    <row r="235">
      <c r="A235" s="360" t="str">
        <f t="shared" si="1"/>
        <v>August</v>
      </c>
      <c r="B235" s="259">
        <v>45889.0</v>
      </c>
      <c r="C235" s="76" t="s">
        <v>57</v>
      </c>
      <c r="D235" s="43" t="s">
        <v>58</v>
      </c>
      <c r="E235" s="41">
        <v>2200.0</v>
      </c>
      <c r="F235" s="42">
        <v>500000.0</v>
      </c>
      <c r="G235" s="389" t="s">
        <v>841</v>
      </c>
      <c r="H235" s="389" t="s">
        <v>842</v>
      </c>
      <c r="I235" s="76"/>
      <c r="J235" s="76"/>
    </row>
    <row r="236">
      <c r="A236" s="360" t="str">
        <f t="shared" si="1"/>
        <v>August</v>
      </c>
      <c r="B236" s="259">
        <v>45889.0</v>
      </c>
      <c r="C236" s="45" t="s">
        <v>11</v>
      </c>
      <c r="D236" s="40" t="s">
        <v>551</v>
      </c>
      <c r="E236" s="212"/>
      <c r="F236" s="42"/>
      <c r="G236" s="62" t="s">
        <v>843</v>
      </c>
      <c r="H236" s="49" t="s">
        <v>844</v>
      </c>
      <c r="I236" s="45"/>
      <c r="J236" s="45"/>
    </row>
    <row r="237">
      <c r="A237" s="360" t="str">
        <f t="shared" si="1"/>
        <v>August</v>
      </c>
      <c r="B237" s="38">
        <v>45891.0</v>
      </c>
      <c r="C237" s="45" t="s">
        <v>11</v>
      </c>
      <c r="D237" s="40" t="s">
        <v>336</v>
      </c>
      <c r="E237" s="212">
        <v>1000.0</v>
      </c>
      <c r="F237" s="114">
        <v>30000.0</v>
      </c>
      <c r="G237" s="387" t="s">
        <v>845</v>
      </c>
      <c r="H237" s="387" t="s">
        <v>846</v>
      </c>
      <c r="I237" s="76"/>
      <c r="J237" s="76"/>
    </row>
    <row r="238">
      <c r="A238" s="360" t="str">
        <f t="shared" si="1"/>
        <v>August</v>
      </c>
      <c r="B238" s="38">
        <v>45891.0</v>
      </c>
      <c r="C238" s="45" t="s">
        <v>57</v>
      </c>
      <c r="D238" s="172" t="s">
        <v>554</v>
      </c>
      <c r="E238" s="246">
        <v>5000.0</v>
      </c>
      <c r="F238" s="42">
        <v>50000.0</v>
      </c>
      <c r="G238" s="387" t="s">
        <v>847</v>
      </c>
      <c r="H238" s="387" t="s">
        <v>848</v>
      </c>
      <c r="I238" s="45"/>
      <c r="J238" s="45"/>
    </row>
    <row r="239">
      <c r="A239" s="360" t="str">
        <f t="shared" si="1"/>
        <v>August</v>
      </c>
      <c r="B239" s="259">
        <v>45894.0</v>
      </c>
      <c r="C239" s="45" t="s">
        <v>17</v>
      </c>
      <c r="D239" s="40" t="s">
        <v>849</v>
      </c>
      <c r="E239" s="212"/>
      <c r="F239" s="42"/>
      <c r="G239" s="50" t="s">
        <v>850</v>
      </c>
      <c r="H239" s="49" t="s">
        <v>851</v>
      </c>
      <c r="I239" s="45"/>
      <c r="J239" s="45"/>
    </row>
    <row r="240">
      <c r="A240" s="360" t="str">
        <f t="shared" si="1"/>
        <v>August</v>
      </c>
      <c r="B240" s="259">
        <v>45894.0</v>
      </c>
      <c r="C240" s="45" t="s">
        <v>11</v>
      </c>
      <c r="D240" s="172" t="s">
        <v>71</v>
      </c>
      <c r="E240" s="51">
        <v>1000.0</v>
      </c>
      <c r="F240" s="42">
        <v>100000.0</v>
      </c>
      <c r="G240" s="50" t="s">
        <v>852</v>
      </c>
      <c r="H240" s="49" t="s">
        <v>853</v>
      </c>
      <c r="I240" s="45"/>
      <c r="J240" s="45"/>
    </row>
    <row r="241">
      <c r="A241" s="360" t="str">
        <f t="shared" si="1"/>
        <v>August</v>
      </c>
      <c r="B241" s="259">
        <v>45894.0</v>
      </c>
      <c r="C241" s="45" t="s">
        <v>11</v>
      </c>
      <c r="D241" s="40" t="s">
        <v>662</v>
      </c>
      <c r="E241" s="212"/>
      <c r="F241" s="42"/>
      <c r="G241" s="62" t="s">
        <v>854</v>
      </c>
      <c r="H241" s="49" t="s">
        <v>855</v>
      </c>
      <c r="I241" s="45"/>
      <c r="J241" s="45"/>
    </row>
    <row r="242">
      <c r="A242" s="360" t="str">
        <f t="shared" si="1"/>
        <v>August</v>
      </c>
      <c r="B242" s="38">
        <v>45894.0</v>
      </c>
      <c r="C242" s="45" t="s">
        <v>57</v>
      </c>
      <c r="D242" s="40" t="s">
        <v>77</v>
      </c>
      <c r="E242" s="41">
        <v>9500.0</v>
      </c>
      <c r="F242" s="42">
        <v>250000.0</v>
      </c>
      <c r="G242" s="389" t="s">
        <v>856</v>
      </c>
      <c r="H242" s="389" t="s">
        <v>857</v>
      </c>
      <c r="I242" s="45"/>
      <c r="J242" s="45"/>
    </row>
    <row r="243">
      <c r="A243" s="360" t="str">
        <f t="shared" si="1"/>
        <v>August</v>
      </c>
      <c r="B243" s="259">
        <v>45894.0</v>
      </c>
      <c r="C243" s="105" t="s">
        <v>11</v>
      </c>
      <c r="D243" s="43" t="s">
        <v>432</v>
      </c>
      <c r="E243" s="246">
        <v>5000.0</v>
      </c>
      <c r="F243" s="42">
        <v>50000.0</v>
      </c>
      <c r="G243" s="389" t="s">
        <v>858</v>
      </c>
      <c r="H243" s="389" t="s">
        <v>859</v>
      </c>
      <c r="I243" s="45"/>
      <c r="J243" s="45"/>
    </row>
    <row r="244">
      <c r="A244" s="360" t="str">
        <f t="shared" si="1"/>
        <v>August</v>
      </c>
      <c r="B244" s="38">
        <v>45894.0</v>
      </c>
      <c r="C244" s="45" t="s">
        <v>57</v>
      </c>
      <c r="D244" s="40" t="s">
        <v>374</v>
      </c>
      <c r="E244" s="41">
        <v>1000.0</v>
      </c>
      <c r="F244" s="42">
        <v>150000.0</v>
      </c>
      <c r="G244" s="390" t="s">
        <v>860</v>
      </c>
      <c r="H244" s="389" t="s">
        <v>861</v>
      </c>
      <c r="I244" s="45"/>
      <c r="J244" s="45"/>
    </row>
    <row r="245">
      <c r="A245" s="360" t="str">
        <f t="shared" si="1"/>
        <v>August</v>
      </c>
      <c r="B245" s="38">
        <v>45894.0</v>
      </c>
      <c r="C245" s="45" t="s">
        <v>17</v>
      </c>
      <c r="D245" s="40" t="s">
        <v>570</v>
      </c>
      <c r="E245" s="212"/>
      <c r="F245" s="42"/>
      <c r="G245" s="101" t="s">
        <v>862</v>
      </c>
      <c r="H245" s="387" t="s">
        <v>863</v>
      </c>
      <c r="I245" s="45"/>
      <c r="J245" s="45"/>
    </row>
    <row r="246">
      <c r="A246" s="360" t="str">
        <f t="shared" si="1"/>
        <v>August</v>
      </c>
      <c r="B246" s="38">
        <v>45895.0</v>
      </c>
      <c r="C246" s="45" t="s">
        <v>17</v>
      </c>
      <c r="D246" s="40" t="s">
        <v>674</v>
      </c>
      <c r="E246" s="227">
        <v>200.0</v>
      </c>
      <c r="F246" s="228">
        <v>50000.0</v>
      </c>
      <c r="G246" s="62" t="s">
        <v>864</v>
      </c>
      <c r="H246" s="44" t="s">
        <v>865</v>
      </c>
      <c r="I246" s="45"/>
      <c r="J246" s="45"/>
    </row>
    <row r="247">
      <c r="A247" s="360" t="str">
        <f t="shared" si="1"/>
        <v>August</v>
      </c>
      <c r="B247" s="38">
        <v>45895.0</v>
      </c>
      <c r="C247" s="45" t="s">
        <v>11</v>
      </c>
      <c r="D247" s="40" t="s">
        <v>789</v>
      </c>
      <c r="E247" s="246">
        <v>6000.0</v>
      </c>
      <c r="F247" s="42">
        <v>100000.0</v>
      </c>
      <c r="G247" s="262" t="s">
        <v>866</v>
      </c>
      <c r="H247" s="387" t="s">
        <v>867</v>
      </c>
      <c r="I247" s="45"/>
      <c r="J247" s="45"/>
    </row>
    <row r="248">
      <c r="A248" s="360" t="str">
        <f t="shared" si="1"/>
        <v>August</v>
      </c>
      <c r="B248" s="38">
        <v>45894.0</v>
      </c>
      <c r="C248" s="45" t="s">
        <v>57</v>
      </c>
      <c r="D248" s="40" t="s">
        <v>77</v>
      </c>
      <c r="E248" s="41">
        <v>9500.0</v>
      </c>
      <c r="F248" s="42">
        <v>250000.0</v>
      </c>
      <c r="G248" s="14" t="s">
        <v>868</v>
      </c>
      <c r="H248" s="104" t="s">
        <v>869</v>
      </c>
      <c r="I248" s="45"/>
      <c r="J248" s="45"/>
    </row>
    <row r="249">
      <c r="A249" s="360" t="str">
        <f t="shared" si="1"/>
        <v>August</v>
      </c>
      <c r="B249" s="38">
        <v>45898.0</v>
      </c>
      <c r="C249" s="45" t="s">
        <v>57</v>
      </c>
      <c r="D249" s="40" t="s">
        <v>593</v>
      </c>
      <c r="E249" s="41">
        <v>3000.0</v>
      </c>
      <c r="F249" s="42">
        <v>40000.0</v>
      </c>
      <c r="G249" s="101" t="s">
        <v>870</v>
      </c>
      <c r="H249" s="101" t="s">
        <v>871</v>
      </c>
      <c r="I249" s="45"/>
      <c r="J249" s="45"/>
    </row>
    <row r="250">
      <c r="A250" s="360" t="str">
        <f t="shared" si="1"/>
        <v>August</v>
      </c>
      <c r="B250" s="63">
        <v>45898.0</v>
      </c>
      <c r="C250" s="47" t="s">
        <v>57</v>
      </c>
      <c r="D250" s="226" t="s">
        <v>77</v>
      </c>
      <c r="E250" s="65">
        <v>9500.0</v>
      </c>
      <c r="F250" s="66">
        <v>250000.0</v>
      </c>
      <c r="G250" s="263" t="s">
        <v>868</v>
      </c>
      <c r="H250" s="46" t="s">
        <v>872</v>
      </c>
      <c r="I250" s="47"/>
      <c r="J250" s="47"/>
    </row>
    <row r="251">
      <c r="A251" s="360" t="str">
        <f t="shared" si="1"/>
        <v>September</v>
      </c>
      <c r="B251" s="232">
        <v>45901.0</v>
      </c>
      <c r="C251" s="237" t="s">
        <v>17</v>
      </c>
      <c r="D251" s="391" t="s">
        <v>873</v>
      </c>
      <c r="E251" s="265"/>
      <c r="F251" s="265"/>
      <c r="G251" s="266" t="s">
        <v>874</v>
      </c>
      <c r="H251" s="392" t="s">
        <v>875</v>
      </c>
      <c r="I251" s="237"/>
      <c r="J251" s="237"/>
    </row>
    <row r="252">
      <c r="A252" s="360" t="str">
        <f t="shared" si="1"/>
        <v>September</v>
      </c>
      <c r="B252" s="38">
        <v>45901.0</v>
      </c>
      <c r="C252" s="45" t="s">
        <v>11</v>
      </c>
      <c r="D252" s="40" t="s">
        <v>662</v>
      </c>
      <c r="E252" s="212"/>
      <c r="F252" s="114"/>
      <c r="G252" s="390" t="s">
        <v>876</v>
      </c>
      <c r="H252" s="44" t="s">
        <v>877</v>
      </c>
      <c r="I252" s="45"/>
      <c r="J252" s="45"/>
    </row>
    <row r="253">
      <c r="A253" s="360" t="str">
        <f t="shared" si="1"/>
        <v>September</v>
      </c>
      <c r="B253" s="259">
        <v>45901.0</v>
      </c>
      <c r="C253" s="105" t="s">
        <v>11</v>
      </c>
      <c r="D253" s="43" t="s">
        <v>432</v>
      </c>
      <c r="E253" s="246">
        <v>5000.0</v>
      </c>
      <c r="F253" s="42">
        <v>50000.0</v>
      </c>
      <c r="G253" s="390" t="s">
        <v>878</v>
      </c>
      <c r="H253" s="390" t="s">
        <v>879</v>
      </c>
      <c r="I253" s="45"/>
      <c r="J253" s="45"/>
    </row>
    <row r="254">
      <c r="A254" s="360" t="str">
        <f t="shared" si="1"/>
        <v>September</v>
      </c>
      <c r="B254" s="259">
        <v>45902.0</v>
      </c>
      <c r="C254" s="45" t="s">
        <v>11</v>
      </c>
      <c r="D254" s="40" t="s">
        <v>554</v>
      </c>
      <c r="E254" s="246">
        <v>5000.0</v>
      </c>
      <c r="F254" s="42">
        <v>50000.0</v>
      </c>
      <c r="G254" s="390" t="s">
        <v>880</v>
      </c>
      <c r="H254" s="390" t="s">
        <v>881</v>
      </c>
      <c r="I254" s="45"/>
      <c r="J254" s="45"/>
    </row>
    <row r="255">
      <c r="A255" s="360" t="str">
        <f t="shared" si="1"/>
        <v>September</v>
      </c>
      <c r="B255" s="259">
        <v>45904.0</v>
      </c>
      <c r="C255" s="105" t="s">
        <v>11</v>
      </c>
      <c r="D255" s="43" t="s">
        <v>432</v>
      </c>
      <c r="E255" s="246">
        <v>5000.0</v>
      </c>
      <c r="F255" s="42">
        <v>50000.0</v>
      </c>
      <c r="G255" s="390" t="s">
        <v>882</v>
      </c>
      <c r="H255" s="390" t="s">
        <v>883</v>
      </c>
      <c r="I255" s="45"/>
      <c r="J255" s="45"/>
    </row>
    <row r="256">
      <c r="A256" s="360" t="str">
        <f t="shared" si="1"/>
        <v>September</v>
      </c>
      <c r="B256" s="259">
        <v>45908.0</v>
      </c>
      <c r="C256" s="45" t="s">
        <v>128</v>
      </c>
      <c r="D256" s="40" t="s">
        <v>884</v>
      </c>
      <c r="E256" s="159">
        <v>20000.0</v>
      </c>
      <c r="F256" s="267">
        <v>1000000.0</v>
      </c>
      <c r="G256" s="390" t="s">
        <v>885</v>
      </c>
      <c r="H256" s="390" t="s">
        <v>886</v>
      </c>
      <c r="I256" s="45"/>
      <c r="J256" s="45"/>
    </row>
    <row r="257">
      <c r="A257" s="360" t="str">
        <f t="shared" si="1"/>
        <v>September</v>
      </c>
      <c r="B257" s="259">
        <v>45908.0</v>
      </c>
      <c r="C257" s="45" t="s">
        <v>11</v>
      </c>
      <c r="D257" s="40" t="s">
        <v>409</v>
      </c>
      <c r="E257" s="212"/>
      <c r="F257" s="114"/>
      <c r="G257" s="59" t="s">
        <v>887</v>
      </c>
      <c r="H257" s="44" t="s">
        <v>888</v>
      </c>
      <c r="I257" s="45"/>
      <c r="J257" s="45"/>
    </row>
    <row r="258">
      <c r="A258" s="360" t="str">
        <f t="shared" si="1"/>
        <v>September</v>
      </c>
      <c r="B258" s="259">
        <v>45911.0</v>
      </c>
      <c r="C258" s="45" t="s">
        <v>57</v>
      </c>
      <c r="D258" s="226" t="s">
        <v>77</v>
      </c>
      <c r="E258" s="65">
        <v>9500.0</v>
      </c>
      <c r="F258" s="66">
        <v>250000.0</v>
      </c>
      <c r="G258" s="62" t="s">
        <v>889</v>
      </c>
      <c r="H258" s="44" t="s">
        <v>890</v>
      </c>
      <c r="I258" s="152"/>
      <c r="J258" s="152"/>
    </row>
    <row r="259">
      <c r="A259" s="360" t="str">
        <f t="shared" si="1"/>
        <v>September</v>
      </c>
      <c r="B259" s="259">
        <v>45911.0</v>
      </c>
      <c r="C259" s="45" t="s">
        <v>17</v>
      </c>
      <c r="D259" s="40" t="s">
        <v>891</v>
      </c>
      <c r="E259" s="212"/>
      <c r="F259" s="114"/>
      <c r="G259" s="50" t="s">
        <v>892</v>
      </c>
      <c r="H259" s="44" t="s">
        <v>892</v>
      </c>
      <c r="I259" s="152"/>
      <c r="J259" s="152"/>
    </row>
    <row r="260">
      <c r="A260" s="360" t="str">
        <f t="shared" si="1"/>
        <v>September</v>
      </c>
      <c r="B260" s="259">
        <v>45911.0</v>
      </c>
      <c r="C260" s="45" t="s">
        <v>17</v>
      </c>
      <c r="D260" s="40" t="s">
        <v>893</v>
      </c>
      <c r="E260" s="212">
        <v>500.0</v>
      </c>
      <c r="F260" s="114">
        <v>100000.0</v>
      </c>
      <c r="G260" s="59" t="s">
        <v>894</v>
      </c>
      <c r="H260" s="59" t="s">
        <v>895</v>
      </c>
      <c r="I260" s="152"/>
      <c r="J260" s="152"/>
    </row>
    <row r="261">
      <c r="A261" s="360" t="str">
        <f t="shared" si="1"/>
        <v>September</v>
      </c>
      <c r="B261" s="259">
        <v>45911.0</v>
      </c>
      <c r="C261" s="76" t="s">
        <v>57</v>
      </c>
      <c r="D261" s="43" t="s">
        <v>58</v>
      </c>
      <c r="E261" s="41">
        <v>2200.0</v>
      </c>
      <c r="F261" s="42">
        <v>500000.0</v>
      </c>
      <c r="G261" s="62" t="s">
        <v>896</v>
      </c>
      <c r="H261" s="50" t="s">
        <v>897</v>
      </c>
      <c r="I261" s="152"/>
      <c r="J261" s="152"/>
    </row>
    <row r="262">
      <c r="A262" s="360" t="str">
        <f t="shared" si="1"/>
        <v>September</v>
      </c>
      <c r="B262" s="259">
        <v>45911.0</v>
      </c>
      <c r="C262" s="45" t="s">
        <v>11</v>
      </c>
      <c r="D262" s="40" t="s">
        <v>71</v>
      </c>
      <c r="E262" s="51">
        <v>1000.0</v>
      </c>
      <c r="F262" s="42">
        <v>100000.0</v>
      </c>
      <c r="G262" s="62" t="s">
        <v>898</v>
      </c>
      <c r="H262" s="50" t="s">
        <v>899</v>
      </c>
      <c r="I262" s="152"/>
      <c r="J262" s="152"/>
    </row>
    <row r="263">
      <c r="A263" s="360" t="str">
        <f t="shared" si="1"/>
        <v>September</v>
      </c>
      <c r="B263" s="259">
        <v>45911.0</v>
      </c>
      <c r="C263" s="45" t="s">
        <v>17</v>
      </c>
      <c r="D263" s="40" t="s">
        <v>900</v>
      </c>
      <c r="E263" s="212"/>
      <c r="F263" s="114"/>
      <c r="G263" s="62" t="s">
        <v>901</v>
      </c>
      <c r="H263" s="50" t="s">
        <v>902</v>
      </c>
      <c r="I263" s="152"/>
      <c r="J263" s="152"/>
    </row>
    <row r="264">
      <c r="A264" s="360" t="str">
        <f t="shared" si="1"/>
        <v>September</v>
      </c>
      <c r="B264" s="259">
        <v>45925.0</v>
      </c>
      <c r="C264" s="45" t="s">
        <v>11</v>
      </c>
      <c r="D264" s="43" t="s">
        <v>432</v>
      </c>
      <c r="E264" s="246">
        <v>5000.0</v>
      </c>
      <c r="F264" s="42">
        <v>50000.0</v>
      </c>
      <c r="G264" s="229" t="s">
        <v>903</v>
      </c>
      <c r="H264" s="79" t="s">
        <v>904</v>
      </c>
      <c r="I264" s="187"/>
      <c r="J264" s="152"/>
    </row>
    <row r="265">
      <c r="A265" s="360" t="str">
        <f t="shared" si="1"/>
        <v>September</v>
      </c>
      <c r="B265" s="259">
        <v>45925.0</v>
      </c>
      <c r="C265" s="45" t="s">
        <v>57</v>
      </c>
      <c r="D265" s="43" t="s">
        <v>58</v>
      </c>
      <c r="E265" s="41">
        <v>2200.0</v>
      </c>
      <c r="F265" s="42">
        <v>500000.0</v>
      </c>
      <c r="G265" s="62" t="s">
        <v>905</v>
      </c>
      <c r="H265" s="50" t="s">
        <v>906</v>
      </c>
      <c r="I265" s="152"/>
      <c r="J265" s="152"/>
    </row>
    <row r="266">
      <c r="A266" s="360" t="str">
        <f t="shared" si="1"/>
        <v>September</v>
      </c>
      <c r="B266" s="269">
        <v>45929.0</v>
      </c>
      <c r="C266" s="47" t="s">
        <v>57</v>
      </c>
      <c r="D266" s="48" t="s">
        <v>58</v>
      </c>
      <c r="E266" s="65">
        <v>2200.0</v>
      </c>
      <c r="F266" s="66">
        <v>500000.0</v>
      </c>
      <c r="G266" s="229" t="s">
        <v>907</v>
      </c>
      <c r="H266" s="79" t="s">
        <v>908</v>
      </c>
      <c r="I266" s="187"/>
      <c r="J266" s="187"/>
    </row>
    <row r="267">
      <c r="A267" s="360" t="str">
        <f t="shared" si="1"/>
        <v>October</v>
      </c>
      <c r="B267" s="270">
        <v>45934.0</v>
      </c>
      <c r="C267" s="237" t="s">
        <v>57</v>
      </c>
      <c r="D267" s="271" t="s">
        <v>554</v>
      </c>
      <c r="E267" s="249">
        <v>5000.0</v>
      </c>
      <c r="F267" s="250">
        <v>50000.0</v>
      </c>
      <c r="G267" s="236" t="s">
        <v>909</v>
      </c>
      <c r="H267" s="380" t="s">
        <v>910</v>
      </c>
      <c r="I267" s="225"/>
      <c r="J267" s="225"/>
    </row>
    <row r="268">
      <c r="A268" s="360" t="str">
        <f t="shared" si="1"/>
        <v>October</v>
      </c>
      <c r="B268" s="259">
        <v>45938.0</v>
      </c>
      <c r="C268" s="45" t="s">
        <v>57</v>
      </c>
      <c r="D268" s="43" t="s">
        <v>58</v>
      </c>
      <c r="E268" s="41">
        <v>2200.0</v>
      </c>
      <c r="F268" s="42">
        <v>500000.0</v>
      </c>
      <c r="G268" s="224" t="s">
        <v>911</v>
      </c>
      <c r="H268" s="140" t="s">
        <v>912</v>
      </c>
      <c r="I268" s="53"/>
      <c r="J268" s="112"/>
    </row>
    <row r="269">
      <c r="A269" s="360" t="str">
        <f t="shared" si="1"/>
        <v>October</v>
      </c>
      <c r="B269" s="259">
        <v>45952.0</v>
      </c>
      <c r="C269" s="45" t="s">
        <v>11</v>
      </c>
      <c r="D269" s="40" t="s">
        <v>71</v>
      </c>
      <c r="E269" s="51">
        <v>1000.0</v>
      </c>
      <c r="F269" s="42">
        <v>100000.0</v>
      </c>
      <c r="G269" s="224" t="s">
        <v>913</v>
      </c>
      <c r="H269" s="140" t="s">
        <v>914</v>
      </c>
      <c r="I269" s="53"/>
      <c r="J269" s="112"/>
    </row>
    <row r="270">
      <c r="A270" s="360" t="str">
        <f t="shared" si="1"/>
        <v>October</v>
      </c>
      <c r="B270" s="38">
        <v>45938.0</v>
      </c>
      <c r="C270" s="45" t="s">
        <v>57</v>
      </c>
      <c r="D270" s="40" t="s">
        <v>593</v>
      </c>
      <c r="E270" s="41">
        <v>3000.0</v>
      </c>
      <c r="F270" s="42">
        <v>40000.0</v>
      </c>
      <c r="G270" s="224" t="s">
        <v>915</v>
      </c>
      <c r="H270" s="140" t="s">
        <v>916</v>
      </c>
      <c r="I270" s="53"/>
      <c r="J270" s="112"/>
    </row>
    <row r="271">
      <c r="A271" s="360" t="str">
        <f t="shared" si="1"/>
        <v>October</v>
      </c>
      <c r="B271" s="38">
        <v>45940.0</v>
      </c>
      <c r="C271" s="272" t="s">
        <v>57</v>
      </c>
      <c r="D271" s="40" t="s">
        <v>374</v>
      </c>
      <c r="E271" s="41">
        <v>1000.0</v>
      </c>
      <c r="F271" s="42">
        <v>150000.0</v>
      </c>
      <c r="G271" s="62" t="s">
        <v>917</v>
      </c>
      <c r="H271" s="140" t="s">
        <v>918</v>
      </c>
      <c r="I271" s="53"/>
      <c r="J271" s="152"/>
    </row>
    <row r="272">
      <c r="A272" s="360" t="str">
        <f t="shared" si="1"/>
        <v>October</v>
      </c>
      <c r="B272" s="38">
        <v>45938.0</v>
      </c>
      <c r="C272" s="45" t="s">
        <v>57</v>
      </c>
      <c r="D272" s="226" t="s">
        <v>77</v>
      </c>
      <c r="E272" s="65">
        <v>9500.0</v>
      </c>
      <c r="F272" s="66">
        <v>250000.0</v>
      </c>
      <c r="G272" s="62" t="s">
        <v>919</v>
      </c>
      <c r="H272" s="140" t="s">
        <v>920</v>
      </c>
      <c r="I272" s="53"/>
      <c r="J272" s="152"/>
    </row>
    <row r="273">
      <c r="A273" s="360" t="str">
        <f t="shared" si="1"/>
        <v>October</v>
      </c>
      <c r="B273" s="38">
        <v>45945.0</v>
      </c>
      <c r="C273" s="238" t="s">
        <v>17</v>
      </c>
      <c r="D273" s="40" t="s">
        <v>921</v>
      </c>
      <c r="E273" s="212"/>
      <c r="F273" s="114"/>
      <c r="G273" s="62" t="s">
        <v>922</v>
      </c>
      <c r="H273" s="186" t="s">
        <v>923</v>
      </c>
      <c r="I273" s="53"/>
      <c r="J273" s="152"/>
    </row>
    <row r="274">
      <c r="A274" s="360" t="str">
        <f t="shared" si="1"/>
        <v>October</v>
      </c>
      <c r="B274" s="38">
        <v>45946.0</v>
      </c>
      <c r="C274" s="45" t="s">
        <v>17</v>
      </c>
      <c r="D274" s="40" t="s">
        <v>924</v>
      </c>
      <c r="E274" s="212"/>
      <c r="F274" s="114"/>
      <c r="G274" s="62" t="s">
        <v>925</v>
      </c>
      <c r="H274" s="44" t="s">
        <v>926</v>
      </c>
      <c r="I274" s="152"/>
      <c r="J274" s="152"/>
    </row>
    <row r="275">
      <c r="A275" s="360" t="str">
        <f t="shared" si="1"/>
        <v>October</v>
      </c>
      <c r="B275" s="259">
        <v>45952.0</v>
      </c>
      <c r="C275" s="45" t="s">
        <v>57</v>
      </c>
      <c r="D275" s="226" t="s">
        <v>77</v>
      </c>
      <c r="E275" s="65">
        <v>9500.0</v>
      </c>
      <c r="F275" s="66">
        <v>250000.0</v>
      </c>
      <c r="G275" s="62" t="s">
        <v>927</v>
      </c>
      <c r="H275" s="44" t="s">
        <v>928</v>
      </c>
      <c r="I275" s="152"/>
      <c r="J275" s="152"/>
    </row>
    <row r="276">
      <c r="A276" s="360" t="str">
        <f t="shared" si="1"/>
        <v>October</v>
      </c>
      <c r="B276" s="259">
        <v>45952.0</v>
      </c>
      <c r="C276" s="45" t="s">
        <v>11</v>
      </c>
      <c r="D276" s="40" t="s">
        <v>71</v>
      </c>
      <c r="E276" s="51">
        <v>1000.0</v>
      </c>
      <c r="F276" s="42">
        <v>100000.0</v>
      </c>
      <c r="G276" s="62" t="s">
        <v>929</v>
      </c>
      <c r="H276" s="150" t="s">
        <v>930</v>
      </c>
      <c r="I276" s="152"/>
      <c r="J276" s="152"/>
    </row>
    <row r="277">
      <c r="A277" s="360" t="str">
        <f t="shared" si="1"/>
        <v>October</v>
      </c>
      <c r="B277" s="259">
        <v>45952.0</v>
      </c>
      <c r="C277" s="45" t="s">
        <v>57</v>
      </c>
      <c r="D277" s="43" t="s">
        <v>58</v>
      </c>
      <c r="E277" s="41">
        <v>2200.0</v>
      </c>
      <c r="F277" s="42">
        <v>500000.0</v>
      </c>
      <c r="G277" s="62" t="s">
        <v>931</v>
      </c>
      <c r="H277" s="50" t="s">
        <v>932</v>
      </c>
      <c r="I277" s="152"/>
      <c r="J277" s="152"/>
    </row>
    <row r="278">
      <c r="A278" s="360" t="str">
        <f t="shared" si="1"/>
        <v>October</v>
      </c>
      <c r="B278" s="259">
        <v>45952.0</v>
      </c>
      <c r="C278" s="45" t="s">
        <v>11</v>
      </c>
      <c r="D278" s="43" t="s">
        <v>432</v>
      </c>
      <c r="E278" s="246">
        <v>5000.0</v>
      </c>
      <c r="F278" s="42">
        <v>50000.0</v>
      </c>
      <c r="G278" s="14" t="s">
        <v>933</v>
      </c>
      <c r="H278" s="140" t="s">
        <v>934</v>
      </c>
      <c r="I278" s="53"/>
      <c r="J278" s="152"/>
    </row>
    <row r="279">
      <c r="A279" s="360" t="str">
        <f t="shared" si="1"/>
        <v>October</v>
      </c>
      <c r="B279" s="259">
        <v>45952.0</v>
      </c>
      <c r="C279" s="45" t="s">
        <v>17</v>
      </c>
      <c r="D279" s="393" t="s">
        <v>935</v>
      </c>
      <c r="E279" s="51"/>
      <c r="F279" s="110"/>
      <c r="G279" s="14" t="s">
        <v>936</v>
      </c>
      <c r="H279" s="394" t="s">
        <v>937</v>
      </c>
      <c r="I279" s="53"/>
      <c r="J279" s="152"/>
    </row>
    <row r="280" ht="15.75" customHeight="1">
      <c r="A280" s="360" t="str">
        <f t="shared" si="1"/>
        <v>October</v>
      </c>
      <c r="B280" s="259">
        <v>45956.0</v>
      </c>
      <c r="C280" s="45" t="s">
        <v>17</v>
      </c>
      <c r="D280" s="40" t="s">
        <v>938</v>
      </c>
      <c r="E280" s="212"/>
      <c r="F280" s="114"/>
      <c r="G280" s="62" t="s">
        <v>939</v>
      </c>
      <c r="H280" s="44" t="s">
        <v>940</v>
      </c>
      <c r="I280" s="152"/>
      <c r="J280" s="152"/>
    </row>
    <row r="281">
      <c r="A281" s="360" t="str">
        <f t="shared" si="1"/>
        <v>October</v>
      </c>
      <c r="B281" s="38">
        <v>45956.0</v>
      </c>
      <c r="C281" s="272" t="s">
        <v>57</v>
      </c>
      <c r="D281" s="40" t="s">
        <v>374</v>
      </c>
      <c r="E281" s="41">
        <v>1000.0</v>
      </c>
      <c r="F281" s="42">
        <v>150000.0</v>
      </c>
      <c r="G281" s="229" t="s">
        <v>941</v>
      </c>
      <c r="H281" s="46" t="s">
        <v>942</v>
      </c>
      <c r="I281" s="187"/>
      <c r="J281" s="187"/>
    </row>
    <row r="282">
      <c r="A282" s="360" t="str">
        <f t="shared" si="1"/>
        <v>October</v>
      </c>
      <c r="B282" s="259">
        <v>45952.0</v>
      </c>
      <c r="C282" s="272" t="s">
        <v>17</v>
      </c>
      <c r="D282" s="226" t="s">
        <v>943</v>
      </c>
      <c r="E282" s="256"/>
      <c r="F282" s="228"/>
      <c r="G282" s="229" t="s">
        <v>936</v>
      </c>
      <c r="H282" s="46" t="s">
        <v>944</v>
      </c>
      <c r="I282" s="187"/>
      <c r="J282" s="187"/>
    </row>
    <row r="283">
      <c r="A283" s="360" t="str">
        <f t="shared" si="1"/>
        <v>October</v>
      </c>
      <c r="B283" s="259">
        <v>45960.0</v>
      </c>
      <c r="C283" s="45" t="s">
        <v>11</v>
      </c>
      <c r="D283" s="40" t="s">
        <v>71</v>
      </c>
      <c r="E283" s="51">
        <v>1000.0</v>
      </c>
      <c r="F283" s="42">
        <v>100000.0</v>
      </c>
      <c r="G283" s="229" t="s">
        <v>945</v>
      </c>
      <c r="H283" s="46" t="s">
        <v>946</v>
      </c>
      <c r="I283" s="187"/>
      <c r="J283" s="187"/>
    </row>
    <row r="284">
      <c r="A284" s="360" t="str">
        <f t="shared" si="1"/>
        <v>October</v>
      </c>
      <c r="B284" s="259">
        <v>45960.0</v>
      </c>
      <c r="C284" s="45" t="s">
        <v>57</v>
      </c>
      <c r="D284" s="226" t="s">
        <v>77</v>
      </c>
      <c r="E284" s="65">
        <v>9500.0</v>
      </c>
      <c r="F284" s="66">
        <v>250000.0</v>
      </c>
      <c r="G284" s="67" t="s">
        <v>947</v>
      </c>
      <c r="H284" s="67" t="s">
        <v>948</v>
      </c>
      <c r="I284" s="187"/>
      <c r="J284" s="187"/>
    </row>
    <row r="285">
      <c r="A285" s="360" t="str">
        <f t="shared" si="1"/>
        <v>October</v>
      </c>
      <c r="B285" s="259">
        <v>45952.0</v>
      </c>
      <c r="C285" s="47" t="s">
        <v>11</v>
      </c>
      <c r="D285" s="226" t="s">
        <v>949</v>
      </c>
      <c r="E285" s="256"/>
      <c r="F285" s="228"/>
      <c r="G285" s="229" t="s">
        <v>936</v>
      </c>
      <c r="H285" s="46" t="s">
        <v>950</v>
      </c>
      <c r="I285" s="187"/>
      <c r="J285" s="187"/>
    </row>
    <row r="286">
      <c r="A286" s="360" t="str">
        <f t="shared" si="1"/>
        <v>October</v>
      </c>
      <c r="B286" s="259">
        <v>45960.0</v>
      </c>
      <c r="C286" s="47" t="s">
        <v>11</v>
      </c>
      <c r="D286" s="226" t="s">
        <v>951</v>
      </c>
      <c r="E286" s="256">
        <v>5000.0</v>
      </c>
      <c r="F286" s="228">
        <v>50000.0</v>
      </c>
      <c r="G286" s="229" t="s">
        <v>952</v>
      </c>
      <c r="H286" s="46" t="s">
        <v>953</v>
      </c>
      <c r="I286" s="187"/>
      <c r="J286" s="187"/>
    </row>
    <row r="287">
      <c r="A287" s="360" t="str">
        <f t="shared" si="1"/>
        <v>October</v>
      </c>
      <c r="B287" s="259">
        <v>45952.0</v>
      </c>
      <c r="C287" s="47" t="s">
        <v>17</v>
      </c>
      <c r="D287" s="226" t="s">
        <v>954</v>
      </c>
      <c r="E287" s="256"/>
      <c r="F287" s="228"/>
      <c r="G287" s="229" t="s">
        <v>936</v>
      </c>
      <c r="H287" s="46" t="s">
        <v>955</v>
      </c>
      <c r="I287" s="187"/>
      <c r="J287" s="187"/>
    </row>
    <row r="288">
      <c r="A288" s="360" t="str">
        <f t="shared" si="1"/>
        <v>October</v>
      </c>
      <c r="B288" s="259">
        <v>45961.0</v>
      </c>
      <c r="C288" s="47" t="s">
        <v>17</v>
      </c>
      <c r="D288" s="226" t="s">
        <v>570</v>
      </c>
      <c r="E288" s="276"/>
      <c r="F288" s="277"/>
      <c r="G288" s="278" t="s">
        <v>956</v>
      </c>
      <c r="H288" s="46" t="s">
        <v>957</v>
      </c>
      <c r="I288" s="187"/>
      <c r="J288" s="187"/>
    </row>
    <row r="289">
      <c r="A289" s="360" t="str">
        <f t="shared" si="1"/>
        <v>October</v>
      </c>
      <c r="B289" s="259">
        <v>45958.0</v>
      </c>
      <c r="C289" s="47" t="s">
        <v>17</v>
      </c>
      <c r="D289" s="156" t="s">
        <v>958</v>
      </c>
      <c r="E289" s="276"/>
      <c r="F289" s="277"/>
      <c r="G289" s="278" t="s">
        <v>959</v>
      </c>
      <c r="H289" s="46" t="s">
        <v>960</v>
      </c>
      <c r="I289" s="187"/>
      <c r="J289" s="187"/>
    </row>
    <row r="290">
      <c r="A290" s="360" t="str">
        <f t="shared" si="1"/>
        <v>October</v>
      </c>
      <c r="B290" s="259">
        <v>45958.0</v>
      </c>
      <c r="C290" s="47" t="s">
        <v>17</v>
      </c>
      <c r="D290" s="226" t="s">
        <v>961</v>
      </c>
      <c r="E290" s="276"/>
      <c r="F290" s="277"/>
      <c r="G290" s="278" t="s">
        <v>962</v>
      </c>
      <c r="H290" s="46" t="s">
        <v>963</v>
      </c>
      <c r="I290" s="187"/>
      <c r="J290" s="187"/>
    </row>
    <row r="291">
      <c r="A291" s="360" t="str">
        <f t="shared" si="1"/>
        <v>October</v>
      </c>
      <c r="B291" s="259">
        <v>45958.0</v>
      </c>
      <c r="C291" s="45" t="s">
        <v>11</v>
      </c>
      <c r="D291" s="40" t="s">
        <v>71</v>
      </c>
      <c r="E291" s="51">
        <v>1000.0</v>
      </c>
      <c r="F291" s="42">
        <v>100000.0</v>
      </c>
      <c r="G291" s="278" t="s">
        <v>964</v>
      </c>
      <c r="H291" s="46" t="s">
        <v>965</v>
      </c>
      <c r="I291" s="187"/>
      <c r="J291" s="187"/>
    </row>
    <row r="292">
      <c r="A292" s="360" t="str">
        <f t="shared" si="1"/>
        <v>October</v>
      </c>
      <c r="B292" s="259">
        <v>45958.0</v>
      </c>
      <c r="C292" s="45" t="s">
        <v>57</v>
      </c>
      <c r="D292" s="43" t="s">
        <v>58</v>
      </c>
      <c r="E292" s="41">
        <v>2200.0</v>
      </c>
      <c r="F292" s="42">
        <v>500000.0</v>
      </c>
      <c r="G292" s="278" t="s">
        <v>966</v>
      </c>
      <c r="H292" s="46" t="s">
        <v>967</v>
      </c>
      <c r="I292" s="187"/>
      <c r="J292" s="187"/>
    </row>
    <row r="293">
      <c r="A293" s="360" t="str">
        <f t="shared" si="1"/>
        <v>October</v>
      </c>
      <c r="B293" s="269">
        <v>45958.0</v>
      </c>
      <c r="C293" s="47" t="s">
        <v>11</v>
      </c>
      <c r="D293" s="48" t="s">
        <v>432</v>
      </c>
      <c r="E293" s="279">
        <v>5000.0</v>
      </c>
      <c r="F293" s="66">
        <v>50000.0</v>
      </c>
      <c r="G293" s="278" t="s">
        <v>968</v>
      </c>
      <c r="H293" s="46" t="s">
        <v>969</v>
      </c>
      <c r="I293" s="187"/>
      <c r="J293" s="187"/>
    </row>
    <row r="294">
      <c r="A294" s="360" t="str">
        <f t="shared" si="1"/>
        <v>November</v>
      </c>
      <c r="B294" s="280">
        <v>45965.0</v>
      </c>
      <c r="C294" s="237" t="s">
        <v>11</v>
      </c>
      <c r="D294" s="234" t="s">
        <v>71</v>
      </c>
      <c r="E294" s="281">
        <v>1000.0</v>
      </c>
      <c r="F294" s="250">
        <v>100000.0</v>
      </c>
      <c r="G294" s="236" t="s">
        <v>970</v>
      </c>
      <c r="H294" s="395" t="s">
        <v>971</v>
      </c>
      <c r="I294" s="225"/>
      <c r="J294" s="225"/>
    </row>
    <row r="295">
      <c r="A295" s="360" t="str">
        <f t="shared" si="1"/>
        <v>November</v>
      </c>
      <c r="B295" s="259">
        <v>45965.0</v>
      </c>
      <c r="C295" s="45" t="s">
        <v>11</v>
      </c>
      <c r="D295" s="43" t="s">
        <v>432</v>
      </c>
      <c r="E295" s="246">
        <v>5000.0</v>
      </c>
      <c r="F295" s="42">
        <v>50000.0</v>
      </c>
      <c r="G295" s="62" t="s">
        <v>972</v>
      </c>
      <c r="H295" s="173" t="s">
        <v>973</v>
      </c>
      <c r="I295" s="45"/>
      <c r="J295" s="45"/>
    </row>
    <row r="296">
      <c r="A296" s="360" t="str">
        <f t="shared" si="1"/>
        <v>November</v>
      </c>
      <c r="B296" s="259">
        <v>45965.0</v>
      </c>
      <c r="C296" s="45" t="s">
        <v>57</v>
      </c>
      <c r="D296" s="226" t="s">
        <v>77</v>
      </c>
      <c r="E296" s="65">
        <v>9500.0</v>
      </c>
      <c r="F296" s="66">
        <v>250000.0</v>
      </c>
      <c r="G296" s="62" t="s">
        <v>974</v>
      </c>
      <c r="H296" s="44" t="s">
        <v>975</v>
      </c>
      <c r="I296" s="45"/>
      <c r="J296" s="45"/>
    </row>
    <row r="297">
      <c r="A297" s="360" t="str">
        <f t="shared" si="1"/>
        <v>November</v>
      </c>
      <c r="B297" s="259">
        <v>45965.0</v>
      </c>
      <c r="C297" s="45" t="s">
        <v>11</v>
      </c>
      <c r="D297" s="40" t="s">
        <v>662</v>
      </c>
      <c r="E297" s="283"/>
      <c r="F297" s="284"/>
      <c r="G297" s="14" t="s">
        <v>976</v>
      </c>
      <c r="H297" s="49" t="s">
        <v>977</v>
      </c>
      <c r="I297" s="45"/>
      <c r="J297" s="45"/>
    </row>
    <row r="298">
      <c r="A298" s="360" t="str">
        <f t="shared" si="1"/>
        <v>November</v>
      </c>
      <c r="B298" s="259">
        <v>45965.0</v>
      </c>
      <c r="C298" s="45" t="s">
        <v>17</v>
      </c>
      <c r="D298" s="14" t="s">
        <v>473</v>
      </c>
      <c r="E298" s="212"/>
      <c r="F298" s="114"/>
      <c r="G298" s="62" t="s">
        <v>978</v>
      </c>
      <c r="H298" s="173" t="s">
        <v>979</v>
      </c>
      <c r="I298" s="45"/>
      <c r="J298" s="45"/>
    </row>
    <row r="299">
      <c r="A299" s="360" t="str">
        <f t="shared" si="1"/>
        <v>November</v>
      </c>
      <c r="B299" s="259">
        <v>45971.0</v>
      </c>
      <c r="C299" s="45" t="s">
        <v>11</v>
      </c>
      <c r="D299" s="40" t="s">
        <v>71</v>
      </c>
      <c r="E299" s="51">
        <v>1000.0</v>
      </c>
      <c r="F299" s="42">
        <v>100000.0</v>
      </c>
      <c r="G299" s="390" t="s">
        <v>980</v>
      </c>
      <c r="H299" s="390" t="s">
        <v>981</v>
      </c>
      <c r="I299" s="45"/>
      <c r="J299" s="45"/>
    </row>
    <row r="300">
      <c r="A300" s="360" t="str">
        <f t="shared" si="1"/>
        <v>November</v>
      </c>
      <c r="B300" s="259">
        <v>45972.0</v>
      </c>
      <c r="C300" s="76" t="s">
        <v>17</v>
      </c>
      <c r="D300" s="43" t="s">
        <v>101</v>
      </c>
      <c r="E300" s="212"/>
      <c r="F300" s="114"/>
      <c r="G300" s="62" t="s">
        <v>982</v>
      </c>
      <c r="H300" s="44" t="s">
        <v>983</v>
      </c>
      <c r="I300" s="45"/>
      <c r="J300" s="45"/>
    </row>
    <row r="301">
      <c r="A301" s="360" t="str">
        <f t="shared" si="1"/>
        <v>November</v>
      </c>
      <c r="B301" s="259">
        <v>45967.0</v>
      </c>
      <c r="C301" s="45" t="s">
        <v>17</v>
      </c>
      <c r="D301" s="393" t="s">
        <v>935</v>
      </c>
      <c r="E301" s="212"/>
      <c r="F301" s="114"/>
      <c r="G301" s="62" t="s">
        <v>978</v>
      </c>
      <c r="H301" s="150" t="s">
        <v>984</v>
      </c>
      <c r="I301" s="45"/>
      <c r="J301" s="45"/>
    </row>
    <row r="302">
      <c r="A302" s="360" t="str">
        <f t="shared" si="1"/>
        <v>November</v>
      </c>
      <c r="B302" s="259">
        <v>45971.0</v>
      </c>
      <c r="C302" s="45" t="s">
        <v>17</v>
      </c>
      <c r="D302" s="274" t="s">
        <v>349</v>
      </c>
      <c r="E302" s="212"/>
      <c r="F302" s="114"/>
      <c r="G302" s="62" t="s">
        <v>985</v>
      </c>
      <c r="H302" s="150" t="s">
        <v>986</v>
      </c>
      <c r="I302" s="45"/>
      <c r="J302" s="45"/>
    </row>
    <row r="303">
      <c r="A303" s="360" t="str">
        <f t="shared" si="1"/>
        <v>November</v>
      </c>
      <c r="B303" s="259">
        <v>45975.0</v>
      </c>
      <c r="C303" s="76" t="s">
        <v>17</v>
      </c>
      <c r="D303" s="43" t="s">
        <v>101</v>
      </c>
      <c r="E303" s="212"/>
      <c r="F303" s="114"/>
      <c r="G303" s="62" t="s">
        <v>987</v>
      </c>
      <c r="H303" s="150" t="s">
        <v>988</v>
      </c>
      <c r="I303" s="45"/>
      <c r="J303" s="45"/>
    </row>
    <row r="304">
      <c r="A304" s="360" t="str">
        <f t="shared" si="1"/>
        <v>November</v>
      </c>
      <c r="B304" s="259">
        <v>45965.0</v>
      </c>
      <c r="C304" s="45" t="s">
        <v>57</v>
      </c>
      <c r="D304" s="226" t="s">
        <v>77</v>
      </c>
      <c r="E304" s="65">
        <v>9500.0</v>
      </c>
      <c r="F304" s="66">
        <v>250000.0</v>
      </c>
      <c r="G304" s="62" t="s">
        <v>989</v>
      </c>
      <c r="H304" s="150" t="s">
        <v>990</v>
      </c>
      <c r="I304" s="45"/>
      <c r="J304" s="45"/>
    </row>
    <row r="305">
      <c r="A305" s="360" t="str">
        <f t="shared" si="1"/>
        <v>November</v>
      </c>
      <c r="B305" s="259">
        <v>45978.0</v>
      </c>
      <c r="C305" s="45" t="s">
        <v>17</v>
      </c>
      <c r="D305" s="40" t="s">
        <v>134</v>
      </c>
      <c r="E305" s="212"/>
      <c r="F305" s="114"/>
      <c r="G305" s="62" t="s">
        <v>991</v>
      </c>
      <c r="H305" s="150" t="s">
        <v>992</v>
      </c>
      <c r="I305" s="45"/>
      <c r="J305" s="45"/>
    </row>
    <row r="306">
      <c r="A306" s="360" t="str">
        <f t="shared" si="1"/>
        <v>November</v>
      </c>
      <c r="B306" s="259">
        <v>45975.0</v>
      </c>
      <c r="C306" s="45" t="s">
        <v>17</v>
      </c>
      <c r="D306" s="40" t="s">
        <v>993</v>
      </c>
      <c r="E306" s="212"/>
      <c r="F306" s="114"/>
      <c r="G306" s="62" t="s">
        <v>994</v>
      </c>
      <c r="H306" s="150" t="s">
        <v>995</v>
      </c>
      <c r="I306" s="45"/>
      <c r="J306" s="45"/>
    </row>
    <row r="307">
      <c r="A307" s="360" t="str">
        <f t="shared" si="1"/>
        <v>November</v>
      </c>
      <c r="B307" s="259">
        <v>45971.0</v>
      </c>
      <c r="C307" s="45" t="s">
        <v>11</v>
      </c>
      <c r="D307" s="40" t="s">
        <v>71</v>
      </c>
      <c r="E307" s="51">
        <v>1000.0</v>
      </c>
      <c r="F307" s="42">
        <v>100000.0</v>
      </c>
      <c r="G307" s="62" t="s">
        <v>987</v>
      </c>
      <c r="H307" s="150" t="s">
        <v>996</v>
      </c>
      <c r="I307" s="45"/>
      <c r="J307" s="45"/>
    </row>
    <row r="308">
      <c r="A308" s="360" t="str">
        <f t="shared" si="1"/>
        <v>November</v>
      </c>
      <c r="B308" s="259">
        <v>45986.0</v>
      </c>
      <c r="C308" s="45" t="s">
        <v>57</v>
      </c>
      <c r="D308" s="43" t="s">
        <v>58</v>
      </c>
      <c r="E308" s="41">
        <v>2200.0</v>
      </c>
      <c r="F308" s="42">
        <v>500000.0</v>
      </c>
      <c r="G308" s="62" t="s">
        <v>997</v>
      </c>
      <c r="H308" s="150" t="s">
        <v>998</v>
      </c>
      <c r="I308" s="45"/>
      <c r="J308" s="45"/>
    </row>
    <row r="309">
      <c r="A309" s="360" t="str">
        <f t="shared" si="1"/>
        <v>November</v>
      </c>
      <c r="B309" s="259">
        <v>45986.0</v>
      </c>
      <c r="C309" s="45" t="s">
        <v>57</v>
      </c>
      <c r="D309" s="226" t="s">
        <v>77</v>
      </c>
      <c r="E309" s="65">
        <v>9500.0</v>
      </c>
      <c r="F309" s="66">
        <v>250000.0</v>
      </c>
      <c r="G309" s="14" t="s">
        <v>999</v>
      </c>
      <c r="H309" s="49" t="s">
        <v>1000</v>
      </c>
      <c r="I309" s="53"/>
      <c r="J309" s="45"/>
    </row>
    <row r="310">
      <c r="A310" s="360" t="str">
        <f t="shared" si="1"/>
        <v>November</v>
      </c>
      <c r="B310" s="259">
        <v>45986.0</v>
      </c>
      <c r="C310" s="45" t="s">
        <v>11</v>
      </c>
      <c r="D310" s="40" t="s">
        <v>71</v>
      </c>
      <c r="E310" s="51">
        <v>1000.0</v>
      </c>
      <c r="F310" s="42">
        <v>100000.0</v>
      </c>
      <c r="G310" s="62" t="s">
        <v>1001</v>
      </c>
      <c r="H310" s="150" t="s">
        <v>1002</v>
      </c>
      <c r="I310" s="45"/>
      <c r="J310" s="45"/>
    </row>
    <row r="311">
      <c r="A311" s="360" t="str">
        <f t="shared" si="1"/>
        <v>November</v>
      </c>
      <c r="B311" s="259">
        <v>45986.0</v>
      </c>
      <c r="C311" s="45" t="s">
        <v>11</v>
      </c>
      <c r="D311" s="40" t="s">
        <v>145</v>
      </c>
      <c r="E311" s="212"/>
      <c r="F311" s="114"/>
      <c r="G311" s="62" t="s">
        <v>997</v>
      </c>
      <c r="H311" s="44" t="s">
        <v>1003</v>
      </c>
      <c r="I311" s="45"/>
      <c r="J311" s="45"/>
    </row>
    <row r="312">
      <c r="A312" s="360" t="str">
        <f t="shared" si="1"/>
        <v>November</v>
      </c>
      <c r="B312" s="259">
        <v>45987.0</v>
      </c>
      <c r="C312" s="45" t="s">
        <v>11</v>
      </c>
      <c r="D312" s="40" t="s">
        <v>432</v>
      </c>
      <c r="E312" s="279">
        <v>5000.0</v>
      </c>
      <c r="F312" s="66">
        <v>50000.0</v>
      </c>
      <c r="G312" s="241" t="s">
        <v>1004</v>
      </c>
      <c r="H312" s="150" t="s">
        <v>1005</v>
      </c>
      <c r="I312" s="45"/>
      <c r="J312" s="45"/>
    </row>
    <row r="313">
      <c r="A313" s="360" t="str">
        <f t="shared" si="1"/>
        <v>November</v>
      </c>
      <c r="B313" s="269">
        <v>45987.0</v>
      </c>
      <c r="C313" s="47" t="s">
        <v>57</v>
      </c>
      <c r="D313" s="226" t="s">
        <v>593</v>
      </c>
      <c r="E313" s="65">
        <v>3000.0</v>
      </c>
      <c r="F313" s="66">
        <v>40000.0</v>
      </c>
      <c r="G313" s="244" t="s">
        <v>1006</v>
      </c>
      <c r="H313" s="396" t="s">
        <v>1007</v>
      </c>
      <c r="I313" s="47"/>
      <c r="J313" s="47"/>
    </row>
    <row r="314">
      <c r="A314" s="360" t="str">
        <f t="shared" si="1"/>
        <v>December</v>
      </c>
      <c r="B314" s="280">
        <v>45994.0</v>
      </c>
      <c r="C314" s="237" t="s">
        <v>57</v>
      </c>
      <c r="D314" s="248" t="s">
        <v>77</v>
      </c>
      <c r="E314" s="286">
        <v>9500.0</v>
      </c>
      <c r="F314" s="287">
        <v>250000.0</v>
      </c>
      <c r="G314" s="266" t="s">
        <v>1008</v>
      </c>
      <c r="H314" s="397" t="s">
        <v>1009</v>
      </c>
      <c r="I314" s="289"/>
      <c r="J314" s="237"/>
    </row>
    <row r="315">
      <c r="A315" s="360" t="str">
        <f t="shared" si="1"/>
        <v>December</v>
      </c>
      <c r="B315" s="259">
        <v>45994.0</v>
      </c>
      <c r="C315" s="45" t="s">
        <v>11</v>
      </c>
      <c r="D315" s="40" t="s">
        <v>71</v>
      </c>
      <c r="E315" s="51">
        <v>1000.0</v>
      </c>
      <c r="F315" s="42">
        <v>100000.0</v>
      </c>
      <c r="G315" s="202" t="s">
        <v>1010</v>
      </c>
      <c r="H315" s="398" t="s">
        <v>1011</v>
      </c>
      <c r="I315" s="39"/>
      <c r="J315" s="39"/>
    </row>
    <row r="316">
      <c r="A316" s="360" t="str">
        <f t="shared" si="1"/>
        <v>December</v>
      </c>
      <c r="B316" s="259">
        <v>45994.0</v>
      </c>
      <c r="C316" s="45" t="s">
        <v>57</v>
      </c>
      <c r="D316" s="43" t="s">
        <v>58</v>
      </c>
      <c r="E316" s="41">
        <v>2200.0</v>
      </c>
      <c r="F316" s="42">
        <v>500000.0</v>
      </c>
      <c r="G316" s="202" t="s">
        <v>1012</v>
      </c>
      <c r="H316" s="376" t="s">
        <v>1013</v>
      </c>
      <c r="I316" s="39"/>
      <c r="J316" s="39"/>
    </row>
    <row r="317">
      <c r="A317" s="360" t="str">
        <f t="shared" si="1"/>
        <v>December</v>
      </c>
      <c r="B317" s="259">
        <v>45995.0</v>
      </c>
      <c r="C317" s="45" t="s">
        <v>11</v>
      </c>
      <c r="D317" s="40" t="s">
        <v>145</v>
      </c>
      <c r="E317" s="212"/>
      <c r="F317" s="114"/>
      <c r="G317" s="241" t="s">
        <v>1014</v>
      </c>
      <c r="H317" s="150" t="s">
        <v>1015</v>
      </c>
      <c r="I317" s="45"/>
      <c r="J317" s="45"/>
    </row>
    <row r="318">
      <c r="A318" s="360" t="str">
        <f t="shared" si="1"/>
        <v>December</v>
      </c>
      <c r="B318" s="259">
        <v>45995.0</v>
      </c>
      <c r="C318" s="45" t="s">
        <v>57</v>
      </c>
      <c r="D318" s="43" t="s">
        <v>58</v>
      </c>
      <c r="E318" s="41">
        <v>2200.0</v>
      </c>
      <c r="F318" s="42">
        <v>500000.0</v>
      </c>
      <c r="G318" s="241" t="s">
        <v>1014</v>
      </c>
      <c r="H318" s="150" t="s">
        <v>1016</v>
      </c>
      <c r="I318" s="45"/>
      <c r="J318" s="45"/>
    </row>
    <row r="319">
      <c r="A319" s="360" t="str">
        <f t="shared" si="1"/>
        <v>December</v>
      </c>
      <c r="B319" s="259">
        <v>45995.0</v>
      </c>
      <c r="C319" s="45" t="s">
        <v>17</v>
      </c>
      <c r="D319" s="54" t="s">
        <v>1017</v>
      </c>
      <c r="E319" s="212"/>
      <c r="F319" s="114"/>
      <c r="G319" s="62" t="s">
        <v>1018</v>
      </c>
      <c r="H319" s="150" t="s">
        <v>1019</v>
      </c>
      <c r="I319" s="45"/>
      <c r="J319" s="45"/>
    </row>
    <row r="320">
      <c r="A320" s="360" t="str">
        <f t="shared" si="1"/>
        <v>December</v>
      </c>
      <c r="B320" s="259">
        <v>46002.0</v>
      </c>
      <c r="C320" s="45" t="s">
        <v>17</v>
      </c>
      <c r="D320" s="40" t="s">
        <v>134</v>
      </c>
      <c r="E320" s="212"/>
      <c r="F320" s="114"/>
      <c r="G320" s="241" t="s">
        <v>1020</v>
      </c>
      <c r="H320" s="150" t="s">
        <v>1021</v>
      </c>
      <c r="I320" s="45"/>
      <c r="J320" s="45"/>
    </row>
    <row r="321">
      <c r="A321" s="360" t="str">
        <f t="shared" si="1"/>
        <v>December</v>
      </c>
      <c r="B321" s="259">
        <v>46002.0</v>
      </c>
      <c r="C321" s="45" t="s">
        <v>57</v>
      </c>
      <c r="D321" s="226" t="s">
        <v>77</v>
      </c>
      <c r="E321" s="65">
        <v>9500.0</v>
      </c>
      <c r="F321" s="66">
        <v>250000.0</v>
      </c>
      <c r="G321" s="62" t="s">
        <v>1022</v>
      </c>
      <c r="H321" s="44" t="s">
        <v>1023</v>
      </c>
      <c r="I321" s="45"/>
      <c r="J321" s="45"/>
    </row>
    <row r="322">
      <c r="A322" s="360" t="str">
        <f t="shared" si="1"/>
        <v>December</v>
      </c>
      <c r="B322" s="259">
        <v>46003.0</v>
      </c>
      <c r="C322" s="45" t="s">
        <v>57</v>
      </c>
      <c r="D322" s="43" t="s">
        <v>58</v>
      </c>
      <c r="E322" s="41">
        <v>2200.0</v>
      </c>
      <c r="F322" s="42">
        <v>500000.0</v>
      </c>
      <c r="G322" s="241" t="s">
        <v>1024</v>
      </c>
      <c r="H322" s="150" t="s">
        <v>1025</v>
      </c>
      <c r="I322" s="45"/>
      <c r="J322" s="45"/>
    </row>
    <row r="323">
      <c r="A323" s="360" t="str">
        <f t="shared" si="1"/>
        <v>December</v>
      </c>
      <c r="B323" s="259">
        <v>46003.0</v>
      </c>
      <c r="C323" s="45" t="s">
        <v>57</v>
      </c>
      <c r="D323" s="43" t="s">
        <v>58</v>
      </c>
      <c r="E323" s="41">
        <v>2200.0</v>
      </c>
      <c r="F323" s="42">
        <v>500000.0</v>
      </c>
      <c r="G323" s="244" t="s">
        <v>1026</v>
      </c>
      <c r="H323" s="396" t="s">
        <v>1027</v>
      </c>
      <c r="I323" s="47"/>
      <c r="J323" s="45"/>
    </row>
    <row r="324">
      <c r="A324" s="360" t="str">
        <f t="shared" si="1"/>
        <v>December</v>
      </c>
      <c r="B324" s="259">
        <v>46007.0</v>
      </c>
      <c r="C324" s="45" t="s">
        <v>57</v>
      </c>
      <c r="D324" s="226" t="s">
        <v>77</v>
      </c>
      <c r="E324" s="65">
        <v>9500.0</v>
      </c>
      <c r="F324" s="66">
        <v>250000.0</v>
      </c>
      <c r="G324" s="244" t="s">
        <v>1028</v>
      </c>
      <c r="H324" s="396" t="s">
        <v>1029</v>
      </c>
      <c r="I324" s="47"/>
      <c r="J324" s="45"/>
    </row>
    <row r="325">
      <c r="A325" s="360" t="str">
        <f t="shared" si="1"/>
        <v>December</v>
      </c>
      <c r="B325" s="259">
        <v>46009.0</v>
      </c>
      <c r="C325" s="45" t="s">
        <v>57</v>
      </c>
      <c r="D325" s="226" t="s">
        <v>77</v>
      </c>
      <c r="E325" s="65">
        <v>9500.0</v>
      </c>
      <c r="F325" s="66">
        <v>250000.0</v>
      </c>
      <c r="G325" s="67" t="s">
        <v>1030</v>
      </c>
      <c r="H325" s="67" t="s">
        <v>1031</v>
      </c>
      <c r="I325" s="45"/>
      <c r="J325" s="45"/>
    </row>
    <row r="326">
      <c r="A326" s="360" t="str">
        <f t="shared" si="1"/>
        <v>December</v>
      </c>
      <c r="B326" s="259">
        <v>46009.0</v>
      </c>
      <c r="C326" s="45" t="s">
        <v>17</v>
      </c>
      <c r="D326" s="40" t="s">
        <v>570</v>
      </c>
      <c r="E326" s="212"/>
      <c r="F326" s="114"/>
      <c r="G326" s="67" t="s">
        <v>1032</v>
      </c>
      <c r="H326" s="67" t="s">
        <v>1033</v>
      </c>
      <c r="I326" s="45"/>
      <c r="J326" s="45"/>
    </row>
    <row r="327">
      <c r="A327" s="360" t="str">
        <f t="shared" si="1"/>
        <v>December</v>
      </c>
      <c r="B327" s="259">
        <v>46009.0</v>
      </c>
      <c r="C327" s="45" t="s">
        <v>57</v>
      </c>
      <c r="D327" s="43" t="s">
        <v>58</v>
      </c>
      <c r="E327" s="41">
        <v>2200.0</v>
      </c>
      <c r="F327" s="42">
        <v>500000.0</v>
      </c>
      <c r="G327" s="59" t="s">
        <v>1034</v>
      </c>
      <c r="H327" s="399" t="s">
        <v>1035</v>
      </c>
      <c r="I327" s="45"/>
      <c r="J327" s="45"/>
    </row>
    <row r="328">
      <c r="A328" s="360" t="str">
        <f t="shared" si="1"/>
        <v>December</v>
      </c>
      <c r="B328" s="259">
        <v>46009.0</v>
      </c>
      <c r="C328" s="45" t="s">
        <v>17</v>
      </c>
      <c r="D328" s="291" t="s">
        <v>66</v>
      </c>
      <c r="E328" s="212"/>
      <c r="F328" s="114"/>
      <c r="G328" s="52" t="s">
        <v>1036</v>
      </c>
      <c r="H328" s="52" t="s">
        <v>1037</v>
      </c>
      <c r="I328" s="45"/>
      <c r="J328" s="45"/>
    </row>
    <row r="329">
      <c r="A329" s="360" t="str">
        <f t="shared" si="1"/>
        <v>December</v>
      </c>
      <c r="B329" s="259">
        <v>46009.0</v>
      </c>
      <c r="C329" s="45" t="s">
        <v>57</v>
      </c>
      <c r="D329" s="40" t="s">
        <v>267</v>
      </c>
      <c r="E329" s="212">
        <v>2000.0</v>
      </c>
      <c r="F329" s="114">
        <v>20000.0</v>
      </c>
      <c r="G329" s="50" t="s">
        <v>1038</v>
      </c>
      <c r="H329" s="43"/>
      <c r="I329" s="45"/>
      <c r="J329" s="45"/>
    </row>
    <row r="330">
      <c r="A330" s="360" t="str">
        <f t="shared" si="1"/>
        <v>December</v>
      </c>
      <c r="B330" s="259">
        <v>46020.0</v>
      </c>
      <c r="C330" s="45" t="s">
        <v>57</v>
      </c>
      <c r="D330" s="43" t="s">
        <v>58</v>
      </c>
      <c r="E330" s="41">
        <v>2200.0</v>
      </c>
      <c r="F330" s="42">
        <v>500000.0</v>
      </c>
      <c r="G330" s="62" t="s">
        <v>1039</v>
      </c>
      <c r="H330" s="150" t="s">
        <v>1040</v>
      </c>
      <c r="I330" s="45"/>
      <c r="J330" s="45"/>
    </row>
    <row r="331">
      <c r="A331" s="360"/>
      <c r="B331" s="45" t="s">
        <v>1041</v>
      </c>
      <c r="C331" s="45" t="s">
        <v>57</v>
      </c>
      <c r="D331" s="40" t="s">
        <v>267</v>
      </c>
      <c r="E331" s="293"/>
      <c r="F331" s="294"/>
      <c r="G331" s="295" t="s">
        <v>1042</v>
      </c>
      <c r="H331" s="44" t="s">
        <v>1043</v>
      </c>
      <c r="I331" s="45"/>
      <c r="J331" s="45"/>
    </row>
    <row r="332">
      <c r="A332" s="360"/>
      <c r="B332" s="38"/>
      <c r="C332" s="39"/>
      <c r="D332" s="242"/>
      <c r="E332" s="212"/>
      <c r="F332" s="114"/>
      <c r="G332" s="62"/>
      <c r="H332" s="43"/>
      <c r="I332" s="152"/>
      <c r="J332" s="152"/>
    </row>
    <row r="333">
      <c r="A333" s="360"/>
      <c r="B333" s="38"/>
      <c r="C333" s="45"/>
      <c r="D333" s="242"/>
      <c r="E333" s="212"/>
      <c r="F333" s="114"/>
      <c r="G333" s="62"/>
      <c r="H333" s="211"/>
      <c r="I333" s="152"/>
      <c r="J333" s="152"/>
    </row>
    <row r="334">
      <c r="A334" s="360"/>
      <c r="B334" s="38"/>
      <c r="C334" s="45"/>
      <c r="D334" s="40"/>
      <c r="E334" s="212"/>
      <c r="F334" s="114"/>
      <c r="G334" s="241"/>
      <c r="H334" s="211"/>
      <c r="I334" s="152"/>
      <c r="J334" s="152"/>
    </row>
    <row r="335">
      <c r="A335" s="360"/>
      <c r="B335" s="38"/>
      <c r="C335" s="39"/>
      <c r="D335" s="40"/>
      <c r="E335" s="212"/>
      <c r="F335" s="114"/>
      <c r="G335" s="241"/>
      <c r="H335" s="211"/>
      <c r="I335" s="152"/>
      <c r="J335" s="152"/>
    </row>
    <row r="336">
      <c r="A336" s="360"/>
      <c r="B336" s="38"/>
      <c r="C336" s="45"/>
      <c r="D336" s="40"/>
      <c r="E336" s="293"/>
      <c r="F336" s="294"/>
      <c r="G336" s="296"/>
      <c r="H336" s="211"/>
      <c r="I336" s="152"/>
      <c r="J336" s="152"/>
    </row>
    <row r="337">
      <c r="A337" s="360"/>
      <c r="B337" s="297"/>
      <c r="C337" s="298"/>
      <c r="D337" s="299"/>
      <c r="E337" s="300"/>
      <c r="F337" s="301"/>
      <c r="G337" s="302"/>
      <c r="H337" s="303"/>
      <c r="I337" s="304"/>
      <c r="J337" s="304"/>
    </row>
    <row r="338">
      <c r="A338" s="360"/>
      <c r="B338" s="204"/>
      <c r="C338" s="39"/>
      <c r="D338" s="170"/>
      <c r="E338" s="293"/>
      <c r="F338" s="294"/>
      <c r="G338" s="295"/>
      <c r="H338" s="216"/>
      <c r="I338" s="112"/>
      <c r="J338" s="112"/>
    </row>
    <row r="339">
      <c r="A339" s="360"/>
      <c r="B339" s="204"/>
      <c r="C339" s="305"/>
      <c r="D339" s="306"/>
      <c r="E339" s="307"/>
      <c r="F339" s="308"/>
      <c r="G339" s="309"/>
      <c r="H339" s="310"/>
      <c r="I339" s="311"/>
      <c r="J339" s="311"/>
    </row>
    <row r="340">
      <c r="A340" s="360"/>
      <c r="B340" s="38"/>
      <c r="C340" s="39"/>
      <c r="D340" s="40"/>
      <c r="E340" s="212"/>
      <c r="F340" s="114"/>
      <c r="G340" s="62"/>
      <c r="H340" s="43"/>
      <c r="I340" s="152"/>
      <c r="J340" s="152"/>
    </row>
    <row r="341">
      <c r="A341" s="360"/>
      <c r="B341" s="38"/>
      <c r="C341" s="45"/>
      <c r="D341" s="40"/>
      <c r="E341" s="212"/>
      <c r="F341" s="114"/>
      <c r="G341" s="62"/>
      <c r="H341" s="43"/>
      <c r="I341" s="152"/>
      <c r="J341" s="152"/>
    </row>
    <row r="342">
      <c r="A342" s="360"/>
      <c r="B342" s="38"/>
      <c r="C342" s="45"/>
      <c r="D342" s="40"/>
      <c r="E342" s="212"/>
      <c r="F342" s="114"/>
      <c r="G342" s="62"/>
      <c r="H342" s="43"/>
      <c r="I342" s="152"/>
      <c r="J342" s="152"/>
    </row>
    <row r="343">
      <c r="A343" s="360"/>
      <c r="B343" s="38"/>
      <c r="C343" s="45"/>
      <c r="D343" s="40"/>
      <c r="E343" s="212"/>
      <c r="F343" s="114"/>
      <c r="G343" s="62"/>
      <c r="H343" s="43"/>
      <c r="I343" s="152"/>
      <c r="J343" s="152"/>
    </row>
    <row r="344">
      <c r="A344" s="360"/>
      <c r="B344" s="38"/>
      <c r="C344" s="45"/>
      <c r="D344" s="40"/>
      <c r="E344" s="212"/>
      <c r="F344" s="114"/>
      <c r="G344" s="62"/>
      <c r="H344" s="43"/>
      <c r="I344" s="152"/>
      <c r="J344" s="152"/>
    </row>
    <row r="345">
      <c r="A345" s="360"/>
      <c r="B345" s="38"/>
      <c r="C345" s="312"/>
      <c r="D345" s="313"/>
      <c r="E345" s="314"/>
      <c r="F345" s="315"/>
      <c r="G345" s="316"/>
      <c r="H345" s="317"/>
      <c r="I345" s="318"/>
      <c r="J345" s="318"/>
    </row>
    <row r="346">
      <c r="A346" s="360"/>
      <c r="B346" s="38"/>
      <c r="C346" s="39"/>
      <c r="D346" s="40"/>
      <c r="E346" s="212"/>
      <c r="F346" s="114"/>
      <c r="G346" s="62"/>
      <c r="H346" s="273"/>
      <c r="I346" s="53"/>
      <c r="J346" s="152"/>
    </row>
    <row r="347">
      <c r="A347" s="360"/>
      <c r="B347" s="38"/>
      <c r="C347" s="39"/>
      <c r="D347" s="40"/>
      <c r="E347" s="212"/>
      <c r="F347" s="114"/>
      <c r="G347" s="62"/>
      <c r="H347" s="273"/>
      <c r="I347" s="53"/>
      <c r="J347" s="152"/>
    </row>
    <row r="348">
      <c r="A348" s="360"/>
      <c r="B348" s="38"/>
      <c r="C348" s="39"/>
      <c r="D348" s="40"/>
      <c r="E348" s="212"/>
      <c r="F348" s="114"/>
      <c r="G348" s="62"/>
      <c r="H348" s="273"/>
      <c r="I348" s="53"/>
      <c r="J348" s="152"/>
    </row>
    <row r="349">
      <c r="A349" s="360"/>
      <c r="B349" s="38"/>
      <c r="C349" s="39"/>
      <c r="D349" s="40"/>
      <c r="E349" s="212"/>
      <c r="F349" s="114"/>
      <c r="G349" s="62"/>
      <c r="H349" s="43"/>
      <c r="I349" s="152"/>
      <c r="J349" s="152"/>
    </row>
    <row r="350">
      <c r="A350" s="360"/>
      <c r="B350" s="38"/>
      <c r="C350" s="312"/>
      <c r="D350" s="313"/>
      <c r="E350" s="314"/>
      <c r="F350" s="315"/>
      <c r="G350" s="316"/>
      <c r="H350" s="317"/>
      <c r="I350" s="318"/>
      <c r="J350" s="318"/>
    </row>
    <row r="351">
      <c r="A351" s="360"/>
      <c r="B351" s="297"/>
      <c r="C351" s="319"/>
      <c r="D351" s="299"/>
      <c r="E351" s="300"/>
      <c r="F351" s="301"/>
      <c r="G351" s="320"/>
      <c r="H351" s="321"/>
      <c r="I351" s="322"/>
      <c r="J351" s="322"/>
    </row>
    <row r="352">
      <c r="A352" s="400"/>
      <c r="B352" s="323"/>
      <c r="C352" s="305"/>
      <c r="D352" s="14"/>
      <c r="E352" s="324"/>
      <c r="F352" s="325"/>
      <c r="G352" s="326"/>
      <c r="H352" s="125"/>
      <c r="I352" s="112"/>
      <c r="J352" s="112"/>
    </row>
    <row r="353">
      <c r="A353" s="400"/>
      <c r="B353" s="327"/>
      <c r="C353" s="305"/>
      <c r="D353" s="14"/>
      <c r="E353" s="324"/>
      <c r="F353" s="325"/>
      <c r="G353" s="326"/>
      <c r="H353" s="125"/>
      <c r="I353" s="45"/>
      <c r="J353" s="45"/>
    </row>
    <row r="354">
      <c r="A354" s="400"/>
      <c r="B354" s="327"/>
      <c r="C354" s="45"/>
      <c r="D354" s="40"/>
      <c r="E354" s="324"/>
      <c r="F354" s="325"/>
      <c r="G354" s="326"/>
      <c r="H354" s="125"/>
      <c r="I354" s="45"/>
      <c r="J354" s="45"/>
    </row>
    <row r="355">
      <c r="A355" s="400"/>
      <c r="B355" s="327"/>
      <c r="C355" s="305"/>
      <c r="D355" s="328"/>
      <c r="E355" s="324"/>
      <c r="F355" s="325"/>
      <c r="G355" s="326"/>
      <c r="H355" s="125"/>
      <c r="I355" s="45"/>
      <c r="J355" s="45"/>
    </row>
    <row r="356">
      <c r="A356" s="400"/>
      <c r="B356" s="327"/>
      <c r="C356" s="45"/>
      <c r="D356" s="40"/>
      <c r="E356" s="324"/>
      <c r="F356" s="325"/>
      <c r="G356" s="326"/>
      <c r="H356" s="125"/>
      <c r="I356" s="45"/>
      <c r="J356" s="45"/>
    </row>
    <row r="357">
      <c r="A357" s="400"/>
      <c r="B357" s="327"/>
      <c r="C357" s="45"/>
      <c r="D357" s="14"/>
      <c r="E357" s="324"/>
      <c r="F357" s="325"/>
      <c r="G357" s="326"/>
      <c r="H357" s="125"/>
      <c r="I357" s="45"/>
      <c r="J357" s="45"/>
    </row>
    <row r="358">
      <c r="A358" s="400"/>
      <c r="B358" s="327"/>
      <c r="C358" s="45"/>
      <c r="D358" s="14"/>
      <c r="E358" s="324"/>
      <c r="F358" s="325"/>
      <c r="G358" s="326"/>
      <c r="H358" s="43"/>
      <c r="I358" s="45"/>
      <c r="J358" s="45"/>
    </row>
    <row r="359">
      <c r="A359" s="400"/>
      <c r="B359" s="327"/>
      <c r="C359" s="45"/>
      <c r="D359" s="14"/>
      <c r="E359" s="324"/>
      <c r="F359" s="325"/>
      <c r="G359" s="326"/>
      <c r="H359" s="125"/>
      <c r="I359" s="45"/>
      <c r="J359" s="45"/>
    </row>
    <row r="360">
      <c r="A360" s="400"/>
      <c r="B360" s="327"/>
      <c r="C360" s="305"/>
      <c r="D360" s="328"/>
      <c r="E360" s="324"/>
      <c r="F360" s="325"/>
      <c r="G360" s="326"/>
      <c r="H360" s="125"/>
      <c r="I360" s="45"/>
      <c r="J360" s="45"/>
    </row>
    <row r="361">
      <c r="A361" s="400"/>
      <c r="B361" s="327"/>
      <c r="C361" s="305"/>
      <c r="D361" s="14"/>
      <c r="E361" s="324"/>
      <c r="F361" s="325"/>
      <c r="G361" s="326"/>
      <c r="H361" s="329"/>
      <c r="I361" s="53"/>
      <c r="J361" s="45"/>
    </row>
    <row r="362">
      <c r="A362" s="400"/>
      <c r="B362" s="327"/>
      <c r="C362" s="305"/>
      <c r="D362" s="14"/>
      <c r="E362" s="324"/>
      <c r="F362" s="325"/>
      <c r="G362" s="326"/>
      <c r="H362" s="125"/>
      <c r="I362" s="45"/>
      <c r="J362" s="45"/>
    </row>
    <row r="363">
      <c r="A363" s="400"/>
      <c r="B363" s="327"/>
      <c r="C363" s="305"/>
      <c r="D363" s="14"/>
      <c r="E363" s="324"/>
      <c r="F363" s="325"/>
      <c r="G363" s="326"/>
      <c r="H363" s="125"/>
      <c r="I363" s="45"/>
      <c r="J363" s="45"/>
    </row>
    <row r="364">
      <c r="A364" s="400"/>
      <c r="B364" s="327"/>
      <c r="C364" s="305"/>
      <c r="D364" s="328"/>
      <c r="E364" s="324"/>
      <c r="F364" s="325"/>
      <c r="G364" s="326"/>
      <c r="H364" s="125"/>
      <c r="I364" s="45"/>
      <c r="J364" s="45"/>
    </row>
    <row r="365">
      <c r="A365" s="400"/>
      <c r="B365" s="327"/>
      <c r="C365" s="45"/>
      <c r="D365" s="40"/>
      <c r="E365" s="324"/>
      <c r="F365" s="325"/>
      <c r="G365" s="326"/>
      <c r="H365" s="125"/>
      <c r="I365" s="22"/>
      <c r="J365" s="22"/>
    </row>
    <row r="366">
      <c r="A366" s="400"/>
      <c r="B366" s="327"/>
      <c r="C366" s="45"/>
      <c r="D366" s="14"/>
      <c r="E366" s="324"/>
      <c r="F366" s="325"/>
      <c r="G366" s="326"/>
      <c r="H366" s="125"/>
      <c r="I366" s="45"/>
      <c r="J366" s="45"/>
    </row>
    <row r="367">
      <c r="A367" s="400"/>
      <c r="B367" s="327"/>
      <c r="C367" s="305"/>
      <c r="D367" s="328"/>
      <c r="E367" s="324"/>
      <c r="F367" s="325"/>
      <c r="G367" s="326"/>
      <c r="H367" s="125"/>
      <c r="I367" s="45"/>
      <c r="J367" s="45"/>
    </row>
    <row r="368">
      <c r="A368" s="400"/>
      <c r="B368" s="327"/>
      <c r="C368" s="305"/>
      <c r="D368" s="14"/>
      <c r="E368" s="324"/>
      <c r="F368" s="325"/>
      <c r="G368" s="326"/>
      <c r="H368" s="326"/>
      <c r="I368" s="45"/>
      <c r="J368" s="45"/>
    </row>
    <row r="369">
      <c r="A369" s="400"/>
      <c r="B369" s="327"/>
      <c r="C369" s="305"/>
      <c r="D369" s="328"/>
      <c r="E369" s="324"/>
      <c r="F369" s="325"/>
      <c r="G369" s="326"/>
      <c r="H369" s="125"/>
      <c r="I369" s="45"/>
      <c r="J369" s="45"/>
    </row>
    <row r="370">
      <c r="A370" s="400"/>
      <c r="B370" s="327"/>
      <c r="C370" s="305"/>
      <c r="D370" s="14"/>
      <c r="E370" s="324"/>
      <c r="F370" s="325"/>
      <c r="G370" s="326"/>
      <c r="H370" s="62"/>
      <c r="I370" s="45"/>
      <c r="J370" s="45"/>
    </row>
    <row r="371">
      <c r="A371" s="400"/>
      <c r="B371" s="327"/>
      <c r="C371" s="305"/>
      <c r="D371" s="14"/>
      <c r="E371" s="324"/>
      <c r="F371" s="325"/>
      <c r="G371" s="326"/>
      <c r="H371" s="125"/>
      <c r="I371" s="45"/>
      <c r="J371" s="45"/>
    </row>
    <row r="372">
      <c r="A372" s="400"/>
      <c r="B372" s="327"/>
      <c r="C372" s="305"/>
      <c r="D372" s="328"/>
      <c r="E372" s="212"/>
      <c r="F372" s="114"/>
      <c r="G372" s="62"/>
      <c r="H372" s="43"/>
      <c r="I372" s="45"/>
      <c r="J372" s="45"/>
    </row>
    <row r="373">
      <c r="A373" s="400"/>
      <c r="B373" s="330"/>
      <c r="C373" s="331"/>
      <c r="D373" s="299"/>
      <c r="E373" s="300"/>
      <c r="F373" s="301"/>
      <c r="G373" s="320"/>
      <c r="H373" s="332"/>
      <c r="I373" s="298"/>
      <c r="J373" s="298"/>
    </row>
    <row r="374">
      <c r="A374" s="400"/>
      <c r="B374" s="323"/>
      <c r="C374" s="305"/>
      <c r="D374" s="170"/>
      <c r="E374" s="333"/>
      <c r="F374" s="334"/>
      <c r="G374" s="224"/>
      <c r="H374" s="169"/>
      <c r="I374" s="39"/>
      <c r="J374" s="45"/>
    </row>
    <row r="375">
      <c r="A375" s="400"/>
      <c r="B375" s="323"/>
      <c r="C375" s="305"/>
      <c r="D375" s="40"/>
      <c r="E375" s="212"/>
      <c r="F375" s="114"/>
      <c r="G375" s="62"/>
      <c r="H375" s="43"/>
      <c r="I375" s="45"/>
      <c r="J375" s="45"/>
    </row>
    <row r="376">
      <c r="A376" s="400"/>
      <c r="B376" s="323"/>
      <c r="C376" s="305"/>
      <c r="D376" s="40"/>
      <c r="E376" s="212"/>
      <c r="F376" s="114"/>
      <c r="G376" s="62"/>
      <c r="H376" s="43"/>
      <c r="I376" s="45"/>
      <c r="J376" s="45"/>
    </row>
    <row r="377">
      <c r="A377" s="400"/>
      <c r="B377" s="323"/>
      <c r="C377" s="305"/>
      <c r="D377" s="40"/>
      <c r="E377" s="212"/>
      <c r="F377" s="114"/>
      <c r="G377" s="62"/>
      <c r="H377" s="43"/>
      <c r="I377" s="45"/>
      <c r="J377" s="45"/>
    </row>
    <row r="378">
      <c r="A378" s="360"/>
      <c r="B378" s="38"/>
      <c r="C378" s="305"/>
      <c r="D378" s="335"/>
      <c r="E378" s="212"/>
      <c r="F378" s="114"/>
      <c r="G378" s="62"/>
      <c r="H378" s="62"/>
      <c r="I378" s="45"/>
      <c r="J378" s="45"/>
    </row>
    <row r="379">
      <c r="A379" s="360"/>
      <c r="B379" s="38"/>
      <c r="C379" s="45"/>
      <c r="D379" s="40"/>
      <c r="E379" s="212"/>
      <c r="F379" s="114"/>
      <c r="G379" s="62"/>
      <c r="H379" s="62"/>
      <c r="I379" s="152"/>
      <c r="J379" s="152"/>
    </row>
    <row r="380">
      <c r="A380" s="360"/>
      <c r="B380" s="38"/>
      <c r="C380" s="45"/>
      <c r="D380" s="40"/>
      <c r="E380" s="212"/>
      <c r="F380" s="114"/>
      <c r="G380" s="62"/>
      <c r="H380" s="62"/>
      <c r="I380" s="152"/>
      <c r="J380" s="152"/>
    </row>
    <row r="381">
      <c r="A381" s="360"/>
      <c r="B381" s="38"/>
      <c r="C381" s="305"/>
      <c r="D381" s="40"/>
      <c r="E381" s="212"/>
      <c r="F381" s="114"/>
      <c r="G381" s="62"/>
      <c r="H381" s="62"/>
      <c r="I381" s="152"/>
      <c r="J381" s="152"/>
    </row>
    <row r="382">
      <c r="A382" s="360"/>
      <c r="B382" s="38"/>
      <c r="C382" s="45"/>
      <c r="D382" s="40"/>
      <c r="E382" s="212"/>
      <c r="F382" s="114"/>
      <c r="G382" s="62"/>
      <c r="H382" s="62"/>
      <c r="I382" s="152"/>
      <c r="J382" s="152"/>
    </row>
    <row r="383">
      <c r="A383" s="360"/>
      <c r="B383" s="38"/>
      <c r="C383" s="305"/>
      <c r="D383" s="40"/>
      <c r="E383" s="212"/>
      <c r="F383" s="114"/>
      <c r="G383" s="62"/>
      <c r="H383" s="62"/>
      <c r="I383" s="152"/>
      <c r="J383" s="152"/>
    </row>
    <row r="384">
      <c r="A384" s="360"/>
      <c r="B384" s="38"/>
      <c r="C384" s="305"/>
      <c r="D384" s="40"/>
      <c r="E384" s="212"/>
      <c r="F384" s="114"/>
      <c r="G384" s="62"/>
      <c r="H384" s="62"/>
      <c r="I384" s="152"/>
      <c r="J384" s="152"/>
    </row>
    <row r="385">
      <c r="A385" s="360"/>
      <c r="B385" s="38"/>
      <c r="C385" s="45"/>
      <c r="D385" s="40"/>
      <c r="E385" s="212"/>
      <c r="F385" s="114"/>
      <c r="G385" s="62"/>
      <c r="H385" s="62"/>
      <c r="I385" s="152"/>
      <c r="J385" s="152"/>
    </row>
    <row r="386">
      <c r="A386" s="360"/>
      <c r="B386" s="38"/>
      <c r="C386" s="45"/>
      <c r="D386" s="14"/>
      <c r="E386" s="324"/>
      <c r="F386" s="325"/>
      <c r="G386" s="326"/>
      <c r="H386" s="326"/>
      <c r="I386" s="152"/>
      <c r="J386" s="152"/>
    </row>
    <row r="387">
      <c r="A387" s="360"/>
      <c r="B387" s="38"/>
      <c r="C387" s="305"/>
      <c r="D387" s="40"/>
      <c r="E387" s="212"/>
      <c r="F387" s="114"/>
      <c r="G387" s="62"/>
      <c r="H387" s="43"/>
      <c r="I387" s="152"/>
      <c r="J387" s="152"/>
    </row>
    <row r="388">
      <c r="A388" s="360"/>
      <c r="B388" s="38"/>
      <c r="C388" s="305"/>
      <c r="D388" s="40"/>
      <c r="E388" s="212"/>
      <c r="F388" s="114"/>
      <c r="G388" s="62"/>
      <c r="H388" s="62"/>
      <c r="I388" s="152"/>
      <c r="J388" s="152"/>
    </row>
    <row r="389">
      <c r="A389" s="360"/>
      <c r="B389" s="38"/>
      <c r="C389" s="305"/>
      <c r="D389" s="40"/>
      <c r="E389" s="212"/>
      <c r="F389" s="114"/>
      <c r="G389" s="62"/>
      <c r="H389" s="62"/>
      <c r="I389" s="152"/>
      <c r="J389" s="152"/>
    </row>
    <row r="390">
      <c r="A390" s="360"/>
      <c r="B390" s="38"/>
      <c r="C390" s="305"/>
      <c r="D390" s="40"/>
      <c r="E390" s="212"/>
      <c r="F390" s="114"/>
      <c r="G390" s="62"/>
      <c r="H390" s="62"/>
      <c r="I390" s="152"/>
      <c r="J390" s="152"/>
    </row>
    <row r="391">
      <c r="A391" s="360"/>
      <c r="B391" s="38"/>
      <c r="C391" s="305"/>
      <c r="D391" s="40"/>
      <c r="E391" s="212"/>
      <c r="F391" s="114"/>
      <c r="G391" s="62"/>
      <c r="H391" s="43"/>
      <c r="I391" s="152"/>
      <c r="J391" s="152"/>
    </row>
    <row r="392">
      <c r="A392" s="360"/>
      <c r="B392" s="38"/>
      <c r="C392" s="305"/>
      <c r="D392" s="40"/>
      <c r="E392" s="212"/>
      <c r="F392" s="114"/>
      <c r="G392" s="62"/>
      <c r="H392" s="62"/>
      <c r="I392" s="152"/>
      <c r="J392" s="152"/>
    </row>
    <row r="393">
      <c r="A393" s="360"/>
      <c r="B393" s="38"/>
      <c r="C393" s="305"/>
      <c r="D393" s="40"/>
      <c r="E393" s="212"/>
      <c r="F393" s="114"/>
      <c r="G393" s="62"/>
      <c r="H393" s="62"/>
      <c r="I393" s="152"/>
      <c r="J393" s="152"/>
    </row>
    <row r="394">
      <c r="A394" s="360"/>
      <c r="B394" s="38"/>
      <c r="C394" s="45"/>
      <c r="D394" s="14"/>
      <c r="E394" s="324"/>
      <c r="F394" s="325"/>
      <c r="G394" s="326"/>
      <c r="H394" s="329"/>
      <c r="I394" s="53"/>
      <c r="J394" s="152"/>
    </row>
    <row r="395">
      <c r="A395" s="360"/>
      <c r="B395" s="38"/>
      <c r="C395" s="305"/>
      <c r="D395" s="40"/>
      <c r="E395" s="212"/>
      <c r="F395" s="114"/>
      <c r="G395" s="62"/>
      <c r="H395" s="296"/>
      <c r="I395" s="53"/>
      <c r="J395" s="152"/>
    </row>
    <row r="396">
      <c r="A396" s="360"/>
      <c r="B396" s="38"/>
      <c r="C396" s="305"/>
      <c r="D396" s="40"/>
      <c r="E396" s="212"/>
      <c r="F396" s="114"/>
      <c r="G396" s="62"/>
      <c r="H396" s="62"/>
      <c r="I396" s="152"/>
      <c r="J396" s="152"/>
    </row>
    <row r="397">
      <c r="A397" s="360"/>
      <c r="B397" s="38"/>
      <c r="C397" s="305"/>
      <c r="D397" s="40"/>
      <c r="E397" s="212"/>
      <c r="F397" s="114"/>
      <c r="G397" s="62"/>
      <c r="H397" s="62"/>
      <c r="I397" s="152"/>
      <c r="J397" s="152"/>
    </row>
    <row r="398">
      <c r="A398" s="360"/>
      <c r="B398" s="38"/>
      <c r="C398" s="305"/>
      <c r="D398" s="40"/>
      <c r="E398" s="212"/>
      <c r="F398" s="114"/>
      <c r="G398" s="62"/>
      <c r="H398" s="43"/>
      <c r="I398" s="152"/>
      <c r="J398" s="152"/>
    </row>
    <row r="399">
      <c r="A399" s="360"/>
      <c r="B399" s="38"/>
      <c r="C399" s="305"/>
      <c r="D399" s="40"/>
      <c r="E399" s="212"/>
      <c r="F399" s="114"/>
      <c r="G399" s="62"/>
      <c r="H399" s="43"/>
      <c r="I399" s="152"/>
      <c r="J399" s="152"/>
    </row>
    <row r="400">
      <c r="A400" s="360"/>
      <c r="B400" s="38"/>
      <c r="C400" s="305"/>
      <c r="D400" s="40"/>
      <c r="E400" s="212"/>
      <c r="F400" s="114"/>
      <c r="G400" s="62"/>
      <c r="H400" s="43"/>
      <c r="I400" s="152"/>
      <c r="J400" s="152"/>
    </row>
    <row r="401">
      <c r="A401" s="360"/>
      <c r="B401" s="38"/>
      <c r="C401" s="305"/>
      <c r="D401" s="40"/>
      <c r="E401" s="212"/>
      <c r="F401" s="114"/>
      <c r="G401" s="62"/>
      <c r="H401" s="43"/>
      <c r="I401" s="152"/>
      <c r="J401" s="152"/>
    </row>
    <row r="402">
      <c r="A402" s="360"/>
      <c r="B402" s="38"/>
      <c r="C402" s="305"/>
      <c r="D402" s="336"/>
      <c r="E402" s="212"/>
      <c r="F402" s="114"/>
      <c r="G402" s="62"/>
      <c r="H402" s="62"/>
      <c r="I402" s="152"/>
      <c r="J402" s="152"/>
    </row>
    <row r="403">
      <c r="A403" s="360"/>
      <c r="B403" s="38"/>
      <c r="C403" s="45"/>
      <c r="D403" s="336"/>
      <c r="E403" s="212"/>
      <c r="F403" s="114"/>
      <c r="G403" s="62"/>
      <c r="H403" s="62"/>
      <c r="I403" s="152"/>
      <c r="J403" s="152"/>
    </row>
    <row r="404">
      <c r="A404" s="360"/>
      <c r="B404" s="38"/>
      <c r="C404" s="45"/>
      <c r="D404" s="40"/>
      <c r="E404" s="212"/>
      <c r="F404" s="114"/>
      <c r="G404" s="62"/>
      <c r="H404" s="62"/>
      <c r="I404" s="152"/>
      <c r="J404" s="152"/>
    </row>
    <row r="405">
      <c r="A405" s="360"/>
      <c r="B405" s="297"/>
      <c r="C405" s="331"/>
      <c r="D405" s="299"/>
      <c r="E405" s="300"/>
      <c r="F405" s="301"/>
      <c r="G405" s="320"/>
      <c r="H405" s="332"/>
      <c r="I405" s="304"/>
      <c r="J405" s="304"/>
    </row>
    <row r="406">
      <c r="A406" s="360"/>
      <c r="B406" s="38"/>
      <c r="C406" s="45"/>
      <c r="D406" s="336"/>
      <c r="E406" s="41"/>
      <c r="F406" s="42"/>
      <c r="G406" s="43"/>
      <c r="H406" s="62"/>
      <c r="I406" s="152"/>
      <c r="J406" s="152"/>
    </row>
    <row r="407">
      <c r="A407" s="360"/>
      <c r="B407" s="38"/>
      <c r="C407" s="45"/>
      <c r="D407" s="40"/>
      <c r="E407" s="41"/>
      <c r="F407" s="42"/>
      <c r="G407" s="43"/>
      <c r="H407" s="43"/>
      <c r="I407" s="152"/>
      <c r="J407" s="152"/>
    </row>
    <row r="408">
      <c r="A408" s="360"/>
      <c r="B408" s="38"/>
      <c r="C408" s="45"/>
      <c r="D408" s="40"/>
      <c r="E408" s="41"/>
      <c r="F408" s="42"/>
      <c r="G408" s="43"/>
      <c r="H408" s="62"/>
      <c r="I408" s="152"/>
      <c r="J408" s="152"/>
    </row>
    <row r="409">
      <c r="A409" s="360"/>
      <c r="B409" s="38"/>
      <c r="C409" s="45"/>
      <c r="D409" s="40"/>
      <c r="E409" s="41"/>
      <c r="F409" s="42"/>
      <c r="G409" s="43"/>
      <c r="H409" s="62"/>
      <c r="I409" s="152"/>
      <c r="J409" s="152"/>
    </row>
    <row r="410">
      <c r="A410" s="360"/>
      <c r="B410" s="38"/>
      <c r="C410" s="45"/>
      <c r="D410" s="40"/>
      <c r="E410" s="41"/>
      <c r="F410" s="42"/>
      <c r="G410" s="43"/>
      <c r="H410" s="43"/>
      <c r="I410" s="152"/>
      <c r="J410" s="152"/>
    </row>
    <row r="411">
      <c r="A411" s="360"/>
      <c r="B411" s="38"/>
      <c r="C411" s="45"/>
      <c r="D411" s="40"/>
      <c r="E411" s="41"/>
      <c r="F411" s="42"/>
      <c r="G411" s="43"/>
      <c r="H411" s="43"/>
      <c r="I411" s="152"/>
      <c r="J411" s="152"/>
    </row>
    <row r="412">
      <c r="A412" s="360"/>
      <c r="B412" s="38"/>
      <c r="C412" s="45"/>
      <c r="D412" s="40"/>
      <c r="E412" s="41"/>
      <c r="F412" s="42"/>
      <c r="G412" s="43"/>
      <c r="H412" s="43"/>
      <c r="I412" s="152"/>
      <c r="J412" s="152"/>
    </row>
    <row r="413">
      <c r="A413" s="360"/>
      <c r="B413" s="38"/>
      <c r="C413" s="45"/>
      <c r="D413" s="40"/>
      <c r="E413" s="41"/>
      <c r="F413" s="42"/>
      <c r="G413" s="43"/>
      <c r="H413" s="43"/>
      <c r="I413" s="152"/>
      <c r="J413" s="152"/>
    </row>
    <row r="414">
      <c r="A414" s="360"/>
      <c r="B414" s="38"/>
      <c r="C414" s="45"/>
      <c r="D414" s="40"/>
      <c r="E414" s="41"/>
      <c r="F414" s="42"/>
      <c r="G414" s="43"/>
      <c r="H414" s="62"/>
      <c r="I414" s="152"/>
      <c r="J414" s="152"/>
    </row>
    <row r="415">
      <c r="A415" s="360"/>
      <c r="B415" s="38"/>
      <c r="C415" s="45"/>
      <c r="D415" s="40"/>
      <c r="E415" s="41"/>
      <c r="F415" s="42"/>
      <c r="G415" s="43"/>
      <c r="H415" s="62"/>
      <c r="I415" s="152"/>
      <c r="J415" s="152"/>
    </row>
    <row r="416">
      <c r="A416" s="360"/>
      <c r="B416" s="38"/>
      <c r="C416" s="45"/>
      <c r="D416" s="40"/>
      <c r="E416" s="212"/>
      <c r="F416" s="114"/>
      <c r="G416" s="62"/>
      <c r="H416" s="43"/>
      <c r="I416" s="152"/>
      <c r="J416" s="152"/>
    </row>
    <row r="417">
      <c r="A417" s="360"/>
      <c r="B417" s="38"/>
      <c r="C417" s="45"/>
      <c r="D417" s="40"/>
      <c r="E417" s="41"/>
      <c r="F417" s="42"/>
      <c r="G417" s="43"/>
      <c r="H417" s="43"/>
      <c r="I417" s="152"/>
      <c r="J417" s="152"/>
    </row>
    <row r="418">
      <c r="A418" s="360"/>
      <c r="B418" s="38"/>
      <c r="C418" s="45"/>
      <c r="D418" s="40"/>
      <c r="E418" s="41"/>
      <c r="F418" s="42"/>
      <c r="G418" s="43"/>
      <c r="H418" s="62"/>
      <c r="I418" s="152"/>
      <c r="J418" s="152"/>
    </row>
    <row r="419">
      <c r="A419" s="360"/>
      <c r="B419" s="38"/>
      <c r="C419" s="45"/>
      <c r="D419" s="54"/>
      <c r="E419" s="41"/>
      <c r="F419" s="42"/>
      <c r="G419" s="43"/>
      <c r="H419" s="43"/>
      <c r="I419" s="152"/>
      <c r="J419" s="152"/>
    </row>
    <row r="420">
      <c r="A420" s="360"/>
      <c r="B420" s="38"/>
      <c r="C420" s="45"/>
      <c r="D420" s="40"/>
      <c r="E420" s="41"/>
      <c r="F420" s="42"/>
      <c r="G420" s="43"/>
      <c r="H420" s="43"/>
      <c r="I420" s="152"/>
      <c r="J420" s="152"/>
    </row>
    <row r="421">
      <c r="A421" s="360"/>
      <c r="B421" s="38"/>
      <c r="C421" s="45"/>
      <c r="D421" s="40"/>
      <c r="E421" s="41"/>
      <c r="F421" s="42"/>
      <c r="G421" s="43"/>
      <c r="H421" s="62"/>
      <c r="I421" s="152"/>
      <c r="J421" s="152"/>
    </row>
    <row r="422">
      <c r="A422" s="360"/>
      <c r="B422" s="38"/>
      <c r="C422" s="45"/>
      <c r="D422" s="40"/>
      <c r="E422" s="41"/>
      <c r="F422" s="42"/>
      <c r="G422" s="43"/>
      <c r="H422" s="43"/>
      <c r="I422" s="152"/>
      <c r="J422" s="152"/>
    </row>
    <row r="423">
      <c r="A423" s="360"/>
      <c r="B423" s="38"/>
      <c r="C423" s="45"/>
      <c r="D423" s="40"/>
      <c r="E423" s="41"/>
      <c r="F423" s="42"/>
      <c r="G423" s="43"/>
      <c r="H423" s="43"/>
      <c r="I423" s="152"/>
      <c r="J423" s="152"/>
    </row>
    <row r="424">
      <c r="A424" s="360"/>
      <c r="B424" s="38"/>
      <c r="C424" s="337"/>
      <c r="D424" s="54"/>
      <c r="E424" s="41"/>
      <c r="F424" s="42"/>
      <c r="G424" s="43"/>
      <c r="H424" s="43"/>
      <c r="I424" s="152"/>
      <c r="J424" s="152"/>
    </row>
    <row r="425">
      <c r="A425" s="360"/>
      <c r="B425" s="38"/>
      <c r="C425" s="45"/>
      <c r="D425" s="54"/>
      <c r="E425" s="41"/>
      <c r="F425" s="42"/>
      <c r="G425" s="43"/>
      <c r="H425" s="62"/>
      <c r="I425" s="152"/>
      <c r="J425" s="152"/>
    </row>
    <row r="426">
      <c r="A426" s="360"/>
      <c r="B426" s="38"/>
      <c r="C426" s="45"/>
      <c r="D426" s="40"/>
      <c r="E426" s="41"/>
      <c r="F426" s="42"/>
      <c r="G426" s="43"/>
      <c r="H426" s="43"/>
      <c r="I426" s="152"/>
      <c r="J426" s="152"/>
    </row>
    <row r="427">
      <c r="A427" s="401"/>
      <c r="B427" s="337"/>
      <c r="C427" s="337"/>
      <c r="D427" s="338"/>
      <c r="E427" s="339"/>
      <c r="F427" s="340"/>
      <c r="G427" s="341"/>
      <c r="H427" s="341"/>
      <c r="I427" s="342"/>
      <c r="J427" s="342"/>
    </row>
    <row r="428">
      <c r="A428" s="401"/>
      <c r="B428" s="337"/>
      <c r="C428" s="337"/>
      <c r="D428" s="338"/>
      <c r="E428" s="339"/>
      <c r="F428" s="340"/>
      <c r="G428" s="341"/>
      <c r="H428" s="341"/>
      <c r="I428" s="342"/>
      <c r="J428" s="342"/>
    </row>
    <row r="429">
      <c r="A429" s="401"/>
      <c r="B429" s="337"/>
      <c r="C429" s="337"/>
      <c r="D429" s="338"/>
      <c r="E429" s="339"/>
      <c r="F429" s="340"/>
      <c r="G429" s="341"/>
      <c r="H429" s="341"/>
      <c r="I429" s="342"/>
      <c r="J429" s="342"/>
    </row>
    <row r="430">
      <c r="A430" s="401"/>
      <c r="B430" s="337"/>
      <c r="C430" s="337"/>
      <c r="D430" s="338"/>
      <c r="E430" s="339"/>
      <c r="F430" s="340"/>
      <c r="G430" s="341"/>
      <c r="H430" s="341"/>
      <c r="I430" s="342"/>
      <c r="J430" s="342"/>
    </row>
    <row r="431">
      <c r="A431" s="401"/>
      <c r="B431" s="337"/>
      <c r="C431" s="337"/>
      <c r="D431" s="338"/>
      <c r="E431" s="339"/>
      <c r="F431" s="340"/>
      <c r="G431" s="341"/>
      <c r="H431" s="341"/>
      <c r="I431" s="342"/>
      <c r="J431" s="342"/>
    </row>
    <row r="432">
      <c r="A432" s="401"/>
      <c r="B432" s="337"/>
      <c r="C432" s="337"/>
      <c r="D432" s="338"/>
      <c r="E432" s="339"/>
      <c r="F432" s="340"/>
      <c r="G432" s="341"/>
      <c r="H432" s="341"/>
      <c r="I432" s="342"/>
      <c r="J432" s="342"/>
    </row>
    <row r="433">
      <c r="A433" s="401"/>
      <c r="B433" s="337"/>
      <c r="C433" s="337"/>
      <c r="D433" s="338"/>
      <c r="E433" s="339"/>
      <c r="F433" s="340"/>
      <c r="G433" s="341"/>
      <c r="H433" s="341"/>
      <c r="I433" s="342"/>
      <c r="J433" s="342"/>
    </row>
    <row r="434">
      <c r="A434" s="401"/>
      <c r="B434" s="337"/>
      <c r="C434" s="337"/>
      <c r="D434" s="338"/>
      <c r="E434" s="339"/>
      <c r="F434" s="340"/>
      <c r="G434" s="341"/>
      <c r="H434" s="341"/>
      <c r="I434" s="342"/>
      <c r="J434" s="342"/>
    </row>
    <row r="435">
      <c r="A435" s="401"/>
      <c r="B435" s="337"/>
      <c r="C435" s="337"/>
      <c r="D435" s="338"/>
      <c r="E435" s="339"/>
      <c r="F435" s="340"/>
      <c r="G435" s="341"/>
      <c r="H435" s="341"/>
      <c r="I435" s="342"/>
      <c r="J435" s="342"/>
    </row>
    <row r="436">
      <c r="A436" s="401"/>
      <c r="B436" s="337"/>
      <c r="C436" s="337"/>
      <c r="D436" s="338"/>
      <c r="E436" s="339"/>
      <c r="F436" s="340"/>
      <c r="G436" s="341"/>
      <c r="H436" s="341"/>
      <c r="I436" s="342"/>
      <c r="J436" s="342"/>
    </row>
    <row r="437">
      <c r="A437" s="401"/>
      <c r="B437" s="337"/>
      <c r="C437" s="337"/>
      <c r="D437" s="338"/>
      <c r="E437" s="339"/>
      <c r="F437" s="340"/>
      <c r="G437" s="341"/>
      <c r="H437" s="341"/>
      <c r="I437" s="342"/>
      <c r="J437" s="342"/>
    </row>
    <row r="438">
      <c r="A438" s="401"/>
      <c r="B438" s="337"/>
      <c r="C438" s="337"/>
      <c r="D438" s="338"/>
      <c r="E438" s="339"/>
      <c r="F438" s="340"/>
      <c r="G438" s="341"/>
      <c r="H438" s="341"/>
      <c r="I438" s="342"/>
      <c r="J438" s="342"/>
    </row>
    <row r="439">
      <c r="A439" s="401"/>
      <c r="B439" s="337"/>
      <c r="C439" s="337"/>
      <c r="D439" s="338"/>
      <c r="E439" s="339"/>
      <c r="F439" s="340"/>
      <c r="G439" s="341"/>
      <c r="H439" s="341"/>
      <c r="I439" s="342"/>
      <c r="J439" s="342"/>
    </row>
    <row r="440">
      <c r="A440" s="401"/>
      <c r="B440" s="337"/>
      <c r="C440" s="337"/>
      <c r="D440" s="338"/>
      <c r="E440" s="339"/>
      <c r="F440" s="340"/>
      <c r="G440" s="341"/>
      <c r="H440" s="341"/>
      <c r="I440" s="342"/>
      <c r="J440" s="342"/>
    </row>
    <row r="441">
      <c r="A441" s="401"/>
      <c r="B441" s="337"/>
      <c r="C441" s="337"/>
      <c r="D441" s="338"/>
      <c r="E441" s="339"/>
      <c r="F441" s="340"/>
      <c r="G441" s="341"/>
      <c r="H441" s="341"/>
      <c r="I441" s="342"/>
      <c r="J441" s="342"/>
    </row>
    <row r="442">
      <c r="A442" s="401"/>
      <c r="B442" s="337"/>
      <c r="C442" s="337"/>
      <c r="D442" s="338"/>
      <c r="E442" s="339"/>
      <c r="F442" s="340"/>
      <c r="G442" s="341"/>
      <c r="H442" s="341"/>
      <c r="I442" s="342"/>
      <c r="J442" s="342"/>
    </row>
    <row r="443">
      <c r="A443" s="401"/>
      <c r="B443" s="337"/>
      <c r="C443" s="337"/>
      <c r="D443" s="338"/>
      <c r="E443" s="339"/>
      <c r="F443" s="340"/>
      <c r="G443" s="341"/>
      <c r="H443" s="341"/>
      <c r="I443" s="342"/>
      <c r="J443" s="342"/>
    </row>
    <row r="444">
      <c r="A444" s="401"/>
      <c r="B444" s="337"/>
      <c r="C444" s="337"/>
      <c r="D444" s="338"/>
      <c r="E444" s="339"/>
      <c r="F444" s="340"/>
      <c r="G444" s="341"/>
      <c r="H444" s="341"/>
      <c r="I444" s="342"/>
      <c r="J444" s="342"/>
    </row>
    <row r="445">
      <c r="A445" s="401"/>
      <c r="B445" s="337"/>
      <c r="C445" s="337"/>
      <c r="D445" s="338"/>
      <c r="E445" s="339"/>
      <c r="F445" s="340"/>
      <c r="G445" s="341"/>
      <c r="H445" s="341"/>
      <c r="I445" s="342"/>
      <c r="J445" s="342"/>
    </row>
    <row r="446">
      <c r="A446" s="401"/>
      <c r="B446" s="337"/>
      <c r="C446" s="337"/>
      <c r="D446" s="338"/>
      <c r="E446" s="339"/>
      <c r="F446" s="340"/>
      <c r="G446" s="341"/>
      <c r="H446" s="341"/>
      <c r="I446" s="342"/>
      <c r="J446" s="342"/>
    </row>
    <row r="447">
      <c r="A447" s="401"/>
      <c r="B447" s="337"/>
      <c r="C447" s="337"/>
      <c r="D447" s="338"/>
      <c r="E447" s="339"/>
      <c r="F447" s="340"/>
      <c r="G447" s="341"/>
      <c r="H447" s="341"/>
      <c r="I447" s="342"/>
      <c r="J447" s="342"/>
    </row>
    <row r="448">
      <c r="A448" s="401"/>
      <c r="B448" s="337"/>
      <c r="C448" s="337"/>
      <c r="D448" s="338"/>
      <c r="E448" s="339"/>
      <c r="F448" s="340"/>
      <c r="G448" s="341"/>
      <c r="H448" s="341"/>
      <c r="I448" s="342"/>
      <c r="J448" s="342"/>
    </row>
    <row r="449">
      <c r="A449" s="401"/>
      <c r="B449" s="337"/>
      <c r="C449" s="337"/>
      <c r="D449" s="338"/>
      <c r="E449" s="339"/>
      <c r="F449" s="340"/>
      <c r="G449" s="341"/>
      <c r="H449" s="341"/>
      <c r="I449" s="342"/>
      <c r="J449" s="342"/>
    </row>
    <row r="450">
      <c r="A450" s="401"/>
      <c r="B450" s="337"/>
      <c r="C450" s="337"/>
      <c r="D450" s="338"/>
      <c r="E450" s="339"/>
      <c r="F450" s="340"/>
      <c r="G450" s="341"/>
      <c r="H450" s="341"/>
      <c r="I450" s="342"/>
      <c r="J450" s="342"/>
    </row>
    <row r="451">
      <c r="A451" s="401"/>
      <c r="B451" s="337"/>
      <c r="C451" s="337"/>
      <c r="D451" s="338"/>
      <c r="E451" s="339"/>
      <c r="F451" s="340"/>
      <c r="G451" s="341"/>
      <c r="H451" s="341"/>
      <c r="I451" s="342"/>
      <c r="J451" s="342"/>
    </row>
    <row r="452">
      <c r="A452" s="401"/>
      <c r="B452" s="337"/>
      <c r="C452" s="337"/>
      <c r="D452" s="338"/>
      <c r="E452" s="339"/>
      <c r="F452" s="340"/>
      <c r="G452" s="341"/>
      <c r="H452" s="341"/>
      <c r="I452" s="342"/>
      <c r="J452" s="342"/>
    </row>
    <row r="453">
      <c r="A453" s="401"/>
      <c r="B453" s="337"/>
      <c r="C453" s="337"/>
      <c r="D453" s="338"/>
      <c r="E453" s="339"/>
      <c r="F453" s="340"/>
      <c r="G453" s="341"/>
      <c r="H453" s="341"/>
      <c r="I453" s="342"/>
      <c r="J453" s="342"/>
    </row>
    <row r="454">
      <c r="A454" s="401"/>
      <c r="B454" s="337"/>
      <c r="C454" s="337"/>
      <c r="D454" s="338"/>
      <c r="E454" s="339"/>
      <c r="F454" s="340"/>
      <c r="G454" s="341"/>
      <c r="H454" s="341"/>
      <c r="I454" s="342"/>
      <c r="J454" s="342"/>
    </row>
    <row r="455">
      <c r="A455" s="401"/>
      <c r="B455" s="337"/>
      <c r="C455" s="337"/>
      <c r="D455" s="338"/>
      <c r="E455" s="339"/>
      <c r="F455" s="340"/>
      <c r="G455" s="341"/>
      <c r="H455" s="341"/>
      <c r="I455" s="342"/>
      <c r="J455" s="342"/>
    </row>
    <row r="456">
      <c r="A456" s="401"/>
      <c r="B456" s="337"/>
      <c r="C456" s="337"/>
      <c r="D456" s="338"/>
      <c r="E456" s="339"/>
      <c r="F456" s="340"/>
      <c r="G456" s="341"/>
      <c r="H456" s="341"/>
      <c r="I456" s="342"/>
      <c r="J456" s="342"/>
    </row>
    <row r="457">
      <c r="A457" s="401"/>
      <c r="B457" s="337"/>
      <c r="C457" s="337"/>
      <c r="D457" s="338"/>
      <c r="E457" s="339"/>
      <c r="F457" s="340"/>
      <c r="G457" s="341"/>
      <c r="H457" s="341"/>
      <c r="I457" s="342"/>
      <c r="J457" s="342"/>
    </row>
    <row r="458">
      <c r="A458" s="401"/>
      <c r="B458" s="337"/>
      <c r="C458" s="337"/>
      <c r="D458" s="338"/>
      <c r="E458" s="339"/>
      <c r="F458" s="340"/>
      <c r="G458" s="341"/>
      <c r="H458" s="341"/>
      <c r="I458" s="342"/>
      <c r="J458" s="342"/>
    </row>
    <row r="459">
      <c r="A459" s="401"/>
      <c r="B459" s="337"/>
      <c r="C459" s="337"/>
      <c r="D459" s="338"/>
      <c r="E459" s="339"/>
      <c r="F459" s="340"/>
      <c r="G459" s="341"/>
      <c r="H459" s="341"/>
      <c r="I459" s="342"/>
      <c r="J459" s="342"/>
    </row>
    <row r="460">
      <c r="A460" s="401"/>
      <c r="B460" s="337"/>
      <c r="C460" s="337"/>
      <c r="D460" s="338"/>
      <c r="E460" s="339"/>
      <c r="F460" s="340"/>
      <c r="G460" s="341"/>
      <c r="H460" s="341"/>
      <c r="I460" s="342"/>
      <c r="J460" s="342"/>
    </row>
    <row r="461">
      <c r="A461" s="401"/>
      <c r="B461" s="337"/>
      <c r="C461" s="337"/>
      <c r="D461" s="338"/>
      <c r="E461" s="339"/>
      <c r="F461" s="340"/>
      <c r="G461" s="341"/>
      <c r="H461" s="341"/>
      <c r="I461" s="342"/>
      <c r="J461" s="342"/>
    </row>
    <row r="462">
      <c r="A462" s="401"/>
      <c r="B462" s="337"/>
      <c r="C462" s="337"/>
      <c r="D462" s="338"/>
      <c r="E462" s="339"/>
      <c r="F462" s="340"/>
      <c r="G462" s="341"/>
      <c r="H462" s="341"/>
      <c r="I462" s="342"/>
      <c r="J462" s="342"/>
    </row>
    <row r="463">
      <c r="A463" s="401"/>
      <c r="B463" s="337"/>
      <c r="C463" s="337"/>
      <c r="D463" s="338"/>
      <c r="E463" s="339"/>
      <c r="F463" s="340"/>
      <c r="G463" s="341"/>
      <c r="H463" s="341"/>
      <c r="I463" s="342"/>
      <c r="J463" s="342"/>
    </row>
    <row r="464">
      <c r="A464" s="401"/>
      <c r="B464" s="337"/>
      <c r="C464" s="337"/>
      <c r="D464" s="338"/>
      <c r="E464" s="339"/>
      <c r="F464" s="340"/>
      <c r="G464" s="341"/>
      <c r="H464" s="341"/>
      <c r="I464" s="342"/>
      <c r="J464" s="342"/>
    </row>
    <row r="465">
      <c r="A465" s="401"/>
      <c r="B465" s="337"/>
      <c r="C465" s="337"/>
      <c r="D465" s="338"/>
      <c r="E465" s="339"/>
      <c r="F465" s="340"/>
      <c r="G465" s="341"/>
      <c r="H465" s="341"/>
      <c r="I465" s="342"/>
      <c r="J465" s="342"/>
    </row>
    <row r="466">
      <c r="A466" s="401"/>
      <c r="B466" s="337"/>
      <c r="C466" s="337"/>
      <c r="D466" s="338"/>
      <c r="E466" s="339"/>
      <c r="F466" s="340"/>
      <c r="G466" s="341"/>
      <c r="H466" s="341"/>
      <c r="I466" s="342"/>
      <c r="J466" s="342"/>
    </row>
    <row r="467">
      <c r="A467" s="401"/>
      <c r="B467" s="337"/>
      <c r="C467" s="337"/>
      <c r="D467" s="338"/>
      <c r="E467" s="339"/>
      <c r="F467" s="340"/>
      <c r="G467" s="341"/>
      <c r="H467" s="341"/>
      <c r="I467" s="342"/>
      <c r="J467" s="342"/>
    </row>
    <row r="468">
      <c r="A468" s="401"/>
      <c r="B468" s="337"/>
      <c r="C468" s="337"/>
      <c r="D468" s="338"/>
      <c r="E468" s="339"/>
      <c r="F468" s="340"/>
      <c r="G468" s="341"/>
      <c r="H468" s="341"/>
      <c r="I468" s="342"/>
      <c r="J468" s="342"/>
    </row>
    <row r="469">
      <c r="A469" s="401"/>
      <c r="B469" s="337"/>
      <c r="C469" s="337"/>
      <c r="D469" s="338"/>
      <c r="E469" s="339"/>
      <c r="F469" s="340"/>
      <c r="G469" s="341"/>
      <c r="H469" s="341"/>
      <c r="I469" s="342"/>
      <c r="J469" s="342"/>
    </row>
    <row r="470">
      <c r="A470" s="401"/>
      <c r="B470" s="337"/>
      <c r="C470" s="337"/>
      <c r="D470" s="338"/>
      <c r="E470" s="339"/>
      <c r="F470" s="340"/>
      <c r="G470" s="341"/>
      <c r="H470" s="341"/>
      <c r="I470" s="342"/>
      <c r="J470" s="342"/>
    </row>
    <row r="471">
      <c r="A471" s="401"/>
      <c r="B471" s="337"/>
      <c r="C471" s="337"/>
      <c r="D471" s="338"/>
      <c r="E471" s="339"/>
      <c r="F471" s="340"/>
      <c r="G471" s="341"/>
      <c r="H471" s="341"/>
      <c r="I471" s="342"/>
      <c r="J471" s="342"/>
    </row>
    <row r="472">
      <c r="A472" s="401"/>
      <c r="B472" s="337"/>
      <c r="C472" s="337"/>
      <c r="D472" s="338"/>
      <c r="E472" s="339"/>
      <c r="F472" s="340"/>
      <c r="G472" s="341"/>
      <c r="H472" s="341"/>
      <c r="I472" s="342"/>
      <c r="J472" s="342"/>
    </row>
    <row r="473">
      <c r="A473" s="401"/>
      <c r="B473" s="337"/>
      <c r="C473" s="337"/>
      <c r="D473" s="338"/>
      <c r="E473" s="339"/>
      <c r="F473" s="340"/>
      <c r="G473" s="341"/>
      <c r="H473" s="341"/>
      <c r="I473" s="342"/>
      <c r="J473" s="342"/>
    </row>
    <row r="474">
      <c r="A474" s="401"/>
      <c r="B474" s="337"/>
      <c r="C474" s="337"/>
      <c r="D474" s="338"/>
      <c r="E474" s="339"/>
      <c r="F474" s="340"/>
      <c r="G474" s="341"/>
      <c r="H474" s="341"/>
      <c r="I474" s="342"/>
      <c r="J474" s="342"/>
    </row>
    <row r="475">
      <c r="A475" s="401"/>
      <c r="B475" s="337"/>
      <c r="C475" s="337"/>
      <c r="D475" s="338"/>
      <c r="E475" s="339"/>
      <c r="F475" s="340"/>
      <c r="G475" s="341"/>
      <c r="H475" s="341"/>
      <c r="I475" s="342"/>
      <c r="J475" s="342"/>
    </row>
    <row r="476">
      <c r="A476" s="401"/>
      <c r="B476" s="337"/>
      <c r="C476" s="337"/>
      <c r="D476" s="338"/>
      <c r="E476" s="339"/>
      <c r="F476" s="340"/>
      <c r="G476" s="341"/>
      <c r="H476" s="341"/>
      <c r="I476" s="342"/>
      <c r="J476" s="342"/>
    </row>
    <row r="477">
      <c r="A477" s="401"/>
      <c r="B477" s="337"/>
      <c r="C477" s="337"/>
      <c r="D477" s="338"/>
      <c r="E477" s="339"/>
      <c r="F477" s="340"/>
      <c r="G477" s="341"/>
      <c r="H477" s="341"/>
      <c r="I477" s="342"/>
      <c r="J477" s="342"/>
    </row>
    <row r="478">
      <c r="A478" s="401"/>
      <c r="B478" s="337"/>
      <c r="C478" s="337"/>
      <c r="D478" s="338"/>
      <c r="E478" s="339"/>
      <c r="F478" s="340"/>
      <c r="G478" s="341"/>
      <c r="H478" s="341"/>
      <c r="I478" s="342"/>
      <c r="J478" s="342"/>
    </row>
    <row r="479">
      <c r="A479" s="401"/>
      <c r="B479" s="337"/>
      <c r="C479" s="337"/>
      <c r="D479" s="338"/>
      <c r="E479" s="339"/>
      <c r="F479" s="340"/>
      <c r="G479" s="341"/>
      <c r="H479" s="341"/>
      <c r="I479" s="342"/>
      <c r="J479" s="342"/>
    </row>
    <row r="480">
      <c r="A480" s="401"/>
      <c r="B480" s="337"/>
      <c r="C480" s="337"/>
      <c r="D480" s="338"/>
      <c r="E480" s="339"/>
      <c r="F480" s="340"/>
      <c r="G480" s="341"/>
      <c r="H480" s="341"/>
      <c r="I480" s="342"/>
      <c r="J480" s="342"/>
    </row>
    <row r="481">
      <c r="A481" s="401"/>
      <c r="B481" s="337"/>
      <c r="C481" s="337"/>
      <c r="D481" s="338"/>
      <c r="E481" s="339"/>
      <c r="F481" s="340"/>
      <c r="G481" s="341"/>
      <c r="H481" s="341"/>
      <c r="I481" s="342"/>
      <c r="J481" s="342"/>
    </row>
    <row r="482">
      <c r="A482" s="401"/>
      <c r="B482" s="337"/>
      <c r="C482" s="337"/>
      <c r="D482" s="338"/>
      <c r="E482" s="339"/>
      <c r="F482" s="340"/>
      <c r="G482" s="341"/>
      <c r="H482" s="341"/>
      <c r="I482" s="342"/>
      <c r="J482" s="342"/>
    </row>
    <row r="483">
      <c r="A483" s="401"/>
      <c r="B483" s="337"/>
      <c r="C483" s="337"/>
      <c r="D483" s="338"/>
      <c r="E483" s="339"/>
      <c r="F483" s="340"/>
      <c r="G483" s="341"/>
      <c r="H483" s="341"/>
      <c r="I483" s="342"/>
      <c r="J483" s="342"/>
    </row>
    <row r="484">
      <c r="A484" s="401"/>
      <c r="B484" s="337"/>
      <c r="C484" s="337"/>
      <c r="D484" s="338"/>
      <c r="E484" s="339"/>
      <c r="F484" s="340"/>
      <c r="G484" s="341"/>
      <c r="H484" s="341"/>
      <c r="I484" s="342"/>
      <c r="J484" s="342"/>
    </row>
    <row r="485">
      <c r="A485" s="401"/>
      <c r="B485" s="337"/>
      <c r="C485" s="337"/>
      <c r="D485" s="338"/>
      <c r="E485" s="339"/>
      <c r="F485" s="340"/>
      <c r="G485" s="341"/>
      <c r="H485" s="341"/>
      <c r="I485" s="342"/>
      <c r="J485" s="342"/>
    </row>
    <row r="486">
      <c r="A486" s="401"/>
      <c r="B486" s="337"/>
      <c r="C486" s="337"/>
      <c r="D486" s="338"/>
      <c r="E486" s="339"/>
      <c r="F486" s="340"/>
      <c r="G486" s="341"/>
      <c r="H486" s="341"/>
      <c r="I486" s="342"/>
      <c r="J486" s="342"/>
    </row>
    <row r="487">
      <c r="A487" s="401"/>
      <c r="B487" s="337"/>
      <c r="C487" s="337"/>
      <c r="D487" s="338"/>
      <c r="E487" s="339"/>
      <c r="F487" s="340"/>
      <c r="G487" s="341"/>
      <c r="H487" s="341"/>
      <c r="I487" s="342"/>
      <c r="J487" s="342"/>
    </row>
    <row r="488">
      <c r="A488" s="401"/>
      <c r="B488" s="337"/>
      <c r="C488" s="337"/>
      <c r="D488" s="338"/>
      <c r="E488" s="339"/>
      <c r="F488" s="340"/>
      <c r="G488" s="341"/>
      <c r="H488" s="341"/>
      <c r="I488" s="342"/>
      <c r="J488" s="342"/>
    </row>
    <row r="489">
      <c r="A489" s="401"/>
      <c r="B489" s="337"/>
      <c r="C489" s="337"/>
      <c r="D489" s="338"/>
      <c r="E489" s="339"/>
      <c r="F489" s="340"/>
      <c r="G489" s="341"/>
      <c r="H489" s="341"/>
      <c r="I489" s="342"/>
      <c r="J489" s="342"/>
    </row>
    <row r="490">
      <c r="A490" s="401"/>
      <c r="B490" s="337"/>
      <c r="C490" s="337"/>
      <c r="D490" s="338"/>
      <c r="E490" s="339"/>
      <c r="F490" s="340"/>
      <c r="G490" s="341"/>
      <c r="H490" s="341"/>
      <c r="I490" s="342"/>
      <c r="J490" s="342"/>
    </row>
    <row r="491">
      <c r="A491" s="401"/>
      <c r="B491" s="337"/>
      <c r="C491" s="337"/>
      <c r="D491" s="338"/>
      <c r="E491" s="339"/>
      <c r="F491" s="340"/>
      <c r="G491" s="341"/>
      <c r="H491" s="341"/>
      <c r="I491" s="342"/>
      <c r="J491" s="342"/>
    </row>
    <row r="492">
      <c r="A492" s="401"/>
      <c r="B492" s="337"/>
      <c r="C492" s="337"/>
      <c r="D492" s="338"/>
      <c r="E492" s="339"/>
      <c r="F492" s="340"/>
      <c r="G492" s="341"/>
      <c r="H492" s="341"/>
      <c r="I492" s="342"/>
      <c r="J492" s="342"/>
    </row>
    <row r="493">
      <c r="A493" s="401"/>
      <c r="B493" s="337"/>
      <c r="C493" s="337"/>
      <c r="D493" s="338"/>
      <c r="E493" s="339"/>
      <c r="F493" s="340"/>
      <c r="G493" s="341"/>
      <c r="H493" s="341"/>
      <c r="I493" s="342"/>
      <c r="J493" s="342"/>
    </row>
    <row r="494">
      <c r="A494" s="401"/>
      <c r="B494" s="337"/>
      <c r="C494" s="337"/>
      <c r="D494" s="338"/>
      <c r="E494" s="339"/>
      <c r="F494" s="340"/>
      <c r="G494" s="341"/>
      <c r="H494" s="341"/>
      <c r="I494" s="342"/>
      <c r="J494" s="342"/>
    </row>
    <row r="495">
      <c r="A495" s="401"/>
      <c r="B495" s="337"/>
      <c r="C495" s="337"/>
      <c r="D495" s="338"/>
      <c r="E495" s="339"/>
      <c r="F495" s="340"/>
      <c r="G495" s="341"/>
      <c r="H495" s="341"/>
      <c r="I495" s="342"/>
      <c r="J495" s="342"/>
    </row>
    <row r="496">
      <c r="A496" s="401"/>
      <c r="B496" s="337"/>
      <c r="C496" s="337"/>
      <c r="D496" s="338"/>
      <c r="E496" s="339"/>
      <c r="F496" s="340"/>
      <c r="G496" s="341"/>
      <c r="H496" s="341"/>
      <c r="I496" s="342"/>
      <c r="J496" s="342"/>
    </row>
    <row r="497">
      <c r="A497" s="401"/>
      <c r="B497" s="337"/>
      <c r="C497" s="337"/>
      <c r="D497" s="338"/>
      <c r="E497" s="339"/>
      <c r="F497" s="340"/>
      <c r="G497" s="341"/>
      <c r="H497" s="341"/>
      <c r="I497" s="342"/>
      <c r="J497" s="342"/>
    </row>
    <row r="498">
      <c r="A498" s="401"/>
      <c r="B498" s="337"/>
      <c r="C498" s="337"/>
      <c r="D498" s="338"/>
      <c r="E498" s="339"/>
      <c r="F498" s="340"/>
      <c r="G498" s="341"/>
      <c r="H498" s="341"/>
      <c r="I498" s="342"/>
      <c r="J498" s="342"/>
    </row>
    <row r="499">
      <c r="A499" s="401"/>
      <c r="B499" s="337"/>
      <c r="C499" s="337"/>
      <c r="D499" s="338"/>
      <c r="E499" s="339"/>
      <c r="F499" s="340"/>
      <c r="G499" s="341"/>
      <c r="H499" s="341"/>
      <c r="I499" s="342"/>
      <c r="J499" s="342"/>
    </row>
    <row r="500">
      <c r="A500" s="401"/>
      <c r="B500" s="337"/>
      <c r="C500" s="337"/>
      <c r="D500" s="338"/>
      <c r="E500" s="339"/>
      <c r="F500" s="340"/>
      <c r="G500" s="341"/>
      <c r="H500" s="341"/>
      <c r="I500" s="342"/>
      <c r="J500" s="342"/>
    </row>
    <row r="501">
      <c r="A501" s="401"/>
      <c r="B501" s="337"/>
      <c r="C501" s="337"/>
      <c r="D501" s="338"/>
      <c r="E501" s="339"/>
      <c r="F501" s="340"/>
      <c r="G501" s="341"/>
      <c r="H501" s="341"/>
      <c r="I501" s="342"/>
      <c r="J501" s="342"/>
    </row>
    <row r="502">
      <c r="A502" s="401"/>
      <c r="B502" s="337"/>
      <c r="C502" s="337"/>
      <c r="D502" s="338"/>
      <c r="E502" s="339"/>
      <c r="F502" s="340"/>
      <c r="G502" s="341"/>
      <c r="H502" s="341"/>
      <c r="I502" s="342"/>
      <c r="J502" s="342"/>
    </row>
    <row r="503">
      <c r="A503" s="401"/>
      <c r="B503" s="337"/>
      <c r="C503" s="337"/>
      <c r="D503" s="338"/>
      <c r="E503" s="339"/>
      <c r="F503" s="340"/>
      <c r="G503" s="341"/>
      <c r="H503" s="341"/>
      <c r="I503" s="342"/>
      <c r="J503" s="342"/>
    </row>
    <row r="504">
      <c r="A504" s="401"/>
      <c r="B504" s="337"/>
      <c r="C504" s="337"/>
      <c r="D504" s="338"/>
      <c r="E504" s="339"/>
      <c r="F504" s="340"/>
      <c r="G504" s="341"/>
      <c r="H504" s="341"/>
      <c r="I504" s="342"/>
      <c r="J504" s="342"/>
    </row>
    <row r="505">
      <c r="A505" s="401"/>
      <c r="B505" s="337"/>
      <c r="C505" s="337"/>
      <c r="D505" s="338"/>
      <c r="E505" s="339"/>
      <c r="F505" s="340"/>
      <c r="G505" s="341"/>
      <c r="H505" s="341"/>
      <c r="I505" s="342"/>
      <c r="J505" s="342"/>
    </row>
    <row r="506">
      <c r="A506" s="401"/>
      <c r="B506" s="337"/>
      <c r="C506" s="337"/>
      <c r="D506" s="338"/>
      <c r="E506" s="339"/>
      <c r="F506" s="340"/>
      <c r="G506" s="341"/>
      <c r="H506" s="341"/>
      <c r="I506" s="342"/>
      <c r="J506" s="342"/>
    </row>
    <row r="507">
      <c r="A507" s="401"/>
      <c r="B507" s="337"/>
      <c r="C507" s="337"/>
      <c r="D507" s="338"/>
      <c r="E507" s="339"/>
      <c r="F507" s="340"/>
      <c r="G507" s="341"/>
      <c r="H507" s="341"/>
      <c r="I507" s="342"/>
      <c r="J507" s="342"/>
    </row>
    <row r="508">
      <c r="A508" s="401"/>
      <c r="B508" s="337"/>
      <c r="C508" s="337"/>
      <c r="D508" s="338"/>
      <c r="E508" s="339"/>
      <c r="F508" s="340"/>
      <c r="G508" s="341"/>
      <c r="H508" s="341"/>
      <c r="I508" s="342"/>
      <c r="J508" s="342"/>
    </row>
    <row r="509">
      <c r="A509" s="401"/>
      <c r="B509" s="337"/>
      <c r="C509" s="337"/>
      <c r="D509" s="338"/>
      <c r="E509" s="339"/>
      <c r="F509" s="340"/>
      <c r="G509" s="341"/>
      <c r="H509" s="341"/>
      <c r="I509" s="342"/>
      <c r="J509" s="342"/>
    </row>
    <row r="510">
      <c r="A510" s="401"/>
      <c r="B510" s="337"/>
      <c r="C510" s="337"/>
      <c r="D510" s="338"/>
      <c r="E510" s="339"/>
      <c r="F510" s="340"/>
      <c r="G510" s="341"/>
      <c r="H510" s="341"/>
      <c r="I510" s="342"/>
      <c r="J510" s="342"/>
    </row>
    <row r="511">
      <c r="A511" s="401"/>
      <c r="B511" s="337"/>
      <c r="C511" s="337"/>
      <c r="D511" s="338"/>
      <c r="E511" s="339"/>
      <c r="F511" s="340"/>
      <c r="G511" s="341"/>
      <c r="H511" s="341"/>
      <c r="I511" s="342"/>
      <c r="J511" s="342"/>
    </row>
    <row r="512">
      <c r="A512" s="401"/>
      <c r="B512" s="337"/>
      <c r="C512" s="337"/>
      <c r="D512" s="338"/>
      <c r="E512" s="339"/>
      <c r="F512" s="340"/>
      <c r="G512" s="341"/>
      <c r="H512" s="341"/>
      <c r="I512" s="342"/>
      <c r="J512" s="342"/>
    </row>
    <row r="513">
      <c r="A513" s="401"/>
      <c r="B513" s="337"/>
      <c r="C513" s="337"/>
      <c r="D513" s="338"/>
      <c r="E513" s="339"/>
      <c r="F513" s="340"/>
      <c r="G513" s="341"/>
      <c r="H513" s="341"/>
      <c r="I513" s="342"/>
      <c r="J513" s="342"/>
    </row>
    <row r="514">
      <c r="A514" s="401"/>
      <c r="B514" s="337"/>
      <c r="C514" s="337"/>
      <c r="D514" s="338"/>
      <c r="E514" s="339"/>
      <c r="F514" s="340"/>
      <c r="G514" s="341"/>
      <c r="H514" s="341"/>
      <c r="I514" s="342"/>
      <c r="J514" s="342"/>
    </row>
    <row r="515">
      <c r="A515" s="401"/>
      <c r="B515" s="337"/>
      <c r="C515" s="337"/>
      <c r="D515" s="338"/>
      <c r="E515" s="339"/>
      <c r="F515" s="340"/>
      <c r="G515" s="341"/>
      <c r="H515" s="341"/>
      <c r="I515" s="342"/>
      <c r="J515" s="342"/>
    </row>
    <row r="516">
      <c r="A516" s="401"/>
      <c r="B516" s="337"/>
      <c r="C516" s="337"/>
      <c r="D516" s="338"/>
      <c r="E516" s="339"/>
      <c r="F516" s="340"/>
      <c r="G516" s="341"/>
      <c r="H516" s="341"/>
      <c r="I516" s="342"/>
      <c r="J516" s="342"/>
    </row>
    <row r="517">
      <c r="A517" s="401"/>
      <c r="B517" s="337"/>
      <c r="C517" s="337"/>
      <c r="D517" s="338"/>
      <c r="E517" s="339"/>
      <c r="F517" s="340"/>
      <c r="G517" s="341"/>
      <c r="H517" s="341"/>
      <c r="I517" s="342"/>
      <c r="J517" s="342"/>
    </row>
    <row r="518">
      <c r="A518" s="401"/>
      <c r="B518" s="337"/>
      <c r="C518" s="337"/>
      <c r="D518" s="338"/>
      <c r="E518" s="339"/>
      <c r="F518" s="340"/>
      <c r="G518" s="341"/>
      <c r="H518" s="341"/>
      <c r="I518" s="342"/>
      <c r="J518" s="342"/>
    </row>
    <row r="519">
      <c r="A519" s="401"/>
      <c r="B519" s="337"/>
      <c r="C519" s="337"/>
      <c r="D519" s="338"/>
      <c r="E519" s="339"/>
      <c r="F519" s="340"/>
      <c r="G519" s="341"/>
      <c r="H519" s="341"/>
      <c r="I519" s="342"/>
      <c r="J519" s="342"/>
    </row>
    <row r="520">
      <c r="A520" s="401"/>
      <c r="B520" s="337"/>
      <c r="C520" s="337"/>
      <c r="D520" s="338"/>
      <c r="E520" s="339"/>
      <c r="F520" s="340"/>
      <c r="G520" s="341"/>
      <c r="H520" s="341"/>
      <c r="I520" s="342"/>
      <c r="J520" s="342"/>
    </row>
    <row r="521">
      <c r="A521" s="401"/>
      <c r="B521" s="337"/>
      <c r="C521" s="337"/>
      <c r="D521" s="338"/>
      <c r="E521" s="339"/>
      <c r="F521" s="340"/>
      <c r="G521" s="341"/>
      <c r="H521" s="341"/>
      <c r="I521" s="342"/>
      <c r="J521" s="342"/>
    </row>
    <row r="522">
      <c r="A522" s="401"/>
      <c r="B522" s="337"/>
      <c r="C522" s="337"/>
      <c r="D522" s="338"/>
      <c r="E522" s="339"/>
      <c r="F522" s="340"/>
      <c r="G522" s="341"/>
      <c r="H522" s="341"/>
      <c r="I522" s="342"/>
      <c r="J522" s="342"/>
    </row>
    <row r="523">
      <c r="A523" s="401"/>
      <c r="B523" s="337"/>
      <c r="C523" s="337"/>
      <c r="D523" s="338"/>
      <c r="E523" s="339"/>
      <c r="F523" s="340"/>
      <c r="G523" s="341"/>
      <c r="H523" s="341"/>
      <c r="I523" s="342"/>
      <c r="J523" s="342"/>
    </row>
    <row r="524">
      <c r="A524" s="401"/>
      <c r="B524" s="337"/>
      <c r="C524" s="337"/>
      <c r="D524" s="338"/>
      <c r="E524" s="339"/>
      <c r="F524" s="340"/>
      <c r="G524" s="341"/>
      <c r="H524" s="341"/>
      <c r="I524" s="342"/>
      <c r="J524" s="342"/>
    </row>
    <row r="525">
      <c r="A525" s="401"/>
      <c r="B525" s="337"/>
      <c r="C525" s="337"/>
      <c r="D525" s="338"/>
      <c r="E525" s="339"/>
      <c r="F525" s="340"/>
      <c r="G525" s="341"/>
      <c r="H525" s="341"/>
      <c r="I525" s="342"/>
      <c r="J525" s="342"/>
    </row>
    <row r="526">
      <c r="A526" s="401"/>
      <c r="B526" s="337"/>
      <c r="C526" s="337"/>
      <c r="D526" s="338"/>
      <c r="E526" s="339"/>
      <c r="F526" s="340"/>
      <c r="G526" s="341"/>
      <c r="H526" s="341"/>
      <c r="I526" s="342"/>
      <c r="J526" s="342"/>
    </row>
    <row r="527">
      <c r="A527" s="401"/>
      <c r="B527" s="337"/>
      <c r="C527" s="337"/>
      <c r="D527" s="338"/>
      <c r="E527" s="339"/>
      <c r="F527" s="340"/>
      <c r="G527" s="341"/>
      <c r="H527" s="341"/>
      <c r="I527" s="342"/>
      <c r="J527" s="342"/>
    </row>
    <row r="528">
      <c r="A528" s="401"/>
      <c r="B528" s="337"/>
      <c r="C528" s="337"/>
      <c r="D528" s="338"/>
      <c r="E528" s="339"/>
      <c r="F528" s="340"/>
      <c r="G528" s="341"/>
      <c r="H528" s="341"/>
      <c r="I528" s="342"/>
      <c r="J528" s="342"/>
    </row>
    <row r="529">
      <c r="A529" s="401"/>
      <c r="B529" s="337"/>
      <c r="C529" s="337"/>
      <c r="D529" s="338"/>
      <c r="E529" s="339"/>
      <c r="F529" s="340"/>
      <c r="G529" s="341"/>
      <c r="H529" s="341"/>
      <c r="I529" s="342"/>
      <c r="J529" s="342"/>
    </row>
    <row r="530">
      <c r="A530" s="401"/>
      <c r="B530" s="337"/>
      <c r="C530" s="337"/>
      <c r="D530" s="338"/>
      <c r="E530" s="339"/>
      <c r="F530" s="340"/>
      <c r="G530" s="341"/>
      <c r="H530" s="341"/>
      <c r="I530" s="342"/>
      <c r="J530" s="342"/>
    </row>
    <row r="531">
      <c r="A531" s="401"/>
      <c r="B531" s="337"/>
      <c r="C531" s="337"/>
      <c r="D531" s="338"/>
      <c r="E531" s="339"/>
      <c r="F531" s="340"/>
      <c r="G531" s="341"/>
      <c r="H531" s="341"/>
      <c r="I531" s="342"/>
      <c r="J531" s="342"/>
    </row>
    <row r="532">
      <c r="A532" s="401"/>
      <c r="B532" s="337"/>
      <c r="C532" s="337"/>
      <c r="D532" s="338"/>
      <c r="E532" s="339"/>
      <c r="F532" s="340"/>
      <c r="G532" s="341"/>
      <c r="H532" s="341"/>
      <c r="I532" s="342"/>
      <c r="J532" s="342"/>
    </row>
    <row r="533">
      <c r="A533" s="401"/>
      <c r="B533" s="337"/>
      <c r="C533" s="337"/>
      <c r="D533" s="338"/>
      <c r="E533" s="339"/>
      <c r="F533" s="340"/>
      <c r="G533" s="341"/>
      <c r="H533" s="341"/>
      <c r="I533" s="342"/>
      <c r="J533" s="342"/>
    </row>
    <row r="534">
      <c r="A534" s="401"/>
      <c r="B534" s="337"/>
      <c r="C534" s="337"/>
      <c r="D534" s="338"/>
      <c r="E534" s="339"/>
      <c r="F534" s="340"/>
      <c r="G534" s="341"/>
      <c r="H534" s="341"/>
      <c r="I534" s="342"/>
      <c r="J534" s="342"/>
    </row>
    <row r="535">
      <c r="A535" s="401"/>
      <c r="B535" s="337"/>
      <c r="C535" s="337"/>
      <c r="D535" s="338"/>
      <c r="E535" s="339"/>
      <c r="F535" s="340"/>
      <c r="G535" s="341"/>
      <c r="H535" s="341"/>
      <c r="I535" s="342"/>
      <c r="J535" s="342"/>
    </row>
    <row r="536">
      <c r="A536" s="401"/>
      <c r="B536" s="337"/>
      <c r="C536" s="337"/>
      <c r="D536" s="338"/>
      <c r="E536" s="339"/>
      <c r="F536" s="340"/>
      <c r="G536" s="341"/>
      <c r="H536" s="341"/>
      <c r="I536" s="342"/>
      <c r="J536" s="342"/>
    </row>
    <row r="537">
      <c r="A537" s="401"/>
      <c r="B537" s="337"/>
      <c r="C537" s="337"/>
      <c r="D537" s="338"/>
      <c r="E537" s="339"/>
      <c r="F537" s="340"/>
      <c r="G537" s="341"/>
      <c r="H537" s="341"/>
      <c r="I537" s="342"/>
      <c r="J537" s="342"/>
    </row>
    <row r="538">
      <c r="A538" s="401"/>
      <c r="B538" s="337"/>
      <c r="C538" s="337"/>
      <c r="D538" s="338"/>
      <c r="E538" s="339"/>
      <c r="F538" s="340"/>
      <c r="G538" s="341"/>
      <c r="H538" s="341"/>
      <c r="I538" s="342"/>
      <c r="J538" s="342"/>
    </row>
    <row r="539">
      <c r="A539" s="401"/>
      <c r="B539" s="337"/>
      <c r="C539" s="337"/>
      <c r="D539" s="338"/>
      <c r="E539" s="339"/>
      <c r="F539" s="340"/>
      <c r="G539" s="341"/>
      <c r="H539" s="341"/>
      <c r="I539" s="342"/>
      <c r="J539" s="342"/>
    </row>
    <row r="540">
      <c r="A540" s="401"/>
      <c r="B540" s="337"/>
      <c r="C540" s="337"/>
      <c r="D540" s="338"/>
      <c r="E540" s="339"/>
      <c r="F540" s="340"/>
      <c r="G540" s="341"/>
      <c r="H540" s="341"/>
      <c r="I540" s="342"/>
      <c r="J540" s="342"/>
    </row>
    <row r="541">
      <c r="A541" s="401"/>
      <c r="B541" s="337"/>
      <c r="C541" s="337"/>
      <c r="D541" s="338"/>
      <c r="E541" s="339"/>
      <c r="F541" s="340"/>
      <c r="G541" s="341"/>
      <c r="H541" s="341"/>
      <c r="I541" s="342"/>
      <c r="J541" s="342"/>
    </row>
    <row r="542">
      <c r="A542" s="401"/>
      <c r="B542" s="337"/>
      <c r="C542" s="337"/>
      <c r="D542" s="338"/>
      <c r="E542" s="339"/>
      <c r="F542" s="340"/>
      <c r="G542" s="341"/>
      <c r="H542" s="341"/>
      <c r="I542" s="342"/>
      <c r="J542" s="342"/>
    </row>
    <row r="543">
      <c r="A543" s="401"/>
      <c r="B543" s="337"/>
      <c r="C543" s="337"/>
      <c r="D543" s="338"/>
      <c r="E543" s="339"/>
      <c r="F543" s="340"/>
      <c r="G543" s="341"/>
      <c r="H543" s="341"/>
      <c r="I543" s="342"/>
      <c r="J543" s="342"/>
    </row>
    <row r="544">
      <c r="A544" s="401"/>
      <c r="B544" s="337"/>
      <c r="C544" s="337"/>
      <c r="D544" s="338"/>
      <c r="E544" s="339"/>
      <c r="F544" s="340"/>
      <c r="G544" s="341"/>
      <c r="H544" s="341"/>
      <c r="I544" s="342"/>
      <c r="J544" s="342"/>
    </row>
    <row r="545">
      <c r="A545" s="401"/>
      <c r="B545" s="337"/>
      <c r="C545" s="337"/>
      <c r="D545" s="338"/>
      <c r="E545" s="339"/>
      <c r="F545" s="340"/>
      <c r="G545" s="341"/>
      <c r="H545" s="341"/>
      <c r="I545" s="342"/>
      <c r="J545" s="342"/>
    </row>
    <row r="546">
      <c r="A546" s="401"/>
      <c r="B546" s="337"/>
      <c r="C546" s="337"/>
      <c r="D546" s="338"/>
      <c r="E546" s="339"/>
      <c r="F546" s="340"/>
      <c r="G546" s="341"/>
      <c r="H546" s="341"/>
      <c r="I546" s="342"/>
      <c r="J546" s="342"/>
    </row>
    <row r="547">
      <c r="A547" s="401"/>
      <c r="B547" s="337"/>
      <c r="C547" s="337"/>
      <c r="D547" s="338"/>
      <c r="E547" s="339"/>
      <c r="F547" s="340"/>
      <c r="G547" s="341"/>
      <c r="H547" s="341"/>
      <c r="I547" s="342"/>
      <c r="J547" s="342"/>
    </row>
    <row r="548">
      <c r="A548" s="401"/>
      <c r="B548" s="337"/>
      <c r="C548" s="337"/>
      <c r="D548" s="338"/>
      <c r="E548" s="339"/>
      <c r="F548" s="340"/>
      <c r="G548" s="341"/>
      <c r="H548" s="341"/>
      <c r="I548" s="342"/>
      <c r="J548" s="342"/>
    </row>
    <row r="549">
      <c r="A549" s="401"/>
      <c r="B549" s="337"/>
      <c r="C549" s="337"/>
      <c r="D549" s="338"/>
      <c r="E549" s="339"/>
      <c r="F549" s="340"/>
      <c r="G549" s="341"/>
      <c r="H549" s="341"/>
      <c r="I549" s="342"/>
      <c r="J549" s="342"/>
    </row>
    <row r="550">
      <c r="A550" s="401"/>
      <c r="B550" s="337"/>
      <c r="C550" s="337"/>
      <c r="D550" s="338"/>
      <c r="E550" s="339"/>
      <c r="F550" s="340"/>
      <c r="G550" s="341"/>
      <c r="H550" s="341"/>
      <c r="I550" s="342"/>
      <c r="J550" s="342"/>
    </row>
    <row r="551">
      <c r="A551" s="401"/>
      <c r="B551" s="337"/>
      <c r="C551" s="337"/>
      <c r="D551" s="338"/>
      <c r="E551" s="339"/>
      <c r="F551" s="340"/>
      <c r="G551" s="341"/>
      <c r="H551" s="341"/>
      <c r="I551" s="342"/>
      <c r="J551" s="342"/>
    </row>
    <row r="552">
      <c r="A552" s="401"/>
      <c r="B552" s="337"/>
      <c r="C552" s="337"/>
      <c r="D552" s="338"/>
      <c r="E552" s="339"/>
      <c r="F552" s="340"/>
      <c r="G552" s="341"/>
      <c r="H552" s="341"/>
      <c r="I552" s="342"/>
      <c r="J552" s="342"/>
    </row>
    <row r="553">
      <c r="A553" s="401"/>
      <c r="B553" s="337"/>
      <c r="C553" s="337"/>
      <c r="D553" s="338"/>
      <c r="E553" s="339"/>
      <c r="F553" s="340"/>
      <c r="G553" s="341"/>
      <c r="H553" s="341"/>
      <c r="I553" s="342"/>
      <c r="J553" s="342"/>
    </row>
    <row r="554">
      <c r="A554" s="401"/>
      <c r="B554" s="337"/>
      <c r="C554" s="337"/>
      <c r="D554" s="338"/>
      <c r="E554" s="339"/>
      <c r="F554" s="340"/>
      <c r="G554" s="341"/>
      <c r="H554" s="341"/>
      <c r="I554" s="342"/>
      <c r="J554" s="342"/>
    </row>
    <row r="555">
      <c r="A555" s="401"/>
      <c r="B555" s="337"/>
      <c r="C555" s="337"/>
      <c r="D555" s="338"/>
      <c r="E555" s="339"/>
      <c r="F555" s="340"/>
      <c r="G555" s="341"/>
      <c r="H555" s="341"/>
      <c r="I555" s="342"/>
      <c r="J555" s="342"/>
    </row>
    <row r="556">
      <c r="A556" s="401"/>
      <c r="B556" s="337"/>
      <c r="C556" s="337"/>
      <c r="D556" s="338"/>
      <c r="E556" s="339"/>
      <c r="F556" s="340"/>
      <c r="G556" s="341"/>
      <c r="H556" s="341"/>
      <c r="I556" s="342"/>
      <c r="J556" s="342"/>
    </row>
    <row r="557">
      <c r="A557" s="401"/>
      <c r="B557" s="337"/>
      <c r="C557" s="337"/>
      <c r="D557" s="338"/>
      <c r="E557" s="339"/>
      <c r="F557" s="340"/>
      <c r="G557" s="341"/>
      <c r="H557" s="341"/>
      <c r="I557" s="342"/>
      <c r="J557" s="342"/>
    </row>
    <row r="558">
      <c r="A558" s="401"/>
      <c r="B558" s="337"/>
      <c r="C558" s="337"/>
      <c r="D558" s="338"/>
      <c r="E558" s="339"/>
      <c r="F558" s="340"/>
      <c r="G558" s="341"/>
      <c r="H558" s="341"/>
      <c r="I558" s="342"/>
      <c r="J558" s="342"/>
    </row>
    <row r="559">
      <c r="A559" s="401"/>
      <c r="B559" s="337"/>
      <c r="C559" s="337"/>
      <c r="D559" s="338"/>
      <c r="E559" s="339"/>
      <c r="F559" s="340"/>
      <c r="G559" s="341"/>
      <c r="H559" s="341"/>
      <c r="I559" s="342"/>
      <c r="J559" s="342"/>
    </row>
    <row r="560">
      <c r="A560" s="401"/>
      <c r="B560" s="337"/>
      <c r="C560" s="337"/>
      <c r="D560" s="338"/>
      <c r="E560" s="339"/>
      <c r="F560" s="340"/>
      <c r="G560" s="341"/>
      <c r="H560" s="341"/>
      <c r="I560" s="342"/>
      <c r="J560" s="342"/>
    </row>
    <row r="561">
      <c r="A561" s="401"/>
      <c r="B561" s="337"/>
      <c r="C561" s="337"/>
      <c r="D561" s="338"/>
      <c r="E561" s="339"/>
      <c r="F561" s="340"/>
      <c r="G561" s="341"/>
      <c r="H561" s="341"/>
      <c r="I561" s="342"/>
      <c r="J561" s="342"/>
    </row>
    <row r="562">
      <c r="A562" s="401"/>
      <c r="B562" s="337"/>
      <c r="C562" s="337"/>
      <c r="D562" s="338"/>
      <c r="E562" s="339"/>
      <c r="F562" s="340"/>
      <c r="G562" s="341"/>
      <c r="H562" s="341"/>
      <c r="I562" s="342"/>
      <c r="J562" s="342"/>
    </row>
    <row r="563">
      <c r="A563" s="401"/>
      <c r="B563" s="337"/>
      <c r="C563" s="337"/>
      <c r="D563" s="338"/>
      <c r="E563" s="339"/>
      <c r="F563" s="340"/>
      <c r="G563" s="341"/>
      <c r="H563" s="341"/>
      <c r="I563" s="342"/>
      <c r="J563" s="342"/>
    </row>
    <row r="564">
      <c r="A564" s="401"/>
      <c r="B564" s="337"/>
      <c r="C564" s="337"/>
      <c r="D564" s="338"/>
      <c r="E564" s="339"/>
      <c r="F564" s="340"/>
      <c r="G564" s="341"/>
      <c r="H564" s="341"/>
      <c r="I564" s="342"/>
      <c r="J564" s="342"/>
    </row>
    <row r="565">
      <c r="A565" s="401"/>
      <c r="B565" s="337"/>
      <c r="C565" s="337"/>
      <c r="D565" s="338"/>
      <c r="E565" s="339"/>
      <c r="F565" s="340"/>
      <c r="G565" s="341"/>
      <c r="H565" s="341"/>
      <c r="I565" s="342"/>
      <c r="J565" s="342"/>
    </row>
    <row r="566">
      <c r="A566" s="401"/>
      <c r="B566" s="337"/>
      <c r="C566" s="337"/>
      <c r="D566" s="338"/>
      <c r="E566" s="339"/>
      <c r="F566" s="340"/>
      <c r="G566" s="341"/>
      <c r="H566" s="341"/>
      <c r="I566" s="342"/>
      <c r="J566" s="342"/>
    </row>
    <row r="567">
      <c r="A567" s="401"/>
      <c r="B567" s="337"/>
      <c r="C567" s="337"/>
      <c r="D567" s="338"/>
      <c r="E567" s="339"/>
      <c r="F567" s="340"/>
      <c r="G567" s="341"/>
      <c r="H567" s="341"/>
      <c r="I567" s="342"/>
      <c r="J567" s="342"/>
    </row>
    <row r="568">
      <c r="A568" s="401"/>
      <c r="B568" s="337"/>
      <c r="C568" s="337"/>
      <c r="D568" s="338"/>
      <c r="E568" s="339"/>
      <c r="F568" s="340"/>
      <c r="G568" s="341"/>
      <c r="H568" s="341"/>
      <c r="I568" s="342"/>
      <c r="J568" s="342"/>
    </row>
    <row r="569">
      <c r="A569" s="401"/>
      <c r="B569" s="337"/>
      <c r="C569" s="337"/>
      <c r="D569" s="338"/>
      <c r="E569" s="339"/>
      <c r="F569" s="340"/>
      <c r="G569" s="341"/>
      <c r="H569" s="341"/>
      <c r="I569" s="342"/>
      <c r="J569" s="342"/>
    </row>
    <row r="570">
      <c r="A570" s="401"/>
      <c r="B570" s="337"/>
      <c r="C570" s="337"/>
      <c r="D570" s="338"/>
      <c r="E570" s="339"/>
      <c r="F570" s="340"/>
      <c r="G570" s="341"/>
      <c r="H570" s="341"/>
      <c r="I570" s="342"/>
      <c r="J570" s="342"/>
    </row>
    <row r="571">
      <c r="A571" s="401"/>
      <c r="B571" s="337"/>
      <c r="C571" s="337"/>
      <c r="D571" s="338"/>
      <c r="E571" s="339"/>
      <c r="F571" s="340"/>
      <c r="G571" s="341"/>
      <c r="H571" s="341"/>
      <c r="I571" s="342"/>
      <c r="J571" s="342"/>
    </row>
    <row r="572">
      <c r="A572" s="401"/>
      <c r="B572" s="337"/>
      <c r="C572" s="337"/>
      <c r="D572" s="338"/>
      <c r="E572" s="339"/>
      <c r="F572" s="340"/>
      <c r="G572" s="341"/>
      <c r="H572" s="341"/>
      <c r="I572" s="342"/>
      <c r="J572" s="342"/>
    </row>
    <row r="573">
      <c r="A573" s="401"/>
      <c r="B573" s="337"/>
      <c r="C573" s="337"/>
      <c r="D573" s="338"/>
      <c r="E573" s="339"/>
      <c r="F573" s="340"/>
      <c r="G573" s="341"/>
      <c r="H573" s="341"/>
      <c r="I573" s="342"/>
      <c r="J573" s="342"/>
    </row>
    <row r="574">
      <c r="A574" s="401"/>
      <c r="B574" s="337"/>
      <c r="C574" s="337"/>
      <c r="D574" s="338"/>
      <c r="E574" s="339"/>
      <c r="F574" s="340"/>
      <c r="G574" s="341"/>
      <c r="H574" s="341"/>
      <c r="I574" s="342"/>
      <c r="J574" s="342"/>
    </row>
    <row r="575">
      <c r="A575" s="401"/>
      <c r="B575" s="337"/>
      <c r="C575" s="337"/>
      <c r="D575" s="338"/>
      <c r="E575" s="339"/>
      <c r="F575" s="340"/>
      <c r="G575" s="341"/>
      <c r="H575" s="341"/>
      <c r="I575" s="342"/>
      <c r="J575" s="342"/>
    </row>
    <row r="576">
      <c r="A576" s="401"/>
      <c r="B576" s="337"/>
      <c r="C576" s="337"/>
      <c r="D576" s="338"/>
      <c r="E576" s="339"/>
      <c r="F576" s="340"/>
      <c r="G576" s="341"/>
      <c r="H576" s="341"/>
      <c r="I576" s="342"/>
      <c r="J576" s="342"/>
    </row>
    <row r="577">
      <c r="A577" s="401"/>
      <c r="B577" s="337"/>
      <c r="C577" s="337"/>
      <c r="D577" s="338"/>
      <c r="E577" s="339"/>
      <c r="F577" s="340"/>
      <c r="G577" s="341"/>
      <c r="H577" s="341"/>
      <c r="I577" s="342"/>
      <c r="J577" s="342"/>
    </row>
    <row r="578">
      <c r="A578" s="401"/>
      <c r="B578" s="337"/>
      <c r="C578" s="337"/>
      <c r="D578" s="338"/>
      <c r="E578" s="339"/>
      <c r="F578" s="340"/>
      <c r="G578" s="341"/>
      <c r="H578" s="341"/>
      <c r="I578" s="342"/>
      <c r="J578" s="342"/>
    </row>
    <row r="579">
      <c r="A579" s="401"/>
      <c r="B579" s="337"/>
      <c r="C579" s="337"/>
      <c r="D579" s="338"/>
      <c r="E579" s="339"/>
      <c r="F579" s="340"/>
      <c r="G579" s="341"/>
      <c r="H579" s="341"/>
      <c r="I579" s="342"/>
      <c r="J579" s="342"/>
    </row>
    <row r="580">
      <c r="A580" s="401"/>
      <c r="B580" s="337"/>
      <c r="C580" s="337"/>
      <c r="D580" s="338"/>
      <c r="E580" s="339"/>
      <c r="F580" s="340"/>
      <c r="G580" s="341"/>
      <c r="H580" s="341"/>
      <c r="I580" s="342"/>
      <c r="J580" s="342"/>
    </row>
    <row r="581">
      <c r="A581" s="401"/>
      <c r="B581" s="337"/>
      <c r="C581" s="337"/>
      <c r="D581" s="338"/>
      <c r="E581" s="339"/>
      <c r="F581" s="340"/>
      <c r="G581" s="341"/>
      <c r="H581" s="341"/>
      <c r="I581" s="342"/>
      <c r="J581" s="342"/>
    </row>
    <row r="582">
      <c r="A582" s="401"/>
      <c r="B582" s="337"/>
      <c r="C582" s="337"/>
      <c r="D582" s="338"/>
      <c r="E582" s="339"/>
      <c r="F582" s="340"/>
      <c r="G582" s="341"/>
      <c r="H582" s="341"/>
      <c r="I582" s="342"/>
      <c r="J582" s="342"/>
    </row>
    <row r="583">
      <c r="A583" s="401"/>
      <c r="B583" s="337"/>
      <c r="C583" s="337"/>
      <c r="D583" s="338"/>
      <c r="E583" s="339"/>
      <c r="F583" s="340"/>
      <c r="G583" s="341"/>
      <c r="H583" s="341"/>
      <c r="I583" s="342"/>
      <c r="J583" s="342"/>
    </row>
    <row r="584">
      <c r="A584" s="401"/>
      <c r="B584" s="337"/>
      <c r="C584" s="337"/>
      <c r="D584" s="338"/>
      <c r="E584" s="339"/>
      <c r="F584" s="340"/>
      <c r="G584" s="341"/>
      <c r="H584" s="341"/>
      <c r="I584" s="342"/>
      <c r="J584" s="342"/>
    </row>
    <row r="585">
      <c r="A585" s="401"/>
      <c r="B585" s="337"/>
      <c r="C585" s="337"/>
      <c r="D585" s="338"/>
      <c r="E585" s="339"/>
      <c r="F585" s="340"/>
      <c r="G585" s="341"/>
      <c r="H585" s="341"/>
      <c r="I585" s="342"/>
      <c r="J585" s="342"/>
    </row>
    <row r="586">
      <c r="A586" s="401"/>
      <c r="B586" s="337"/>
      <c r="C586" s="337"/>
      <c r="D586" s="338"/>
      <c r="E586" s="339"/>
      <c r="F586" s="340"/>
      <c r="G586" s="341"/>
      <c r="H586" s="341"/>
      <c r="I586" s="342"/>
      <c r="J586" s="342"/>
    </row>
    <row r="587">
      <c r="A587" s="401"/>
      <c r="B587" s="337"/>
      <c r="C587" s="337"/>
      <c r="D587" s="338"/>
      <c r="E587" s="339"/>
      <c r="F587" s="340"/>
      <c r="G587" s="341"/>
      <c r="H587" s="341"/>
      <c r="I587" s="342"/>
      <c r="J587" s="342"/>
    </row>
    <row r="588">
      <c r="A588" s="401"/>
      <c r="B588" s="337"/>
      <c r="C588" s="337"/>
      <c r="D588" s="338"/>
      <c r="E588" s="339"/>
      <c r="F588" s="340"/>
      <c r="G588" s="341"/>
      <c r="H588" s="341"/>
      <c r="I588" s="342"/>
      <c r="J588" s="342"/>
    </row>
    <row r="589">
      <c r="A589" s="401"/>
      <c r="B589" s="337"/>
      <c r="C589" s="337"/>
      <c r="D589" s="338"/>
      <c r="E589" s="339"/>
      <c r="F589" s="340"/>
      <c r="G589" s="341"/>
      <c r="H589" s="341"/>
      <c r="I589" s="342"/>
      <c r="J589" s="342"/>
    </row>
    <row r="590">
      <c r="A590" s="401"/>
      <c r="B590" s="337"/>
      <c r="C590" s="337"/>
      <c r="D590" s="338"/>
      <c r="E590" s="339"/>
      <c r="F590" s="340"/>
      <c r="G590" s="341"/>
      <c r="H590" s="341"/>
      <c r="I590" s="342"/>
      <c r="J590" s="342"/>
    </row>
    <row r="591">
      <c r="A591" s="401"/>
      <c r="B591" s="337"/>
      <c r="C591" s="337"/>
      <c r="D591" s="338"/>
      <c r="E591" s="339"/>
      <c r="F591" s="340"/>
      <c r="G591" s="341"/>
      <c r="H591" s="341"/>
      <c r="I591" s="342"/>
      <c r="J591" s="342"/>
    </row>
    <row r="592">
      <c r="A592" s="401"/>
      <c r="B592" s="337"/>
      <c r="C592" s="337"/>
      <c r="D592" s="338"/>
      <c r="E592" s="339"/>
      <c r="F592" s="340"/>
      <c r="G592" s="341"/>
      <c r="H592" s="341"/>
      <c r="I592" s="342"/>
      <c r="J592" s="342"/>
    </row>
    <row r="593">
      <c r="A593" s="401"/>
      <c r="B593" s="337"/>
      <c r="C593" s="337"/>
      <c r="D593" s="338"/>
      <c r="E593" s="339"/>
      <c r="F593" s="340"/>
      <c r="G593" s="341"/>
      <c r="H593" s="341"/>
      <c r="I593" s="342"/>
      <c r="J593" s="342"/>
    </row>
    <row r="594">
      <c r="A594" s="401"/>
      <c r="B594" s="337"/>
      <c r="C594" s="337"/>
      <c r="D594" s="338"/>
      <c r="E594" s="339"/>
      <c r="F594" s="340"/>
      <c r="G594" s="341"/>
      <c r="H594" s="341"/>
      <c r="I594" s="342"/>
      <c r="J594" s="342"/>
    </row>
    <row r="595">
      <c r="A595" s="401"/>
      <c r="B595" s="337"/>
      <c r="C595" s="337"/>
      <c r="D595" s="338"/>
      <c r="E595" s="339"/>
      <c r="F595" s="340"/>
      <c r="G595" s="341"/>
      <c r="H595" s="341"/>
      <c r="I595" s="342"/>
      <c r="J595" s="342"/>
    </row>
    <row r="596">
      <c r="A596" s="401"/>
      <c r="B596" s="337"/>
      <c r="C596" s="337"/>
      <c r="D596" s="338"/>
      <c r="E596" s="339"/>
      <c r="F596" s="340"/>
      <c r="G596" s="341"/>
      <c r="H596" s="341"/>
      <c r="I596" s="342"/>
      <c r="J596" s="342"/>
    </row>
    <row r="597">
      <c r="A597" s="401"/>
      <c r="B597" s="337"/>
      <c r="C597" s="337"/>
      <c r="D597" s="338"/>
      <c r="E597" s="339"/>
      <c r="F597" s="340"/>
      <c r="G597" s="341"/>
      <c r="H597" s="341"/>
      <c r="I597" s="342"/>
      <c r="J597" s="342"/>
    </row>
    <row r="598">
      <c r="A598" s="401"/>
      <c r="B598" s="337"/>
      <c r="C598" s="337"/>
      <c r="D598" s="338"/>
      <c r="E598" s="339"/>
      <c r="F598" s="340"/>
      <c r="G598" s="341"/>
      <c r="H598" s="341"/>
      <c r="I598" s="342"/>
      <c r="J598" s="342"/>
    </row>
    <row r="599">
      <c r="A599" s="401"/>
      <c r="B599" s="337"/>
      <c r="C599" s="337"/>
      <c r="D599" s="338"/>
      <c r="E599" s="339"/>
      <c r="F599" s="340"/>
      <c r="G599" s="341"/>
      <c r="H599" s="341"/>
      <c r="I599" s="342"/>
      <c r="J599" s="342"/>
    </row>
    <row r="600">
      <c r="A600" s="401"/>
      <c r="B600" s="337"/>
      <c r="C600" s="337"/>
      <c r="D600" s="338"/>
      <c r="E600" s="339"/>
      <c r="F600" s="340"/>
      <c r="G600" s="341"/>
      <c r="H600" s="341"/>
      <c r="I600" s="342"/>
      <c r="J600" s="342"/>
    </row>
    <row r="601">
      <c r="A601" s="401"/>
      <c r="B601" s="337"/>
      <c r="C601" s="337"/>
      <c r="D601" s="338"/>
      <c r="E601" s="339"/>
      <c r="F601" s="340"/>
      <c r="G601" s="341"/>
      <c r="H601" s="341"/>
      <c r="I601" s="342"/>
      <c r="J601" s="342"/>
    </row>
    <row r="602">
      <c r="A602" s="401"/>
      <c r="B602" s="337"/>
      <c r="C602" s="337"/>
      <c r="D602" s="338"/>
      <c r="E602" s="339"/>
      <c r="F602" s="340"/>
      <c r="G602" s="341"/>
      <c r="H602" s="341"/>
      <c r="I602" s="342"/>
      <c r="J602" s="342"/>
    </row>
    <row r="603">
      <c r="A603" s="401"/>
      <c r="B603" s="337"/>
      <c r="C603" s="337"/>
      <c r="D603" s="338"/>
      <c r="E603" s="339"/>
      <c r="F603" s="340"/>
      <c r="G603" s="341"/>
      <c r="H603" s="341"/>
      <c r="I603" s="342"/>
      <c r="J603" s="342"/>
    </row>
    <row r="604">
      <c r="A604" s="401"/>
      <c r="B604" s="337"/>
      <c r="C604" s="337"/>
      <c r="D604" s="338"/>
      <c r="E604" s="339"/>
      <c r="F604" s="340"/>
      <c r="G604" s="341"/>
      <c r="H604" s="341"/>
      <c r="I604" s="342"/>
      <c r="J604" s="342"/>
    </row>
    <row r="605">
      <c r="A605" s="401"/>
      <c r="B605" s="337"/>
      <c r="C605" s="337"/>
      <c r="D605" s="338"/>
      <c r="E605" s="339"/>
      <c r="F605" s="340"/>
      <c r="G605" s="341"/>
      <c r="H605" s="341"/>
      <c r="I605" s="342"/>
      <c r="J605" s="342"/>
    </row>
    <row r="606">
      <c r="A606" s="401"/>
      <c r="B606" s="337"/>
      <c r="C606" s="337"/>
      <c r="D606" s="338"/>
      <c r="E606" s="339"/>
      <c r="F606" s="340"/>
      <c r="G606" s="341"/>
      <c r="H606" s="341"/>
      <c r="I606" s="342"/>
      <c r="J606" s="342"/>
    </row>
    <row r="607">
      <c r="A607" s="401"/>
      <c r="B607" s="337"/>
      <c r="C607" s="337"/>
      <c r="D607" s="338"/>
      <c r="E607" s="339"/>
      <c r="F607" s="340"/>
      <c r="G607" s="341"/>
      <c r="H607" s="341"/>
      <c r="I607" s="342"/>
      <c r="J607" s="342"/>
    </row>
    <row r="608">
      <c r="A608" s="401"/>
      <c r="B608" s="337"/>
      <c r="C608" s="337"/>
      <c r="D608" s="338"/>
      <c r="E608" s="339"/>
      <c r="F608" s="340"/>
      <c r="G608" s="341"/>
      <c r="H608" s="341"/>
      <c r="I608" s="342"/>
      <c r="J608" s="342"/>
    </row>
    <row r="609">
      <c r="A609" s="401"/>
      <c r="B609" s="337"/>
      <c r="C609" s="337"/>
      <c r="D609" s="338"/>
      <c r="E609" s="339"/>
      <c r="F609" s="340"/>
      <c r="G609" s="341"/>
      <c r="H609" s="341"/>
      <c r="I609" s="342"/>
      <c r="J609" s="342"/>
    </row>
    <row r="610">
      <c r="A610" s="401"/>
      <c r="B610" s="337"/>
      <c r="C610" s="337"/>
      <c r="D610" s="338"/>
      <c r="E610" s="339"/>
      <c r="F610" s="340"/>
      <c r="G610" s="341"/>
      <c r="H610" s="341"/>
      <c r="I610" s="342"/>
      <c r="J610" s="342"/>
    </row>
    <row r="611">
      <c r="A611" s="401"/>
      <c r="B611" s="337"/>
      <c r="C611" s="337"/>
      <c r="D611" s="338"/>
      <c r="E611" s="339"/>
      <c r="F611" s="340"/>
      <c r="G611" s="341"/>
      <c r="H611" s="341"/>
      <c r="I611" s="342"/>
      <c r="J611" s="342"/>
    </row>
    <row r="612">
      <c r="A612" s="401"/>
      <c r="B612" s="337"/>
      <c r="C612" s="337"/>
      <c r="D612" s="338"/>
      <c r="E612" s="339"/>
      <c r="F612" s="340"/>
      <c r="G612" s="341"/>
      <c r="H612" s="341"/>
      <c r="I612" s="342"/>
      <c r="J612" s="342"/>
    </row>
    <row r="613">
      <c r="A613" s="401"/>
      <c r="B613" s="337"/>
      <c r="C613" s="337"/>
      <c r="D613" s="338"/>
      <c r="E613" s="339"/>
      <c r="F613" s="340"/>
      <c r="G613" s="341"/>
      <c r="H613" s="341"/>
      <c r="I613" s="342"/>
      <c r="J613" s="342"/>
    </row>
    <row r="614">
      <c r="A614" s="401"/>
      <c r="B614" s="337"/>
      <c r="C614" s="337"/>
      <c r="D614" s="338"/>
      <c r="E614" s="339"/>
      <c r="F614" s="340"/>
      <c r="G614" s="341"/>
      <c r="H614" s="341"/>
      <c r="I614" s="342"/>
      <c r="J614" s="342"/>
    </row>
    <row r="615">
      <c r="A615" s="401"/>
      <c r="B615" s="337"/>
      <c r="C615" s="337"/>
      <c r="D615" s="338"/>
      <c r="E615" s="339"/>
      <c r="F615" s="340"/>
      <c r="G615" s="341"/>
      <c r="H615" s="341"/>
      <c r="I615" s="342"/>
      <c r="J615" s="342"/>
    </row>
    <row r="616">
      <c r="A616" s="401"/>
      <c r="B616" s="337"/>
      <c r="C616" s="337"/>
      <c r="D616" s="338"/>
      <c r="E616" s="339"/>
      <c r="F616" s="340"/>
      <c r="G616" s="341"/>
      <c r="H616" s="341"/>
      <c r="I616" s="342"/>
      <c r="J616" s="342"/>
    </row>
    <row r="617">
      <c r="A617" s="401"/>
      <c r="B617" s="337"/>
      <c r="C617" s="337"/>
      <c r="D617" s="338"/>
      <c r="E617" s="339"/>
      <c r="F617" s="340"/>
      <c r="G617" s="341"/>
      <c r="H617" s="341"/>
      <c r="I617" s="342"/>
      <c r="J617" s="342"/>
    </row>
    <row r="618">
      <c r="A618" s="401"/>
      <c r="B618" s="337"/>
      <c r="C618" s="337"/>
      <c r="D618" s="338"/>
      <c r="E618" s="339"/>
      <c r="F618" s="340"/>
      <c r="G618" s="341"/>
      <c r="H618" s="341"/>
      <c r="I618" s="342"/>
      <c r="J618" s="342"/>
    </row>
    <row r="619">
      <c r="A619" s="401"/>
      <c r="B619" s="337"/>
      <c r="C619" s="337"/>
      <c r="D619" s="338"/>
      <c r="E619" s="339"/>
      <c r="F619" s="340"/>
      <c r="G619" s="341"/>
      <c r="H619" s="341"/>
      <c r="I619" s="342"/>
      <c r="J619" s="342"/>
    </row>
    <row r="620">
      <c r="A620" s="401"/>
      <c r="B620" s="337"/>
      <c r="C620" s="337"/>
      <c r="D620" s="338"/>
      <c r="E620" s="339"/>
      <c r="F620" s="340"/>
      <c r="G620" s="341"/>
      <c r="H620" s="341"/>
      <c r="I620" s="342"/>
      <c r="J620" s="342"/>
    </row>
    <row r="621">
      <c r="A621" s="401"/>
      <c r="B621" s="337"/>
      <c r="C621" s="337"/>
      <c r="D621" s="338"/>
      <c r="E621" s="339"/>
      <c r="F621" s="340"/>
      <c r="G621" s="341"/>
      <c r="H621" s="341"/>
      <c r="I621" s="342"/>
      <c r="J621" s="342"/>
    </row>
    <row r="622">
      <c r="A622" s="401"/>
      <c r="B622" s="337"/>
      <c r="C622" s="337"/>
      <c r="D622" s="338"/>
      <c r="E622" s="339"/>
      <c r="F622" s="340"/>
      <c r="G622" s="341"/>
      <c r="H622" s="341"/>
      <c r="I622" s="342"/>
      <c r="J622" s="342"/>
    </row>
    <row r="623">
      <c r="A623" s="401"/>
      <c r="B623" s="337"/>
      <c r="C623" s="337"/>
      <c r="D623" s="338"/>
      <c r="E623" s="339"/>
      <c r="F623" s="340"/>
      <c r="G623" s="341"/>
      <c r="H623" s="341"/>
      <c r="I623" s="342"/>
      <c r="J623" s="342"/>
    </row>
    <row r="624">
      <c r="A624" s="401"/>
      <c r="B624" s="337"/>
      <c r="C624" s="337"/>
      <c r="D624" s="338"/>
      <c r="E624" s="339"/>
      <c r="F624" s="340"/>
      <c r="G624" s="341"/>
      <c r="H624" s="341"/>
      <c r="I624" s="342"/>
      <c r="J624" s="342"/>
    </row>
    <row r="625">
      <c r="A625" s="401"/>
      <c r="B625" s="337"/>
      <c r="C625" s="337"/>
      <c r="D625" s="338"/>
      <c r="E625" s="339"/>
      <c r="F625" s="340"/>
      <c r="G625" s="341"/>
      <c r="H625" s="341"/>
      <c r="I625" s="342"/>
      <c r="J625" s="342"/>
    </row>
    <row r="626">
      <c r="A626" s="401"/>
      <c r="B626" s="337"/>
      <c r="C626" s="337"/>
      <c r="D626" s="338"/>
      <c r="E626" s="339"/>
      <c r="F626" s="340"/>
      <c r="G626" s="341"/>
      <c r="H626" s="341"/>
      <c r="I626" s="342"/>
      <c r="J626" s="342"/>
    </row>
    <row r="627">
      <c r="A627" s="401"/>
      <c r="B627" s="337"/>
      <c r="C627" s="337"/>
      <c r="D627" s="338"/>
      <c r="E627" s="339"/>
      <c r="F627" s="340"/>
      <c r="G627" s="341"/>
      <c r="H627" s="341"/>
      <c r="I627" s="342"/>
      <c r="J627" s="342"/>
    </row>
    <row r="628">
      <c r="A628" s="401"/>
      <c r="B628" s="337"/>
      <c r="C628" s="337"/>
      <c r="D628" s="338"/>
      <c r="E628" s="339"/>
      <c r="F628" s="340"/>
      <c r="G628" s="341"/>
      <c r="H628" s="341"/>
      <c r="I628" s="342"/>
      <c r="J628" s="342"/>
    </row>
    <row r="629">
      <c r="A629" s="401"/>
      <c r="B629" s="337"/>
      <c r="C629" s="337"/>
      <c r="D629" s="338"/>
      <c r="E629" s="339"/>
      <c r="F629" s="340"/>
      <c r="G629" s="341"/>
      <c r="H629" s="341"/>
      <c r="I629" s="342"/>
      <c r="J629" s="342"/>
    </row>
    <row r="630">
      <c r="A630" s="401"/>
      <c r="B630" s="337"/>
      <c r="C630" s="337"/>
      <c r="D630" s="338"/>
      <c r="E630" s="339"/>
      <c r="F630" s="340"/>
      <c r="G630" s="341"/>
      <c r="H630" s="341"/>
      <c r="I630" s="342"/>
      <c r="J630" s="342"/>
    </row>
    <row r="631">
      <c r="A631" s="401"/>
      <c r="B631" s="337"/>
      <c r="C631" s="337"/>
      <c r="D631" s="338"/>
      <c r="E631" s="339"/>
      <c r="F631" s="340"/>
      <c r="G631" s="341"/>
      <c r="H631" s="341"/>
      <c r="I631" s="342"/>
      <c r="J631" s="342"/>
    </row>
    <row r="632">
      <c r="A632" s="401"/>
      <c r="B632" s="337"/>
      <c r="C632" s="337"/>
      <c r="D632" s="338"/>
      <c r="E632" s="339"/>
      <c r="F632" s="340"/>
      <c r="G632" s="341"/>
      <c r="H632" s="341"/>
      <c r="I632" s="342"/>
      <c r="J632" s="342"/>
    </row>
    <row r="633">
      <c r="A633" s="401"/>
      <c r="B633" s="337"/>
      <c r="C633" s="337"/>
      <c r="D633" s="338"/>
      <c r="E633" s="339"/>
      <c r="F633" s="340"/>
      <c r="G633" s="341"/>
      <c r="H633" s="341"/>
      <c r="I633" s="342"/>
      <c r="J633" s="342"/>
    </row>
    <row r="634">
      <c r="A634" s="401"/>
      <c r="B634" s="337"/>
      <c r="C634" s="337"/>
      <c r="D634" s="338"/>
      <c r="E634" s="339"/>
      <c r="F634" s="340"/>
      <c r="G634" s="341"/>
      <c r="H634" s="341"/>
      <c r="I634" s="342"/>
      <c r="J634" s="342"/>
    </row>
    <row r="635">
      <c r="A635" s="401"/>
      <c r="B635" s="337"/>
      <c r="C635" s="337"/>
      <c r="D635" s="338"/>
      <c r="E635" s="339"/>
      <c r="F635" s="340"/>
      <c r="G635" s="341"/>
      <c r="H635" s="341"/>
      <c r="I635" s="342"/>
      <c r="J635" s="342"/>
    </row>
    <row r="636">
      <c r="A636" s="401"/>
      <c r="B636" s="337"/>
      <c r="C636" s="337"/>
      <c r="D636" s="338"/>
      <c r="E636" s="339"/>
      <c r="F636" s="340"/>
      <c r="G636" s="341"/>
      <c r="H636" s="341"/>
      <c r="I636" s="342"/>
      <c r="J636" s="342"/>
    </row>
    <row r="637">
      <c r="A637" s="401"/>
      <c r="B637" s="337"/>
      <c r="C637" s="337"/>
      <c r="D637" s="338"/>
      <c r="E637" s="339"/>
      <c r="F637" s="340"/>
      <c r="G637" s="341"/>
      <c r="H637" s="341"/>
      <c r="I637" s="342"/>
      <c r="J637" s="342"/>
    </row>
    <row r="638">
      <c r="A638" s="401"/>
      <c r="B638" s="337"/>
      <c r="C638" s="337"/>
      <c r="D638" s="338"/>
      <c r="E638" s="339"/>
      <c r="F638" s="340"/>
      <c r="G638" s="341"/>
      <c r="H638" s="341"/>
      <c r="I638" s="342"/>
      <c r="J638" s="342"/>
    </row>
    <row r="639">
      <c r="A639" s="401"/>
      <c r="B639" s="337"/>
      <c r="C639" s="337"/>
      <c r="D639" s="338"/>
      <c r="E639" s="339"/>
      <c r="F639" s="340"/>
      <c r="G639" s="341"/>
      <c r="H639" s="341"/>
      <c r="I639" s="342"/>
      <c r="J639" s="342"/>
    </row>
    <row r="640">
      <c r="A640" s="401"/>
      <c r="B640" s="337"/>
      <c r="C640" s="337"/>
      <c r="D640" s="338"/>
      <c r="E640" s="339"/>
      <c r="F640" s="340"/>
      <c r="G640" s="341"/>
      <c r="H640" s="341"/>
      <c r="I640" s="342"/>
      <c r="J640" s="342"/>
    </row>
    <row r="641">
      <c r="A641" s="401"/>
      <c r="B641" s="337"/>
      <c r="C641" s="337"/>
      <c r="D641" s="338"/>
      <c r="E641" s="339"/>
      <c r="F641" s="340"/>
      <c r="G641" s="341"/>
      <c r="H641" s="341"/>
      <c r="I641" s="342"/>
      <c r="J641" s="342"/>
    </row>
    <row r="642">
      <c r="A642" s="401"/>
      <c r="B642" s="337"/>
      <c r="C642" s="337"/>
      <c r="D642" s="338"/>
      <c r="E642" s="339"/>
      <c r="F642" s="340"/>
      <c r="G642" s="341"/>
      <c r="H642" s="341"/>
      <c r="I642" s="342"/>
      <c r="J642" s="342"/>
    </row>
    <row r="643">
      <c r="A643" s="401"/>
      <c r="B643" s="337"/>
      <c r="C643" s="337"/>
      <c r="D643" s="338"/>
      <c r="E643" s="339"/>
      <c r="F643" s="340"/>
      <c r="G643" s="341"/>
      <c r="H643" s="341"/>
      <c r="I643" s="342"/>
      <c r="J643" s="342"/>
    </row>
    <row r="644">
      <c r="A644" s="401"/>
      <c r="B644" s="337"/>
      <c r="C644" s="337"/>
      <c r="D644" s="338"/>
      <c r="E644" s="339"/>
      <c r="F644" s="340"/>
      <c r="G644" s="341"/>
      <c r="H644" s="341"/>
      <c r="I644" s="342"/>
      <c r="J644" s="342"/>
    </row>
    <row r="645">
      <c r="A645" s="401"/>
      <c r="B645" s="337"/>
      <c r="C645" s="337"/>
      <c r="D645" s="338"/>
      <c r="E645" s="339"/>
      <c r="F645" s="340"/>
      <c r="G645" s="341"/>
      <c r="H645" s="341"/>
      <c r="I645" s="342"/>
      <c r="J645" s="342"/>
    </row>
    <row r="646">
      <c r="A646" s="401"/>
      <c r="B646" s="337"/>
      <c r="C646" s="337"/>
      <c r="D646" s="338"/>
      <c r="E646" s="339"/>
      <c r="F646" s="340"/>
      <c r="G646" s="341"/>
      <c r="H646" s="341"/>
      <c r="I646" s="342"/>
      <c r="J646" s="342"/>
    </row>
    <row r="647">
      <c r="A647" s="401"/>
      <c r="B647" s="337"/>
      <c r="C647" s="337"/>
      <c r="D647" s="338"/>
      <c r="E647" s="339"/>
      <c r="F647" s="340"/>
      <c r="G647" s="341"/>
      <c r="H647" s="341"/>
      <c r="I647" s="342"/>
      <c r="J647" s="342"/>
    </row>
    <row r="648">
      <c r="A648" s="401"/>
      <c r="B648" s="337"/>
      <c r="C648" s="337"/>
      <c r="D648" s="338"/>
      <c r="E648" s="339"/>
      <c r="F648" s="340"/>
      <c r="G648" s="341"/>
      <c r="H648" s="341"/>
      <c r="I648" s="342"/>
      <c r="J648" s="342"/>
    </row>
    <row r="649">
      <c r="A649" s="401"/>
      <c r="B649" s="337"/>
      <c r="C649" s="337"/>
      <c r="D649" s="338"/>
      <c r="E649" s="339"/>
      <c r="F649" s="340"/>
      <c r="G649" s="341"/>
      <c r="H649" s="341"/>
      <c r="I649" s="342"/>
      <c r="J649" s="342"/>
    </row>
    <row r="650">
      <c r="A650" s="401"/>
      <c r="B650" s="337"/>
      <c r="C650" s="337"/>
      <c r="D650" s="338"/>
      <c r="E650" s="339"/>
      <c r="F650" s="340"/>
      <c r="G650" s="341"/>
      <c r="H650" s="341"/>
      <c r="I650" s="342"/>
      <c r="J650" s="342"/>
    </row>
    <row r="651">
      <c r="A651" s="401"/>
      <c r="B651" s="337"/>
      <c r="C651" s="337"/>
      <c r="D651" s="338"/>
      <c r="E651" s="339"/>
      <c r="F651" s="340"/>
      <c r="G651" s="341"/>
      <c r="H651" s="341"/>
      <c r="I651" s="342"/>
      <c r="J651" s="342"/>
    </row>
    <row r="652">
      <c r="A652" s="401"/>
      <c r="B652" s="337"/>
      <c r="C652" s="337"/>
      <c r="D652" s="338"/>
      <c r="E652" s="339"/>
      <c r="F652" s="340"/>
      <c r="G652" s="341"/>
      <c r="H652" s="341"/>
      <c r="I652" s="342"/>
      <c r="J652" s="342"/>
    </row>
    <row r="653">
      <c r="A653" s="401"/>
      <c r="B653" s="337"/>
      <c r="C653" s="337"/>
      <c r="D653" s="338"/>
      <c r="E653" s="339"/>
      <c r="F653" s="340"/>
      <c r="G653" s="341"/>
      <c r="H653" s="341"/>
      <c r="I653" s="342"/>
      <c r="J653" s="342"/>
    </row>
    <row r="654">
      <c r="A654" s="401"/>
      <c r="B654" s="337"/>
      <c r="C654" s="337"/>
      <c r="D654" s="338"/>
      <c r="E654" s="339"/>
      <c r="F654" s="340"/>
      <c r="G654" s="341"/>
      <c r="H654" s="341"/>
      <c r="I654" s="342"/>
      <c r="J654" s="342"/>
    </row>
    <row r="655">
      <c r="A655" s="401"/>
      <c r="B655" s="337"/>
      <c r="C655" s="337"/>
      <c r="D655" s="338"/>
      <c r="E655" s="339"/>
      <c r="F655" s="340"/>
      <c r="G655" s="341"/>
      <c r="H655" s="341"/>
      <c r="I655" s="342"/>
      <c r="J655" s="342"/>
    </row>
    <row r="656">
      <c r="A656" s="401"/>
      <c r="B656" s="337"/>
      <c r="C656" s="337"/>
      <c r="D656" s="338"/>
      <c r="E656" s="339"/>
      <c r="F656" s="340"/>
      <c r="G656" s="341"/>
      <c r="H656" s="341"/>
      <c r="I656" s="342"/>
      <c r="J656" s="342"/>
    </row>
    <row r="657">
      <c r="A657" s="401"/>
      <c r="B657" s="337"/>
      <c r="C657" s="337"/>
      <c r="D657" s="338"/>
      <c r="E657" s="339"/>
      <c r="F657" s="340"/>
      <c r="G657" s="341"/>
      <c r="H657" s="341"/>
      <c r="I657" s="342"/>
      <c r="J657" s="342"/>
    </row>
    <row r="658">
      <c r="A658" s="401"/>
      <c r="B658" s="337"/>
      <c r="C658" s="337"/>
      <c r="D658" s="338"/>
      <c r="E658" s="339"/>
      <c r="F658" s="340"/>
      <c r="G658" s="341"/>
      <c r="H658" s="341"/>
      <c r="I658" s="342"/>
      <c r="J658" s="342"/>
    </row>
    <row r="659">
      <c r="A659" s="401"/>
      <c r="B659" s="337"/>
      <c r="C659" s="337"/>
      <c r="D659" s="338"/>
      <c r="E659" s="339"/>
      <c r="F659" s="340"/>
      <c r="G659" s="341"/>
      <c r="H659" s="341"/>
      <c r="I659" s="342"/>
      <c r="J659" s="342"/>
    </row>
    <row r="660">
      <c r="A660" s="401"/>
      <c r="B660" s="337"/>
      <c r="C660" s="337"/>
      <c r="D660" s="338"/>
      <c r="E660" s="339"/>
      <c r="F660" s="340"/>
      <c r="G660" s="341"/>
      <c r="H660" s="341"/>
      <c r="I660" s="342"/>
      <c r="J660" s="342"/>
    </row>
    <row r="661">
      <c r="A661" s="401"/>
      <c r="B661" s="337"/>
      <c r="C661" s="337"/>
      <c r="D661" s="338"/>
      <c r="E661" s="339"/>
      <c r="F661" s="340"/>
      <c r="G661" s="341"/>
      <c r="H661" s="341"/>
      <c r="I661" s="342"/>
      <c r="J661" s="342"/>
    </row>
    <row r="662">
      <c r="A662" s="401"/>
      <c r="B662" s="337"/>
      <c r="C662" s="337"/>
      <c r="D662" s="338"/>
      <c r="E662" s="339"/>
      <c r="F662" s="340"/>
      <c r="G662" s="341"/>
      <c r="H662" s="341"/>
      <c r="I662" s="342"/>
      <c r="J662" s="342"/>
    </row>
    <row r="663">
      <c r="A663" s="401"/>
      <c r="B663" s="337"/>
      <c r="C663" s="337"/>
      <c r="D663" s="338"/>
      <c r="E663" s="339"/>
      <c r="F663" s="340"/>
      <c r="G663" s="341"/>
      <c r="H663" s="341"/>
      <c r="I663" s="342"/>
      <c r="J663" s="342"/>
    </row>
    <row r="664">
      <c r="A664" s="401"/>
      <c r="B664" s="337"/>
      <c r="C664" s="337"/>
      <c r="D664" s="338"/>
      <c r="E664" s="339"/>
      <c r="F664" s="340"/>
      <c r="G664" s="341"/>
      <c r="H664" s="341"/>
      <c r="I664" s="342"/>
      <c r="J664" s="342"/>
    </row>
    <row r="665">
      <c r="A665" s="401"/>
      <c r="B665" s="337"/>
      <c r="C665" s="337"/>
      <c r="D665" s="338"/>
      <c r="E665" s="339"/>
      <c r="F665" s="340"/>
      <c r="G665" s="341"/>
      <c r="H665" s="341"/>
      <c r="I665" s="342"/>
      <c r="J665" s="342"/>
    </row>
    <row r="666">
      <c r="A666" s="401"/>
      <c r="B666" s="337"/>
      <c r="C666" s="337"/>
      <c r="D666" s="338"/>
      <c r="E666" s="339"/>
      <c r="F666" s="340"/>
      <c r="G666" s="341"/>
      <c r="H666" s="341"/>
      <c r="I666" s="342"/>
      <c r="J666" s="342"/>
    </row>
    <row r="667">
      <c r="A667" s="401"/>
      <c r="B667" s="337"/>
      <c r="C667" s="337"/>
      <c r="D667" s="338"/>
      <c r="E667" s="339"/>
      <c r="F667" s="340"/>
      <c r="G667" s="341"/>
      <c r="H667" s="341"/>
      <c r="I667" s="342"/>
      <c r="J667" s="342"/>
    </row>
    <row r="668">
      <c r="A668" s="401"/>
      <c r="B668" s="337"/>
      <c r="C668" s="337"/>
      <c r="D668" s="338"/>
      <c r="E668" s="339"/>
      <c r="F668" s="340"/>
      <c r="G668" s="341"/>
      <c r="H668" s="341"/>
      <c r="I668" s="342"/>
      <c r="J668" s="342"/>
    </row>
    <row r="669">
      <c r="A669" s="401"/>
      <c r="B669" s="337"/>
      <c r="C669" s="337"/>
      <c r="D669" s="338"/>
      <c r="E669" s="339"/>
      <c r="F669" s="340"/>
      <c r="G669" s="341"/>
      <c r="H669" s="341"/>
      <c r="I669" s="342"/>
      <c r="J669" s="342"/>
    </row>
    <row r="670">
      <c r="A670" s="401"/>
      <c r="B670" s="337"/>
      <c r="C670" s="337"/>
      <c r="D670" s="338"/>
      <c r="E670" s="339"/>
      <c r="F670" s="340"/>
      <c r="G670" s="341"/>
      <c r="H670" s="341"/>
      <c r="I670" s="342"/>
      <c r="J670" s="342"/>
    </row>
    <row r="671">
      <c r="A671" s="401"/>
      <c r="B671" s="337"/>
      <c r="C671" s="337"/>
      <c r="D671" s="338"/>
      <c r="E671" s="339"/>
      <c r="F671" s="340"/>
      <c r="G671" s="341"/>
      <c r="H671" s="341"/>
      <c r="I671" s="342"/>
      <c r="J671" s="342"/>
    </row>
    <row r="672">
      <c r="A672" s="401"/>
      <c r="B672" s="337"/>
      <c r="C672" s="337"/>
      <c r="D672" s="338"/>
      <c r="E672" s="339"/>
      <c r="F672" s="340"/>
      <c r="G672" s="341"/>
      <c r="H672" s="341"/>
      <c r="I672" s="342"/>
      <c r="J672" s="342"/>
    </row>
    <row r="673">
      <c r="A673" s="401"/>
      <c r="B673" s="337"/>
      <c r="C673" s="337"/>
      <c r="D673" s="338"/>
      <c r="E673" s="339"/>
      <c r="F673" s="340"/>
      <c r="G673" s="341"/>
      <c r="H673" s="341"/>
      <c r="I673" s="342"/>
      <c r="J673" s="342"/>
    </row>
    <row r="674">
      <c r="A674" s="401"/>
      <c r="B674" s="337"/>
      <c r="C674" s="337"/>
      <c r="D674" s="338"/>
      <c r="E674" s="339"/>
      <c r="F674" s="340"/>
      <c r="G674" s="341"/>
      <c r="H674" s="341"/>
      <c r="I674" s="342"/>
      <c r="J674" s="342"/>
    </row>
    <row r="675">
      <c r="A675" s="401"/>
      <c r="B675" s="337"/>
      <c r="C675" s="337"/>
      <c r="D675" s="338"/>
      <c r="E675" s="339"/>
      <c r="F675" s="340"/>
      <c r="G675" s="341"/>
      <c r="H675" s="341"/>
      <c r="I675" s="342"/>
      <c r="J675" s="342"/>
    </row>
    <row r="676">
      <c r="A676" s="401"/>
      <c r="B676" s="337"/>
      <c r="C676" s="337"/>
      <c r="D676" s="338"/>
      <c r="E676" s="339"/>
      <c r="F676" s="340"/>
      <c r="G676" s="341"/>
      <c r="H676" s="341"/>
      <c r="I676" s="342"/>
      <c r="J676" s="342"/>
    </row>
    <row r="677">
      <c r="A677" s="401"/>
      <c r="B677" s="337"/>
      <c r="C677" s="337"/>
      <c r="D677" s="338"/>
      <c r="E677" s="339"/>
      <c r="F677" s="340"/>
      <c r="G677" s="341"/>
      <c r="H677" s="341"/>
      <c r="I677" s="342"/>
      <c r="J677" s="342"/>
    </row>
    <row r="678">
      <c r="A678" s="401"/>
      <c r="B678" s="337"/>
      <c r="C678" s="337"/>
      <c r="D678" s="338"/>
      <c r="E678" s="339"/>
      <c r="F678" s="340"/>
      <c r="G678" s="341"/>
      <c r="H678" s="341"/>
      <c r="I678" s="342"/>
      <c r="J678" s="342"/>
    </row>
    <row r="679">
      <c r="A679" s="401"/>
      <c r="B679" s="337"/>
      <c r="C679" s="337"/>
      <c r="D679" s="338"/>
      <c r="E679" s="339"/>
      <c r="F679" s="340"/>
      <c r="G679" s="341"/>
      <c r="H679" s="341"/>
      <c r="I679" s="342"/>
      <c r="J679" s="342"/>
    </row>
    <row r="680">
      <c r="A680" s="401"/>
      <c r="B680" s="337"/>
      <c r="C680" s="337"/>
      <c r="D680" s="338"/>
      <c r="E680" s="339"/>
      <c r="F680" s="340"/>
      <c r="G680" s="341"/>
      <c r="H680" s="341"/>
      <c r="I680" s="342"/>
      <c r="J680" s="342"/>
    </row>
    <row r="681">
      <c r="A681" s="401"/>
      <c r="B681" s="337"/>
      <c r="C681" s="337"/>
      <c r="D681" s="338"/>
      <c r="E681" s="339"/>
      <c r="F681" s="340"/>
      <c r="G681" s="341"/>
      <c r="H681" s="341"/>
      <c r="I681" s="342"/>
      <c r="J681" s="342"/>
    </row>
    <row r="682">
      <c r="A682" s="401"/>
      <c r="B682" s="337"/>
      <c r="C682" s="337"/>
      <c r="D682" s="338"/>
      <c r="E682" s="339"/>
      <c r="F682" s="340"/>
      <c r="G682" s="341"/>
      <c r="H682" s="341"/>
      <c r="I682" s="342"/>
      <c r="J682" s="342"/>
    </row>
    <row r="683">
      <c r="A683" s="401"/>
      <c r="B683" s="337"/>
      <c r="C683" s="337"/>
      <c r="D683" s="338"/>
      <c r="E683" s="339"/>
      <c r="F683" s="340"/>
      <c r="G683" s="341"/>
      <c r="H683" s="341"/>
      <c r="I683" s="342"/>
      <c r="J683" s="342"/>
    </row>
    <row r="684">
      <c r="A684" s="401"/>
      <c r="B684" s="337"/>
      <c r="C684" s="337"/>
      <c r="D684" s="338"/>
      <c r="E684" s="339"/>
      <c r="F684" s="340"/>
      <c r="G684" s="341"/>
      <c r="H684" s="341"/>
      <c r="I684" s="342"/>
      <c r="J684" s="342"/>
    </row>
    <row r="685">
      <c r="A685" s="401"/>
      <c r="B685" s="337"/>
      <c r="C685" s="337"/>
      <c r="D685" s="338"/>
      <c r="E685" s="339"/>
      <c r="F685" s="340"/>
      <c r="G685" s="341"/>
      <c r="H685" s="341"/>
      <c r="I685" s="342"/>
      <c r="J685" s="342"/>
    </row>
    <row r="686">
      <c r="A686" s="401"/>
      <c r="B686" s="337"/>
      <c r="C686" s="337"/>
      <c r="D686" s="338"/>
      <c r="E686" s="339"/>
      <c r="F686" s="340"/>
      <c r="G686" s="341"/>
      <c r="H686" s="341"/>
      <c r="I686" s="342"/>
      <c r="J686" s="342"/>
    </row>
    <row r="687">
      <c r="A687" s="401"/>
      <c r="B687" s="337"/>
      <c r="C687" s="337"/>
      <c r="D687" s="338"/>
      <c r="E687" s="339"/>
      <c r="F687" s="340"/>
      <c r="G687" s="341"/>
      <c r="H687" s="341"/>
      <c r="I687" s="342"/>
      <c r="J687" s="342"/>
    </row>
    <row r="688">
      <c r="A688" s="401"/>
      <c r="B688" s="337"/>
      <c r="C688" s="337"/>
      <c r="D688" s="338"/>
      <c r="E688" s="339"/>
      <c r="F688" s="340"/>
      <c r="G688" s="341"/>
      <c r="H688" s="341"/>
      <c r="I688" s="342"/>
      <c r="J688" s="342"/>
    </row>
    <row r="689">
      <c r="A689" s="401"/>
      <c r="B689" s="337"/>
      <c r="C689" s="337"/>
      <c r="D689" s="338"/>
      <c r="E689" s="339"/>
      <c r="F689" s="340"/>
      <c r="G689" s="341"/>
      <c r="H689" s="341"/>
      <c r="I689" s="342"/>
      <c r="J689" s="342"/>
    </row>
    <row r="690">
      <c r="A690" s="401"/>
      <c r="B690" s="337"/>
      <c r="C690" s="337"/>
      <c r="D690" s="338"/>
      <c r="E690" s="339"/>
      <c r="F690" s="340"/>
      <c r="G690" s="341"/>
      <c r="H690" s="341"/>
      <c r="I690" s="342"/>
      <c r="J690" s="342"/>
    </row>
    <row r="691">
      <c r="A691" s="401"/>
      <c r="B691" s="337"/>
      <c r="C691" s="337"/>
      <c r="D691" s="338"/>
      <c r="E691" s="339"/>
      <c r="F691" s="340"/>
      <c r="G691" s="341"/>
      <c r="H691" s="341"/>
      <c r="I691" s="342"/>
      <c r="J691" s="342"/>
    </row>
    <row r="692">
      <c r="A692" s="401"/>
      <c r="B692" s="337"/>
      <c r="C692" s="337"/>
      <c r="D692" s="338"/>
      <c r="E692" s="339"/>
      <c r="F692" s="340"/>
      <c r="G692" s="341"/>
      <c r="H692" s="341"/>
      <c r="I692" s="342"/>
      <c r="J692" s="342"/>
    </row>
    <row r="693">
      <c r="A693" s="401"/>
      <c r="B693" s="337"/>
      <c r="C693" s="337"/>
      <c r="D693" s="338"/>
      <c r="E693" s="339"/>
      <c r="F693" s="340"/>
      <c r="G693" s="341"/>
      <c r="H693" s="341"/>
      <c r="I693" s="342"/>
      <c r="J693" s="342"/>
    </row>
    <row r="694">
      <c r="A694" s="401"/>
      <c r="B694" s="337"/>
      <c r="C694" s="337"/>
      <c r="D694" s="338"/>
      <c r="E694" s="339"/>
      <c r="F694" s="340"/>
      <c r="G694" s="341"/>
      <c r="H694" s="341"/>
      <c r="I694" s="342"/>
      <c r="J694" s="342"/>
    </row>
    <row r="695">
      <c r="A695" s="401"/>
      <c r="B695" s="337"/>
      <c r="C695" s="337"/>
      <c r="D695" s="338"/>
      <c r="E695" s="339"/>
      <c r="F695" s="340"/>
      <c r="G695" s="341"/>
      <c r="H695" s="341"/>
      <c r="I695" s="342"/>
      <c r="J695" s="342"/>
    </row>
    <row r="696">
      <c r="A696" s="401"/>
      <c r="B696" s="337"/>
      <c r="C696" s="337"/>
      <c r="D696" s="338"/>
      <c r="E696" s="339"/>
      <c r="F696" s="340"/>
      <c r="G696" s="341"/>
      <c r="H696" s="341"/>
      <c r="I696" s="342"/>
      <c r="J696" s="342"/>
    </row>
    <row r="697">
      <c r="A697" s="401"/>
      <c r="B697" s="337"/>
      <c r="C697" s="337"/>
      <c r="D697" s="338"/>
      <c r="E697" s="339"/>
      <c r="F697" s="340"/>
      <c r="G697" s="341"/>
      <c r="H697" s="341"/>
      <c r="I697" s="342"/>
      <c r="J697" s="342"/>
    </row>
    <row r="698">
      <c r="A698" s="401"/>
      <c r="B698" s="337"/>
      <c r="C698" s="337"/>
      <c r="D698" s="338"/>
      <c r="E698" s="339"/>
      <c r="F698" s="340"/>
      <c r="G698" s="341"/>
      <c r="H698" s="341"/>
      <c r="I698" s="342"/>
      <c r="J698" s="342"/>
    </row>
    <row r="699">
      <c r="A699" s="401"/>
      <c r="B699" s="337"/>
      <c r="C699" s="337"/>
      <c r="D699" s="338"/>
      <c r="E699" s="339"/>
      <c r="F699" s="340"/>
      <c r="G699" s="341"/>
      <c r="H699" s="341"/>
      <c r="I699" s="342"/>
      <c r="J699" s="342"/>
    </row>
    <row r="700">
      <c r="A700" s="401"/>
      <c r="B700" s="337"/>
      <c r="C700" s="337"/>
      <c r="D700" s="338"/>
      <c r="E700" s="339"/>
      <c r="F700" s="340"/>
      <c r="G700" s="341"/>
      <c r="H700" s="341"/>
      <c r="I700" s="342"/>
      <c r="J700" s="342"/>
    </row>
    <row r="701">
      <c r="A701" s="401"/>
      <c r="B701" s="337"/>
      <c r="C701" s="337"/>
      <c r="D701" s="338"/>
      <c r="E701" s="339"/>
      <c r="F701" s="340"/>
      <c r="G701" s="341"/>
      <c r="H701" s="341"/>
      <c r="I701" s="342"/>
      <c r="J701" s="342"/>
    </row>
    <row r="702">
      <c r="A702" s="401"/>
      <c r="B702" s="337"/>
      <c r="C702" s="337"/>
      <c r="D702" s="338"/>
      <c r="E702" s="339"/>
      <c r="F702" s="340"/>
      <c r="G702" s="341"/>
      <c r="H702" s="341"/>
      <c r="I702" s="342"/>
      <c r="J702" s="342"/>
    </row>
    <row r="703">
      <c r="A703" s="401"/>
      <c r="B703" s="337"/>
      <c r="C703" s="337"/>
      <c r="D703" s="338"/>
      <c r="E703" s="339"/>
      <c r="F703" s="340"/>
      <c r="G703" s="341"/>
      <c r="H703" s="341"/>
      <c r="I703" s="342"/>
      <c r="J703" s="342"/>
    </row>
    <row r="704">
      <c r="A704" s="401"/>
      <c r="B704" s="337"/>
      <c r="C704" s="337"/>
      <c r="D704" s="338"/>
      <c r="E704" s="339"/>
      <c r="F704" s="340"/>
      <c r="G704" s="341"/>
      <c r="H704" s="341"/>
      <c r="I704" s="342"/>
      <c r="J704" s="342"/>
    </row>
    <row r="705">
      <c r="A705" s="401"/>
      <c r="B705" s="337"/>
      <c r="C705" s="337"/>
      <c r="D705" s="338"/>
      <c r="E705" s="339"/>
      <c r="F705" s="340"/>
      <c r="G705" s="341"/>
      <c r="H705" s="341"/>
      <c r="I705" s="342"/>
      <c r="J705" s="342"/>
    </row>
    <row r="706">
      <c r="A706" s="401"/>
      <c r="B706" s="337"/>
      <c r="C706" s="337"/>
      <c r="D706" s="338"/>
      <c r="E706" s="339"/>
      <c r="F706" s="340"/>
      <c r="G706" s="341"/>
      <c r="H706" s="341"/>
      <c r="I706" s="342"/>
      <c r="J706" s="342"/>
    </row>
    <row r="707">
      <c r="A707" s="401"/>
      <c r="B707" s="337"/>
      <c r="C707" s="337"/>
      <c r="D707" s="338"/>
      <c r="E707" s="339"/>
      <c r="F707" s="340"/>
      <c r="G707" s="341"/>
      <c r="H707" s="341"/>
      <c r="I707" s="342"/>
      <c r="J707" s="342"/>
    </row>
    <row r="708">
      <c r="A708" s="401"/>
      <c r="B708" s="337"/>
      <c r="C708" s="337"/>
      <c r="D708" s="338"/>
      <c r="E708" s="339"/>
      <c r="F708" s="340"/>
      <c r="G708" s="341"/>
      <c r="H708" s="341"/>
      <c r="I708" s="342"/>
      <c r="J708" s="342"/>
    </row>
    <row r="709">
      <c r="A709" s="401"/>
      <c r="B709" s="337"/>
      <c r="C709" s="337"/>
      <c r="D709" s="338"/>
      <c r="E709" s="339"/>
      <c r="F709" s="340"/>
      <c r="G709" s="341"/>
      <c r="H709" s="341"/>
      <c r="I709" s="342"/>
      <c r="J709" s="342"/>
    </row>
    <row r="710">
      <c r="A710" s="401"/>
      <c r="B710" s="337"/>
      <c r="C710" s="337"/>
      <c r="D710" s="338"/>
      <c r="E710" s="339"/>
      <c r="F710" s="340"/>
      <c r="G710" s="341"/>
      <c r="H710" s="341"/>
      <c r="I710" s="342"/>
      <c r="J710" s="342"/>
    </row>
    <row r="711">
      <c r="A711" s="401"/>
      <c r="B711" s="337"/>
      <c r="C711" s="337"/>
      <c r="D711" s="338"/>
      <c r="E711" s="339"/>
      <c r="F711" s="340"/>
      <c r="G711" s="341"/>
      <c r="H711" s="341"/>
      <c r="I711" s="342"/>
      <c r="J711" s="342"/>
    </row>
    <row r="712">
      <c r="A712" s="401"/>
      <c r="B712" s="337"/>
      <c r="C712" s="337"/>
      <c r="D712" s="338"/>
      <c r="E712" s="339"/>
      <c r="F712" s="340"/>
      <c r="G712" s="341"/>
      <c r="H712" s="341"/>
      <c r="I712" s="342"/>
      <c r="J712" s="342"/>
    </row>
    <row r="713">
      <c r="A713" s="401"/>
      <c r="B713" s="337"/>
      <c r="C713" s="337"/>
      <c r="D713" s="338"/>
      <c r="E713" s="339"/>
      <c r="F713" s="340"/>
      <c r="G713" s="341"/>
      <c r="H713" s="341"/>
      <c r="I713" s="342"/>
      <c r="J713" s="342"/>
    </row>
    <row r="714">
      <c r="A714" s="401"/>
      <c r="B714" s="337"/>
      <c r="C714" s="337"/>
      <c r="D714" s="338"/>
      <c r="E714" s="339"/>
      <c r="F714" s="340"/>
      <c r="G714" s="341"/>
      <c r="H714" s="341"/>
      <c r="I714" s="342"/>
      <c r="J714" s="342"/>
    </row>
    <row r="715">
      <c r="A715" s="401"/>
      <c r="B715" s="337"/>
      <c r="C715" s="337"/>
      <c r="D715" s="338"/>
      <c r="E715" s="339"/>
      <c r="F715" s="340"/>
      <c r="G715" s="341"/>
      <c r="H715" s="341"/>
      <c r="I715" s="342"/>
      <c r="J715" s="342"/>
    </row>
    <row r="716">
      <c r="A716" s="401"/>
      <c r="B716" s="337"/>
      <c r="C716" s="337"/>
      <c r="D716" s="338"/>
      <c r="E716" s="339"/>
      <c r="F716" s="340"/>
      <c r="G716" s="341"/>
      <c r="H716" s="341"/>
      <c r="I716" s="342"/>
      <c r="J716" s="342"/>
    </row>
    <row r="717">
      <c r="A717" s="401"/>
      <c r="B717" s="337"/>
      <c r="C717" s="337"/>
      <c r="D717" s="338"/>
      <c r="E717" s="339"/>
      <c r="F717" s="340"/>
      <c r="G717" s="341"/>
      <c r="H717" s="341"/>
      <c r="I717" s="342"/>
      <c r="J717" s="342"/>
    </row>
    <row r="718">
      <c r="A718" s="401"/>
      <c r="B718" s="337"/>
      <c r="C718" s="337"/>
      <c r="D718" s="338"/>
      <c r="E718" s="339"/>
      <c r="F718" s="340"/>
      <c r="G718" s="341"/>
      <c r="H718" s="341"/>
      <c r="I718" s="342"/>
      <c r="J718" s="342"/>
    </row>
    <row r="719">
      <c r="A719" s="401"/>
      <c r="B719" s="337"/>
      <c r="C719" s="337"/>
      <c r="D719" s="338"/>
      <c r="E719" s="339"/>
      <c r="F719" s="340"/>
      <c r="G719" s="341"/>
      <c r="H719" s="341"/>
      <c r="I719" s="342"/>
      <c r="J719" s="342"/>
    </row>
    <row r="720">
      <c r="A720" s="401"/>
      <c r="B720" s="337"/>
      <c r="C720" s="337"/>
      <c r="D720" s="338"/>
      <c r="E720" s="339"/>
      <c r="F720" s="340"/>
      <c r="G720" s="341"/>
      <c r="H720" s="341"/>
      <c r="I720" s="342"/>
      <c r="J720" s="342"/>
    </row>
    <row r="721">
      <c r="A721" s="401"/>
      <c r="B721" s="337"/>
      <c r="C721" s="337"/>
      <c r="D721" s="338"/>
      <c r="E721" s="339"/>
      <c r="F721" s="340"/>
      <c r="G721" s="341"/>
      <c r="H721" s="341"/>
      <c r="I721" s="342"/>
      <c r="J721" s="342"/>
    </row>
    <row r="722">
      <c r="A722" s="401"/>
      <c r="B722" s="337"/>
      <c r="C722" s="337"/>
      <c r="D722" s="338"/>
      <c r="E722" s="339"/>
      <c r="F722" s="340"/>
      <c r="G722" s="341"/>
      <c r="H722" s="341"/>
      <c r="I722" s="342"/>
      <c r="J722" s="342"/>
    </row>
    <row r="723">
      <c r="A723" s="401"/>
      <c r="B723" s="337"/>
      <c r="C723" s="337"/>
      <c r="D723" s="338"/>
      <c r="E723" s="339"/>
      <c r="F723" s="340"/>
      <c r="G723" s="341"/>
      <c r="H723" s="341"/>
      <c r="I723" s="342"/>
      <c r="J723" s="342"/>
    </row>
    <row r="724">
      <c r="A724" s="401"/>
      <c r="B724" s="337"/>
      <c r="C724" s="337"/>
      <c r="D724" s="338"/>
      <c r="E724" s="339"/>
      <c r="F724" s="340"/>
      <c r="G724" s="341"/>
      <c r="H724" s="341"/>
      <c r="I724" s="342"/>
      <c r="J724" s="342"/>
    </row>
    <row r="725">
      <c r="A725" s="401"/>
      <c r="B725" s="337"/>
      <c r="C725" s="337"/>
      <c r="D725" s="338"/>
      <c r="E725" s="339"/>
      <c r="F725" s="340"/>
      <c r="G725" s="341"/>
      <c r="H725" s="341"/>
      <c r="I725" s="342"/>
      <c r="J725" s="342"/>
    </row>
    <row r="726">
      <c r="A726" s="401"/>
      <c r="B726" s="337"/>
      <c r="C726" s="337"/>
      <c r="D726" s="338"/>
      <c r="E726" s="339"/>
      <c r="F726" s="340"/>
      <c r="G726" s="341"/>
      <c r="H726" s="341"/>
      <c r="I726" s="342"/>
      <c r="J726" s="342"/>
    </row>
    <row r="727">
      <c r="A727" s="401"/>
      <c r="B727" s="337"/>
      <c r="C727" s="337"/>
      <c r="D727" s="338"/>
      <c r="E727" s="339"/>
      <c r="F727" s="340"/>
      <c r="G727" s="341"/>
      <c r="H727" s="341"/>
      <c r="I727" s="342"/>
      <c r="J727" s="342"/>
    </row>
    <row r="728">
      <c r="A728" s="401"/>
      <c r="B728" s="337"/>
      <c r="C728" s="337"/>
      <c r="D728" s="338"/>
      <c r="E728" s="339"/>
      <c r="F728" s="340"/>
      <c r="G728" s="341"/>
      <c r="H728" s="341"/>
      <c r="I728" s="342"/>
      <c r="J728" s="342"/>
    </row>
    <row r="729">
      <c r="A729" s="401"/>
      <c r="B729" s="337"/>
      <c r="C729" s="337"/>
      <c r="D729" s="338"/>
      <c r="E729" s="339"/>
      <c r="F729" s="340"/>
      <c r="G729" s="341"/>
      <c r="H729" s="341"/>
      <c r="I729" s="342"/>
      <c r="J729" s="342"/>
    </row>
    <row r="730">
      <c r="A730" s="401"/>
      <c r="B730" s="337"/>
      <c r="C730" s="337"/>
      <c r="D730" s="338"/>
      <c r="E730" s="339"/>
      <c r="F730" s="340"/>
      <c r="G730" s="341"/>
      <c r="H730" s="341"/>
      <c r="I730" s="342"/>
      <c r="J730" s="342"/>
    </row>
    <row r="731">
      <c r="A731" s="401"/>
      <c r="B731" s="337"/>
      <c r="C731" s="337"/>
      <c r="D731" s="338"/>
      <c r="E731" s="339"/>
      <c r="F731" s="340"/>
      <c r="G731" s="341"/>
      <c r="H731" s="341"/>
      <c r="I731" s="342"/>
      <c r="J731" s="342"/>
    </row>
    <row r="732">
      <c r="A732" s="401"/>
      <c r="B732" s="337"/>
      <c r="C732" s="337"/>
      <c r="D732" s="338"/>
      <c r="E732" s="339"/>
      <c r="F732" s="340"/>
      <c r="G732" s="341"/>
      <c r="H732" s="341"/>
      <c r="I732" s="342"/>
      <c r="J732" s="342"/>
    </row>
    <row r="733">
      <c r="A733" s="401"/>
      <c r="B733" s="337"/>
      <c r="C733" s="337"/>
      <c r="D733" s="338"/>
      <c r="E733" s="339"/>
      <c r="F733" s="340"/>
      <c r="G733" s="341"/>
      <c r="H733" s="341"/>
      <c r="I733" s="342"/>
      <c r="J733" s="342"/>
    </row>
    <row r="734">
      <c r="A734" s="401"/>
      <c r="B734" s="337"/>
      <c r="C734" s="337"/>
      <c r="D734" s="338"/>
      <c r="E734" s="339"/>
      <c r="F734" s="340"/>
      <c r="G734" s="341"/>
      <c r="H734" s="341"/>
      <c r="I734" s="342"/>
      <c r="J734" s="342"/>
    </row>
    <row r="735">
      <c r="A735" s="401"/>
      <c r="B735" s="337"/>
      <c r="C735" s="337"/>
      <c r="D735" s="338"/>
      <c r="E735" s="339"/>
      <c r="F735" s="340"/>
      <c r="G735" s="341"/>
      <c r="H735" s="341"/>
      <c r="I735" s="342"/>
      <c r="J735" s="342"/>
    </row>
    <row r="736">
      <c r="A736" s="401"/>
      <c r="B736" s="337"/>
      <c r="C736" s="337"/>
      <c r="D736" s="338"/>
      <c r="E736" s="339"/>
      <c r="F736" s="340"/>
      <c r="G736" s="341"/>
      <c r="H736" s="341"/>
      <c r="I736" s="342"/>
      <c r="J736" s="342"/>
    </row>
    <row r="737">
      <c r="A737" s="401"/>
      <c r="B737" s="337"/>
      <c r="C737" s="337"/>
      <c r="D737" s="338"/>
      <c r="E737" s="339"/>
      <c r="F737" s="340"/>
      <c r="G737" s="341"/>
      <c r="H737" s="341"/>
      <c r="I737" s="342"/>
      <c r="J737" s="342"/>
    </row>
    <row r="738">
      <c r="A738" s="401"/>
      <c r="B738" s="337"/>
      <c r="C738" s="337"/>
      <c r="D738" s="338"/>
      <c r="E738" s="339"/>
      <c r="F738" s="340"/>
      <c r="G738" s="341"/>
      <c r="H738" s="341"/>
      <c r="I738" s="342"/>
      <c r="J738" s="342"/>
    </row>
    <row r="739">
      <c r="A739" s="401"/>
      <c r="B739" s="337"/>
      <c r="C739" s="337"/>
      <c r="D739" s="338"/>
      <c r="E739" s="339"/>
      <c r="F739" s="340"/>
      <c r="G739" s="341"/>
      <c r="H739" s="341"/>
      <c r="I739" s="342"/>
      <c r="J739" s="342"/>
    </row>
    <row r="740">
      <c r="A740" s="401"/>
      <c r="B740" s="337"/>
      <c r="C740" s="337"/>
      <c r="D740" s="338"/>
      <c r="E740" s="339"/>
      <c r="F740" s="340"/>
      <c r="G740" s="341"/>
      <c r="H740" s="341"/>
      <c r="I740" s="342"/>
      <c r="J740" s="342"/>
    </row>
    <row r="741">
      <c r="A741" s="401"/>
      <c r="B741" s="337"/>
      <c r="C741" s="337"/>
      <c r="D741" s="338"/>
      <c r="E741" s="339"/>
      <c r="F741" s="340"/>
      <c r="G741" s="341"/>
      <c r="H741" s="341"/>
      <c r="I741" s="342"/>
      <c r="J741" s="342"/>
    </row>
    <row r="742">
      <c r="A742" s="401"/>
      <c r="B742" s="337"/>
      <c r="C742" s="337"/>
      <c r="D742" s="338"/>
      <c r="E742" s="339"/>
      <c r="F742" s="340"/>
      <c r="G742" s="341"/>
      <c r="H742" s="341"/>
      <c r="I742" s="342"/>
      <c r="J742" s="342"/>
    </row>
    <row r="743">
      <c r="A743" s="401"/>
      <c r="B743" s="337"/>
      <c r="C743" s="337"/>
      <c r="D743" s="338"/>
      <c r="E743" s="339"/>
      <c r="F743" s="340"/>
      <c r="G743" s="341"/>
      <c r="H743" s="341"/>
      <c r="I743" s="342"/>
      <c r="J743" s="342"/>
    </row>
    <row r="744">
      <c r="A744" s="401"/>
      <c r="B744" s="337"/>
      <c r="C744" s="337"/>
      <c r="D744" s="338"/>
      <c r="E744" s="339"/>
      <c r="F744" s="340"/>
      <c r="G744" s="341"/>
      <c r="H744" s="341"/>
      <c r="I744" s="342"/>
      <c r="J744" s="342"/>
    </row>
    <row r="745">
      <c r="A745" s="401"/>
      <c r="B745" s="337"/>
      <c r="C745" s="337"/>
      <c r="D745" s="338"/>
      <c r="E745" s="339"/>
      <c r="F745" s="340"/>
      <c r="G745" s="341"/>
      <c r="H745" s="341"/>
      <c r="I745" s="342"/>
      <c r="J745" s="342"/>
    </row>
    <row r="746">
      <c r="A746" s="401"/>
      <c r="B746" s="337"/>
      <c r="C746" s="337"/>
      <c r="D746" s="338"/>
      <c r="E746" s="339"/>
      <c r="F746" s="340"/>
      <c r="G746" s="341"/>
      <c r="H746" s="341"/>
      <c r="I746" s="342"/>
      <c r="J746" s="342"/>
    </row>
    <row r="747">
      <c r="A747" s="401"/>
      <c r="B747" s="337"/>
      <c r="C747" s="337"/>
      <c r="D747" s="338"/>
      <c r="E747" s="339"/>
      <c r="F747" s="340"/>
      <c r="G747" s="341"/>
      <c r="H747" s="341"/>
      <c r="I747" s="342"/>
      <c r="J747" s="342"/>
    </row>
    <row r="748">
      <c r="A748" s="401"/>
      <c r="B748" s="337"/>
      <c r="C748" s="337"/>
      <c r="D748" s="338"/>
      <c r="E748" s="339"/>
      <c r="F748" s="340"/>
      <c r="G748" s="341"/>
      <c r="H748" s="341"/>
      <c r="I748" s="342"/>
      <c r="J748" s="342"/>
    </row>
    <row r="749">
      <c r="A749" s="401"/>
      <c r="B749" s="337"/>
      <c r="C749" s="337"/>
      <c r="D749" s="338"/>
      <c r="E749" s="339"/>
      <c r="F749" s="340"/>
      <c r="G749" s="341"/>
      <c r="H749" s="341"/>
      <c r="I749" s="342"/>
      <c r="J749" s="342"/>
    </row>
    <row r="750">
      <c r="A750" s="401"/>
      <c r="B750" s="337"/>
      <c r="C750" s="337"/>
      <c r="D750" s="338"/>
      <c r="E750" s="339"/>
      <c r="F750" s="340"/>
      <c r="G750" s="341"/>
      <c r="H750" s="341"/>
      <c r="I750" s="342"/>
      <c r="J750" s="342"/>
    </row>
    <row r="751">
      <c r="A751" s="401"/>
      <c r="B751" s="337"/>
      <c r="C751" s="337"/>
      <c r="D751" s="338"/>
      <c r="E751" s="339"/>
      <c r="F751" s="340"/>
      <c r="G751" s="341"/>
      <c r="H751" s="341"/>
      <c r="I751" s="342"/>
      <c r="J751" s="342"/>
    </row>
    <row r="752">
      <c r="A752" s="401"/>
      <c r="B752" s="337"/>
      <c r="C752" s="337"/>
      <c r="D752" s="338"/>
      <c r="E752" s="339"/>
      <c r="F752" s="340"/>
      <c r="G752" s="341"/>
      <c r="H752" s="341"/>
      <c r="I752" s="342"/>
      <c r="J752" s="342"/>
    </row>
    <row r="753">
      <c r="A753" s="401"/>
      <c r="B753" s="337"/>
      <c r="C753" s="337"/>
      <c r="D753" s="338"/>
      <c r="E753" s="339"/>
      <c r="F753" s="340"/>
      <c r="G753" s="341"/>
      <c r="H753" s="341"/>
      <c r="I753" s="342"/>
      <c r="J753" s="342"/>
    </row>
    <row r="754">
      <c r="A754" s="401"/>
      <c r="B754" s="337"/>
      <c r="C754" s="337"/>
      <c r="D754" s="338"/>
      <c r="E754" s="339"/>
      <c r="F754" s="340"/>
      <c r="G754" s="341"/>
      <c r="H754" s="341"/>
      <c r="I754" s="342"/>
      <c r="J754" s="342"/>
    </row>
    <row r="755">
      <c r="A755" s="401"/>
      <c r="B755" s="337"/>
      <c r="C755" s="337"/>
      <c r="D755" s="338"/>
      <c r="E755" s="339"/>
      <c r="F755" s="340"/>
      <c r="G755" s="341"/>
      <c r="H755" s="341"/>
      <c r="I755" s="342"/>
      <c r="J755" s="342"/>
    </row>
    <row r="756">
      <c r="A756" s="401"/>
      <c r="B756" s="337"/>
      <c r="C756" s="337"/>
      <c r="D756" s="338"/>
      <c r="E756" s="339"/>
      <c r="F756" s="340"/>
      <c r="G756" s="341"/>
      <c r="H756" s="341"/>
      <c r="I756" s="342"/>
      <c r="J756" s="342"/>
    </row>
    <row r="757">
      <c r="A757" s="401"/>
      <c r="B757" s="337"/>
      <c r="C757" s="337"/>
      <c r="D757" s="338"/>
      <c r="E757" s="339"/>
      <c r="F757" s="340"/>
      <c r="G757" s="341"/>
      <c r="H757" s="341"/>
      <c r="I757" s="342"/>
      <c r="J757" s="342"/>
    </row>
    <row r="758">
      <c r="A758" s="401"/>
      <c r="B758" s="337"/>
      <c r="C758" s="337"/>
      <c r="D758" s="338"/>
      <c r="E758" s="339"/>
      <c r="F758" s="340"/>
      <c r="G758" s="341"/>
      <c r="H758" s="341"/>
      <c r="I758" s="342"/>
      <c r="J758" s="342"/>
    </row>
    <row r="759">
      <c r="A759" s="401"/>
      <c r="B759" s="337"/>
      <c r="C759" s="337"/>
      <c r="D759" s="338"/>
      <c r="E759" s="339"/>
      <c r="F759" s="340"/>
      <c r="G759" s="341"/>
      <c r="H759" s="341"/>
      <c r="I759" s="342"/>
      <c r="J759" s="342"/>
    </row>
    <row r="760">
      <c r="A760" s="401"/>
      <c r="B760" s="337"/>
      <c r="C760" s="337"/>
      <c r="D760" s="338"/>
      <c r="E760" s="339"/>
      <c r="F760" s="340"/>
      <c r="G760" s="341"/>
      <c r="H760" s="341"/>
      <c r="I760" s="342"/>
      <c r="J760" s="342"/>
    </row>
    <row r="761">
      <c r="A761" s="401"/>
      <c r="B761" s="337"/>
      <c r="C761" s="337"/>
      <c r="D761" s="338"/>
      <c r="E761" s="339"/>
      <c r="F761" s="340"/>
      <c r="G761" s="341"/>
      <c r="H761" s="341"/>
      <c r="I761" s="342"/>
      <c r="J761" s="342"/>
    </row>
    <row r="762">
      <c r="A762" s="401"/>
      <c r="B762" s="337"/>
      <c r="C762" s="337"/>
      <c r="D762" s="338"/>
      <c r="E762" s="339"/>
      <c r="F762" s="340"/>
      <c r="G762" s="341"/>
      <c r="H762" s="341"/>
      <c r="I762" s="342"/>
      <c r="J762" s="342"/>
    </row>
    <row r="763">
      <c r="A763" s="401"/>
      <c r="B763" s="337"/>
      <c r="C763" s="337"/>
      <c r="D763" s="338"/>
      <c r="E763" s="339"/>
      <c r="F763" s="340"/>
      <c r="G763" s="341"/>
      <c r="H763" s="341"/>
      <c r="I763" s="342"/>
      <c r="J763" s="342"/>
    </row>
    <row r="764">
      <c r="A764" s="401"/>
      <c r="B764" s="337"/>
      <c r="C764" s="337"/>
      <c r="D764" s="338"/>
      <c r="E764" s="339"/>
      <c r="F764" s="340"/>
      <c r="G764" s="341"/>
      <c r="H764" s="341"/>
      <c r="I764" s="342"/>
      <c r="J764" s="342"/>
    </row>
    <row r="765">
      <c r="A765" s="401"/>
      <c r="B765" s="337"/>
      <c r="C765" s="337"/>
      <c r="D765" s="338"/>
      <c r="E765" s="339"/>
      <c r="F765" s="340"/>
      <c r="G765" s="341"/>
      <c r="H765" s="341"/>
      <c r="I765" s="342"/>
      <c r="J765" s="342"/>
    </row>
    <row r="766">
      <c r="A766" s="401"/>
      <c r="B766" s="337"/>
      <c r="C766" s="337"/>
      <c r="D766" s="338"/>
      <c r="E766" s="339"/>
      <c r="F766" s="340"/>
      <c r="G766" s="341"/>
      <c r="H766" s="341"/>
      <c r="I766" s="342"/>
      <c r="J766" s="342"/>
    </row>
    <row r="767">
      <c r="A767" s="401"/>
      <c r="B767" s="337"/>
      <c r="C767" s="337"/>
      <c r="D767" s="338"/>
      <c r="E767" s="339"/>
      <c r="F767" s="340"/>
      <c r="G767" s="341"/>
      <c r="H767" s="341"/>
      <c r="I767" s="342"/>
      <c r="J767" s="342"/>
    </row>
    <row r="768">
      <c r="A768" s="401"/>
      <c r="B768" s="337"/>
      <c r="C768" s="337"/>
      <c r="D768" s="338"/>
      <c r="E768" s="339"/>
      <c r="F768" s="340"/>
      <c r="G768" s="341"/>
      <c r="H768" s="341"/>
      <c r="I768" s="342"/>
      <c r="J768" s="342"/>
    </row>
    <row r="769">
      <c r="A769" s="401"/>
      <c r="B769" s="337"/>
      <c r="C769" s="337"/>
      <c r="D769" s="338"/>
      <c r="E769" s="339"/>
      <c r="F769" s="340"/>
      <c r="G769" s="341"/>
      <c r="H769" s="341"/>
      <c r="I769" s="342"/>
      <c r="J769" s="342"/>
    </row>
    <row r="770">
      <c r="A770" s="401"/>
      <c r="B770" s="337"/>
      <c r="C770" s="337"/>
      <c r="D770" s="338"/>
      <c r="E770" s="339"/>
      <c r="F770" s="340"/>
      <c r="G770" s="341"/>
      <c r="H770" s="341"/>
      <c r="I770" s="342"/>
      <c r="J770" s="342"/>
    </row>
    <row r="771">
      <c r="A771" s="401"/>
      <c r="B771" s="337"/>
      <c r="C771" s="337"/>
      <c r="D771" s="338"/>
      <c r="E771" s="339"/>
      <c r="F771" s="340"/>
      <c r="G771" s="341"/>
      <c r="H771" s="341"/>
      <c r="I771" s="342"/>
      <c r="J771" s="342"/>
    </row>
    <row r="772">
      <c r="A772" s="401"/>
      <c r="B772" s="337"/>
      <c r="C772" s="337"/>
      <c r="D772" s="338"/>
      <c r="E772" s="339"/>
      <c r="F772" s="340"/>
      <c r="G772" s="341"/>
      <c r="H772" s="341"/>
      <c r="I772" s="342"/>
      <c r="J772" s="342"/>
    </row>
    <row r="773">
      <c r="A773" s="401"/>
      <c r="B773" s="337"/>
      <c r="C773" s="337"/>
      <c r="D773" s="338"/>
      <c r="E773" s="339"/>
      <c r="F773" s="340"/>
      <c r="G773" s="341"/>
      <c r="H773" s="341"/>
      <c r="I773" s="342"/>
      <c r="J773" s="342"/>
    </row>
    <row r="774">
      <c r="A774" s="401"/>
      <c r="B774" s="337"/>
      <c r="C774" s="337"/>
      <c r="D774" s="338"/>
      <c r="E774" s="339"/>
      <c r="F774" s="340"/>
      <c r="G774" s="341"/>
      <c r="H774" s="341"/>
      <c r="I774" s="342"/>
      <c r="J774" s="342"/>
    </row>
    <row r="775">
      <c r="A775" s="401"/>
      <c r="B775" s="337"/>
      <c r="C775" s="337"/>
      <c r="D775" s="338"/>
      <c r="E775" s="339"/>
      <c r="F775" s="340"/>
      <c r="G775" s="341"/>
      <c r="H775" s="341"/>
      <c r="I775" s="342"/>
      <c r="J775" s="342"/>
    </row>
    <row r="776">
      <c r="A776" s="401"/>
      <c r="B776" s="337"/>
      <c r="C776" s="337"/>
      <c r="D776" s="338"/>
      <c r="E776" s="339"/>
      <c r="F776" s="340"/>
      <c r="G776" s="341"/>
      <c r="H776" s="341"/>
      <c r="I776" s="342"/>
      <c r="J776" s="342"/>
    </row>
    <row r="777">
      <c r="A777" s="401"/>
      <c r="B777" s="337"/>
      <c r="C777" s="337"/>
      <c r="D777" s="338"/>
      <c r="E777" s="339"/>
      <c r="F777" s="340"/>
      <c r="G777" s="341"/>
      <c r="H777" s="341"/>
      <c r="I777" s="342"/>
      <c r="J777" s="342"/>
    </row>
    <row r="778">
      <c r="A778" s="401"/>
      <c r="B778" s="337"/>
      <c r="C778" s="337"/>
      <c r="D778" s="338"/>
      <c r="E778" s="339"/>
      <c r="F778" s="340"/>
      <c r="G778" s="341"/>
      <c r="H778" s="341"/>
      <c r="I778" s="342"/>
      <c r="J778" s="342"/>
    </row>
    <row r="779">
      <c r="A779" s="401"/>
      <c r="B779" s="337"/>
      <c r="C779" s="337"/>
      <c r="D779" s="338"/>
      <c r="E779" s="339"/>
      <c r="F779" s="340"/>
      <c r="G779" s="341"/>
      <c r="H779" s="341"/>
      <c r="I779" s="342"/>
      <c r="J779" s="342"/>
    </row>
    <row r="780">
      <c r="A780" s="401"/>
      <c r="B780" s="337"/>
      <c r="C780" s="337"/>
      <c r="D780" s="338"/>
      <c r="E780" s="339"/>
      <c r="F780" s="340"/>
      <c r="G780" s="341"/>
      <c r="H780" s="341"/>
      <c r="I780" s="342"/>
      <c r="J780" s="342"/>
    </row>
    <row r="781">
      <c r="A781" s="401"/>
      <c r="B781" s="337"/>
      <c r="C781" s="337"/>
      <c r="D781" s="338"/>
      <c r="E781" s="339"/>
      <c r="F781" s="340"/>
      <c r="G781" s="341"/>
      <c r="H781" s="341"/>
      <c r="I781" s="342"/>
      <c r="J781" s="342"/>
    </row>
    <row r="782">
      <c r="A782" s="401"/>
      <c r="B782" s="337"/>
      <c r="C782" s="337"/>
      <c r="D782" s="338"/>
      <c r="E782" s="339"/>
      <c r="F782" s="340"/>
      <c r="G782" s="341"/>
      <c r="H782" s="341"/>
      <c r="I782" s="342"/>
      <c r="J782" s="342"/>
    </row>
    <row r="783">
      <c r="A783" s="401"/>
      <c r="B783" s="337"/>
      <c r="C783" s="337"/>
      <c r="D783" s="338"/>
      <c r="E783" s="339"/>
      <c r="F783" s="340"/>
      <c r="G783" s="341"/>
      <c r="H783" s="341"/>
      <c r="I783" s="342"/>
      <c r="J783" s="342"/>
    </row>
    <row r="784">
      <c r="A784" s="401"/>
      <c r="B784" s="337"/>
      <c r="C784" s="337"/>
      <c r="D784" s="338"/>
      <c r="E784" s="339"/>
      <c r="F784" s="340"/>
      <c r="G784" s="341"/>
      <c r="H784" s="341"/>
      <c r="I784" s="342"/>
      <c r="J784" s="342"/>
    </row>
    <row r="785">
      <c r="A785" s="401"/>
      <c r="B785" s="337"/>
      <c r="C785" s="337"/>
      <c r="D785" s="338"/>
      <c r="E785" s="339"/>
      <c r="F785" s="340"/>
      <c r="G785" s="341"/>
      <c r="H785" s="341"/>
      <c r="I785" s="342"/>
      <c r="J785" s="342"/>
    </row>
    <row r="786">
      <c r="A786" s="401"/>
      <c r="B786" s="337"/>
      <c r="C786" s="337"/>
      <c r="D786" s="338"/>
      <c r="E786" s="339"/>
      <c r="F786" s="340"/>
      <c r="G786" s="341"/>
      <c r="H786" s="341"/>
      <c r="I786" s="342"/>
      <c r="J786" s="342"/>
    </row>
    <row r="787">
      <c r="A787" s="401"/>
      <c r="B787" s="337"/>
      <c r="C787" s="337"/>
      <c r="D787" s="338"/>
      <c r="E787" s="339"/>
      <c r="F787" s="340"/>
      <c r="G787" s="341"/>
      <c r="H787" s="341"/>
      <c r="I787" s="342"/>
      <c r="J787" s="342"/>
    </row>
    <row r="788">
      <c r="A788" s="401"/>
      <c r="B788" s="337"/>
      <c r="C788" s="337"/>
      <c r="D788" s="338"/>
      <c r="E788" s="339"/>
      <c r="F788" s="340"/>
      <c r="G788" s="341"/>
      <c r="H788" s="341"/>
      <c r="I788" s="342"/>
      <c r="J788" s="342"/>
    </row>
    <row r="789">
      <c r="A789" s="401"/>
      <c r="B789" s="337"/>
      <c r="C789" s="337"/>
      <c r="D789" s="338"/>
      <c r="E789" s="339"/>
      <c r="F789" s="340"/>
      <c r="G789" s="341"/>
      <c r="H789" s="341"/>
      <c r="I789" s="342"/>
      <c r="J789" s="342"/>
    </row>
    <row r="790">
      <c r="A790" s="401"/>
      <c r="B790" s="337"/>
      <c r="C790" s="337"/>
      <c r="D790" s="338"/>
      <c r="E790" s="339"/>
      <c r="F790" s="340"/>
      <c r="G790" s="341"/>
      <c r="H790" s="341"/>
      <c r="I790" s="342"/>
      <c r="J790" s="342"/>
    </row>
    <row r="791">
      <c r="A791" s="401"/>
      <c r="B791" s="337"/>
      <c r="C791" s="337"/>
      <c r="D791" s="338"/>
      <c r="E791" s="339"/>
      <c r="F791" s="340"/>
      <c r="G791" s="341"/>
      <c r="H791" s="341"/>
      <c r="I791" s="342"/>
      <c r="J791" s="342"/>
    </row>
    <row r="792">
      <c r="A792" s="401"/>
      <c r="B792" s="337"/>
      <c r="C792" s="337"/>
      <c r="D792" s="338"/>
      <c r="E792" s="339"/>
      <c r="F792" s="340"/>
      <c r="G792" s="341"/>
      <c r="H792" s="341"/>
      <c r="I792" s="342"/>
      <c r="J792" s="342"/>
    </row>
    <row r="793">
      <c r="A793" s="401"/>
      <c r="B793" s="337"/>
      <c r="C793" s="337"/>
      <c r="D793" s="338"/>
      <c r="E793" s="339"/>
      <c r="F793" s="340"/>
      <c r="G793" s="341"/>
      <c r="H793" s="341"/>
      <c r="I793" s="342"/>
      <c r="J793" s="342"/>
    </row>
    <row r="794">
      <c r="A794" s="401"/>
      <c r="B794" s="337"/>
      <c r="C794" s="337"/>
      <c r="D794" s="338"/>
      <c r="E794" s="339"/>
      <c r="F794" s="340"/>
      <c r="G794" s="341"/>
      <c r="H794" s="341"/>
      <c r="I794" s="342"/>
      <c r="J794" s="342"/>
    </row>
    <row r="795">
      <c r="A795" s="401"/>
      <c r="B795" s="337"/>
      <c r="C795" s="337"/>
      <c r="D795" s="338"/>
      <c r="E795" s="339"/>
      <c r="F795" s="340"/>
      <c r="G795" s="341"/>
      <c r="H795" s="341"/>
      <c r="I795" s="342"/>
      <c r="J795" s="342"/>
    </row>
    <row r="796">
      <c r="A796" s="401"/>
      <c r="B796" s="337"/>
      <c r="C796" s="337"/>
      <c r="D796" s="338"/>
      <c r="E796" s="339"/>
      <c r="F796" s="340"/>
      <c r="G796" s="341"/>
      <c r="H796" s="341"/>
      <c r="I796" s="342"/>
      <c r="J796" s="342"/>
    </row>
    <row r="797">
      <c r="A797" s="401"/>
      <c r="B797" s="337"/>
      <c r="C797" s="337"/>
      <c r="D797" s="338"/>
      <c r="E797" s="339"/>
      <c r="F797" s="340"/>
      <c r="G797" s="341"/>
      <c r="H797" s="341"/>
      <c r="I797" s="342"/>
      <c r="J797" s="342"/>
    </row>
    <row r="798">
      <c r="A798" s="401"/>
      <c r="B798" s="337"/>
      <c r="C798" s="337"/>
      <c r="D798" s="338"/>
      <c r="E798" s="339"/>
      <c r="F798" s="340"/>
      <c r="G798" s="341"/>
      <c r="H798" s="341"/>
      <c r="I798" s="342"/>
      <c r="J798" s="342"/>
    </row>
    <row r="799">
      <c r="A799" s="401"/>
      <c r="B799" s="337"/>
      <c r="C799" s="337"/>
      <c r="D799" s="338"/>
      <c r="E799" s="339"/>
      <c r="F799" s="340"/>
      <c r="G799" s="341"/>
      <c r="H799" s="341"/>
      <c r="I799" s="342"/>
      <c r="J799" s="342"/>
    </row>
    <row r="800">
      <c r="A800" s="401"/>
      <c r="B800" s="337"/>
      <c r="C800" s="337"/>
      <c r="D800" s="338"/>
      <c r="E800" s="339"/>
      <c r="F800" s="340"/>
      <c r="G800" s="341"/>
      <c r="H800" s="341"/>
      <c r="I800" s="342"/>
      <c r="J800" s="342"/>
    </row>
    <row r="801">
      <c r="A801" s="401"/>
      <c r="B801" s="337"/>
      <c r="C801" s="337"/>
      <c r="D801" s="338"/>
      <c r="E801" s="339"/>
      <c r="F801" s="340"/>
      <c r="G801" s="341"/>
      <c r="H801" s="341"/>
      <c r="I801" s="342"/>
      <c r="J801" s="342"/>
    </row>
    <row r="802">
      <c r="A802" s="401"/>
      <c r="B802" s="337"/>
      <c r="C802" s="337"/>
      <c r="D802" s="338"/>
      <c r="E802" s="339"/>
      <c r="F802" s="340"/>
      <c r="G802" s="341"/>
      <c r="H802" s="341"/>
      <c r="I802" s="342"/>
      <c r="J802" s="342"/>
    </row>
    <row r="803">
      <c r="A803" s="401"/>
      <c r="B803" s="337"/>
      <c r="C803" s="337"/>
      <c r="D803" s="338"/>
      <c r="E803" s="339"/>
      <c r="F803" s="340"/>
      <c r="G803" s="341"/>
      <c r="H803" s="341"/>
      <c r="I803" s="342"/>
      <c r="J803" s="342"/>
    </row>
    <row r="804">
      <c r="A804" s="401"/>
      <c r="B804" s="337"/>
      <c r="C804" s="337"/>
      <c r="D804" s="338"/>
      <c r="E804" s="339"/>
      <c r="F804" s="340"/>
      <c r="G804" s="341"/>
      <c r="H804" s="341"/>
      <c r="I804" s="342"/>
      <c r="J804" s="342"/>
    </row>
    <row r="805">
      <c r="A805" s="401"/>
      <c r="B805" s="337"/>
      <c r="C805" s="337"/>
      <c r="D805" s="338"/>
      <c r="E805" s="339"/>
      <c r="F805" s="340"/>
      <c r="G805" s="341"/>
      <c r="H805" s="341"/>
      <c r="I805" s="342"/>
      <c r="J805" s="342"/>
    </row>
    <row r="806">
      <c r="A806" s="401"/>
      <c r="B806" s="337"/>
      <c r="C806" s="337"/>
      <c r="D806" s="338"/>
      <c r="E806" s="339"/>
      <c r="F806" s="340"/>
      <c r="G806" s="341"/>
      <c r="H806" s="341"/>
      <c r="I806" s="342"/>
      <c r="J806" s="342"/>
    </row>
    <row r="807">
      <c r="A807" s="401"/>
      <c r="B807" s="337"/>
      <c r="C807" s="337"/>
      <c r="D807" s="338"/>
      <c r="E807" s="339"/>
      <c r="F807" s="340"/>
      <c r="G807" s="341"/>
      <c r="H807" s="341"/>
      <c r="I807" s="342"/>
      <c r="J807" s="342"/>
    </row>
    <row r="808">
      <c r="A808" s="401"/>
      <c r="B808" s="337"/>
      <c r="C808" s="337"/>
      <c r="D808" s="338"/>
      <c r="E808" s="339"/>
      <c r="F808" s="340"/>
      <c r="G808" s="341"/>
      <c r="H808" s="341"/>
      <c r="I808" s="342"/>
      <c r="J808" s="342"/>
    </row>
    <row r="809">
      <c r="A809" s="401"/>
      <c r="B809" s="337"/>
      <c r="C809" s="337"/>
      <c r="D809" s="338"/>
      <c r="E809" s="339"/>
      <c r="F809" s="340"/>
      <c r="G809" s="341"/>
      <c r="H809" s="341"/>
      <c r="I809" s="342"/>
      <c r="J809" s="342"/>
    </row>
    <row r="810">
      <c r="A810" s="401"/>
      <c r="B810" s="337"/>
      <c r="C810" s="337"/>
      <c r="D810" s="338"/>
      <c r="E810" s="339"/>
      <c r="F810" s="340"/>
      <c r="G810" s="341"/>
      <c r="H810" s="341"/>
      <c r="I810" s="342"/>
      <c r="J810" s="342"/>
    </row>
    <row r="811">
      <c r="A811" s="401"/>
      <c r="B811" s="337"/>
      <c r="C811" s="337"/>
      <c r="D811" s="338"/>
      <c r="E811" s="339"/>
      <c r="F811" s="340"/>
      <c r="G811" s="341"/>
      <c r="H811" s="341"/>
      <c r="I811" s="342"/>
      <c r="J811" s="342"/>
    </row>
    <row r="812">
      <c r="A812" s="401"/>
      <c r="B812" s="337"/>
      <c r="C812" s="337"/>
      <c r="D812" s="338"/>
      <c r="E812" s="339"/>
      <c r="F812" s="340"/>
      <c r="G812" s="341"/>
      <c r="H812" s="341"/>
      <c r="I812" s="342"/>
      <c r="J812" s="342"/>
    </row>
    <row r="813">
      <c r="A813" s="401"/>
      <c r="B813" s="337"/>
      <c r="C813" s="337"/>
      <c r="D813" s="338"/>
      <c r="E813" s="339"/>
      <c r="F813" s="340"/>
      <c r="G813" s="341"/>
      <c r="H813" s="341"/>
      <c r="I813" s="342"/>
      <c r="J813" s="342"/>
    </row>
    <row r="814">
      <c r="A814" s="401"/>
      <c r="B814" s="337"/>
      <c r="C814" s="337"/>
      <c r="D814" s="338"/>
      <c r="E814" s="339"/>
      <c r="F814" s="340"/>
      <c r="G814" s="341"/>
      <c r="H814" s="341"/>
      <c r="I814" s="342"/>
      <c r="J814" s="342"/>
    </row>
    <row r="815">
      <c r="A815" s="401"/>
      <c r="B815" s="337"/>
      <c r="C815" s="337"/>
      <c r="D815" s="338"/>
      <c r="E815" s="339"/>
      <c r="F815" s="340"/>
      <c r="G815" s="341"/>
      <c r="H815" s="341"/>
      <c r="I815" s="342"/>
      <c r="J815" s="342"/>
    </row>
    <row r="816">
      <c r="A816" s="401"/>
      <c r="B816" s="337"/>
      <c r="C816" s="337"/>
      <c r="D816" s="338"/>
      <c r="E816" s="339"/>
      <c r="F816" s="340"/>
      <c r="G816" s="341"/>
      <c r="H816" s="341"/>
      <c r="I816" s="342"/>
      <c r="J816" s="342"/>
    </row>
    <row r="817">
      <c r="A817" s="401"/>
      <c r="B817" s="337"/>
      <c r="C817" s="337"/>
      <c r="D817" s="338"/>
      <c r="E817" s="339"/>
      <c r="F817" s="340"/>
      <c r="G817" s="341"/>
      <c r="H817" s="341"/>
      <c r="I817" s="342"/>
      <c r="J817" s="342"/>
    </row>
    <row r="818">
      <c r="A818" s="401"/>
      <c r="B818" s="337"/>
      <c r="C818" s="337"/>
      <c r="D818" s="338"/>
      <c r="E818" s="339"/>
      <c r="F818" s="340"/>
      <c r="G818" s="341"/>
      <c r="H818" s="341"/>
      <c r="I818" s="342"/>
      <c r="J818" s="342"/>
    </row>
    <row r="819">
      <c r="A819" s="401"/>
      <c r="B819" s="337"/>
      <c r="C819" s="337"/>
      <c r="D819" s="338"/>
      <c r="E819" s="339"/>
      <c r="F819" s="340"/>
      <c r="G819" s="341"/>
      <c r="H819" s="341"/>
      <c r="I819" s="342"/>
      <c r="J819" s="342"/>
    </row>
    <row r="820">
      <c r="A820" s="401"/>
      <c r="B820" s="337"/>
      <c r="C820" s="337"/>
      <c r="D820" s="338"/>
      <c r="E820" s="339"/>
      <c r="F820" s="340"/>
      <c r="G820" s="341"/>
      <c r="H820" s="341"/>
      <c r="I820" s="342"/>
      <c r="J820" s="342"/>
    </row>
    <row r="821">
      <c r="A821" s="401"/>
      <c r="B821" s="337"/>
      <c r="C821" s="337"/>
      <c r="D821" s="338"/>
      <c r="E821" s="339"/>
      <c r="F821" s="340"/>
      <c r="G821" s="341"/>
      <c r="H821" s="341"/>
      <c r="I821" s="342"/>
      <c r="J821" s="342"/>
    </row>
    <row r="822">
      <c r="A822" s="401"/>
      <c r="B822" s="337"/>
      <c r="C822" s="337"/>
      <c r="D822" s="338"/>
      <c r="E822" s="339"/>
      <c r="F822" s="340"/>
      <c r="G822" s="341"/>
      <c r="H822" s="341"/>
      <c r="I822" s="342"/>
      <c r="J822" s="342"/>
    </row>
    <row r="823">
      <c r="A823" s="401"/>
      <c r="B823" s="337"/>
      <c r="C823" s="337"/>
      <c r="D823" s="338"/>
      <c r="E823" s="339"/>
      <c r="F823" s="340"/>
      <c r="G823" s="341"/>
      <c r="H823" s="341"/>
      <c r="I823" s="342"/>
      <c r="J823" s="342"/>
    </row>
    <row r="824">
      <c r="A824" s="401"/>
      <c r="B824" s="337"/>
      <c r="C824" s="337"/>
      <c r="D824" s="338"/>
      <c r="E824" s="339"/>
      <c r="F824" s="340"/>
      <c r="G824" s="341"/>
      <c r="H824" s="341"/>
      <c r="I824" s="342"/>
      <c r="J824" s="342"/>
    </row>
    <row r="825">
      <c r="A825" s="401"/>
      <c r="B825" s="337"/>
      <c r="C825" s="337"/>
      <c r="D825" s="338"/>
      <c r="E825" s="339"/>
      <c r="F825" s="340"/>
      <c r="G825" s="341"/>
      <c r="H825" s="341"/>
      <c r="I825" s="342"/>
      <c r="J825" s="342"/>
    </row>
    <row r="826">
      <c r="A826" s="401"/>
      <c r="B826" s="337"/>
      <c r="C826" s="337"/>
      <c r="D826" s="338"/>
      <c r="E826" s="339"/>
      <c r="F826" s="340"/>
      <c r="G826" s="341"/>
      <c r="H826" s="341"/>
      <c r="I826" s="342"/>
      <c r="J826" s="342"/>
    </row>
    <row r="827">
      <c r="A827" s="401"/>
      <c r="B827" s="337"/>
      <c r="C827" s="337"/>
      <c r="D827" s="338"/>
      <c r="E827" s="339"/>
      <c r="F827" s="340"/>
      <c r="G827" s="341"/>
      <c r="H827" s="341"/>
      <c r="I827" s="342"/>
      <c r="J827" s="342"/>
    </row>
    <row r="828">
      <c r="A828" s="401"/>
      <c r="B828" s="337"/>
      <c r="C828" s="337"/>
      <c r="D828" s="338"/>
      <c r="E828" s="339"/>
      <c r="F828" s="340"/>
      <c r="G828" s="341"/>
      <c r="H828" s="341"/>
      <c r="I828" s="342"/>
      <c r="J828" s="342"/>
    </row>
    <row r="829">
      <c r="A829" s="401"/>
      <c r="B829" s="337"/>
      <c r="C829" s="337"/>
      <c r="D829" s="338"/>
      <c r="E829" s="339"/>
      <c r="F829" s="340"/>
      <c r="G829" s="341"/>
      <c r="H829" s="341"/>
      <c r="I829" s="342"/>
      <c r="J829" s="342"/>
    </row>
    <row r="830">
      <c r="A830" s="401"/>
      <c r="B830" s="337"/>
      <c r="C830" s="337"/>
      <c r="D830" s="338"/>
      <c r="E830" s="339"/>
      <c r="F830" s="340"/>
      <c r="G830" s="341"/>
      <c r="H830" s="341"/>
      <c r="I830" s="342"/>
      <c r="J830" s="342"/>
    </row>
    <row r="831">
      <c r="A831" s="401"/>
      <c r="B831" s="337"/>
      <c r="C831" s="337"/>
      <c r="D831" s="338"/>
      <c r="E831" s="339"/>
      <c r="F831" s="340"/>
      <c r="G831" s="341"/>
      <c r="H831" s="341"/>
      <c r="I831" s="342"/>
      <c r="J831" s="342"/>
    </row>
    <row r="832">
      <c r="A832" s="401"/>
      <c r="B832" s="337"/>
      <c r="C832" s="337"/>
      <c r="D832" s="338"/>
      <c r="E832" s="339"/>
      <c r="F832" s="340"/>
      <c r="G832" s="341"/>
      <c r="H832" s="341"/>
      <c r="I832" s="342"/>
      <c r="J832" s="342"/>
    </row>
    <row r="833">
      <c r="A833" s="401"/>
      <c r="B833" s="337"/>
      <c r="C833" s="337"/>
      <c r="D833" s="338"/>
      <c r="E833" s="339"/>
      <c r="F833" s="340"/>
      <c r="G833" s="341"/>
      <c r="H833" s="341"/>
      <c r="I833" s="342"/>
      <c r="J833" s="342"/>
    </row>
    <row r="834">
      <c r="A834" s="401"/>
      <c r="B834" s="337"/>
      <c r="C834" s="337"/>
      <c r="D834" s="338"/>
      <c r="E834" s="339"/>
      <c r="F834" s="340"/>
      <c r="G834" s="341"/>
      <c r="H834" s="341"/>
      <c r="I834" s="342"/>
      <c r="J834" s="342"/>
    </row>
    <row r="835">
      <c r="A835" s="401"/>
      <c r="B835" s="337"/>
      <c r="C835" s="337"/>
      <c r="D835" s="338"/>
      <c r="E835" s="339"/>
      <c r="F835" s="340"/>
      <c r="G835" s="341"/>
      <c r="H835" s="341"/>
      <c r="I835" s="342"/>
      <c r="J835" s="342"/>
    </row>
    <row r="836">
      <c r="A836" s="401"/>
      <c r="B836" s="337"/>
      <c r="C836" s="337"/>
      <c r="D836" s="338"/>
      <c r="E836" s="339"/>
      <c r="F836" s="340"/>
      <c r="G836" s="341"/>
      <c r="H836" s="341"/>
      <c r="I836" s="342"/>
      <c r="J836" s="342"/>
    </row>
    <row r="837">
      <c r="A837" s="401"/>
      <c r="B837" s="337"/>
      <c r="C837" s="337"/>
      <c r="D837" s="338"/>
      <c r="E837" s="339"/>
      <c r="F837" s="340"/>
      <c r="G837" s="341"/>
      <c r="H837" s="341"/>
      <c r="I837" s="342"/>
      <c r="J837" s="342"/>
    </row>
    <row r="838">
      <c r="A838" s="401"/>
      <c r="B838" s="337"/>
      <c r="C838" s="337"/>
      <c r="D838" s="338"/>
      <c r="E838" s="339"/>
      <c r="F838" s="340"/>
      <c r="G838" s="341"/>
      <c r="H838" s="341"/>
      <c r="I838" s="342"/>
      <c r="J838" s="342"/>
    </row>
    <row r="839">
      <c r="A839" s="401"/>
      <c r="B839" s="337"/>
      <c r="C839" s="337"/>
      <c r="D839" s="338"/>
      <c r="E839" s="339"/>
      <c r="F839" s="340"/>
      <c r="G839" s="341"/>
      <c r="H839" s="341"/>
      <c r="I839" s="342"/>
      <c r="J839" s="342"/>
    </row>
    <row r="840">
      <c r="A840" s="401"/>
      <c r="B840" s="337"/>
      <c r="C840" s="337"/>
      <c r="D840" s="338"/>
      <c r="E840" s="339"/>
      <c r="F840" s="340"/>
      <c r="G840" s="341"/>
      <c r="H840" s="341"/>
      <c r="I840" s="342"/>
      <c r="J840" s="342"/>
    </row>
    <row r="841">
      <c r="A841" s="401"/>
      <c r="B841" s="337"/>
      <c r="C841" s="337"/>
      <c r="D841" s="338"/>
      <c r="E841" s="339"/>
      <c r="F841" s="340"/>
      <c r="G841" s="341"/>
      <c r="H841" s="341"/>
      <c r="I841" s="342"/>
      <c r="J841" s="342"/>
    </row>
    <row r="842">
      <c r="A842" s="401"/>
      <c r="B842" s="337"/>
      <c r="C842" s="337"/>
      <c r="D842" s="338"/>
      <c r="E842" s="339"/>
      <c r="F842" s="340"/>
      <c r="G842" s="341"/>
      <c r="H842" s="341"/>
      <c r="I842" s="342"/>
      <c r="J842" s="342"/>
    </row>
    <row r="843">
      <c r="A843" s="401"/>
      <c r="B843" s="337"/>
      <c r="C843" s="337"/>
      <c r="D843" s="338"/>
      <c r="E843" s="339"/>
      <c r="F843" s="340"/>
      <c r="G843" s="341"/>
      <c r="H843" s="341"/>
      <c r="I843" s="342"/>
      <c r="J843" s="342"/>
    </row>
    <row r="844">
      <c r="A844" s="401"/>
      <c r="B844" s="337"/>
      <c r="C844" s="337"/>
      <c r="D844" s="338"/>
      <c r="E844" s="339"/>
      <c r="F844" s="340"/>
      <c r="G844" s="341"/>
      <c r="H844" s="341"/>
      <c r="I844" s="342"/>
      <c r="J844" s="342"/>
    </row>
    <row r="845">
      <c r="A845" s="401"/>
      <c r="B845" s="337"/>
      <c r="C845" s="337"/>
      <c r="D845" s="338"/>
      <c r="E845" s="339"/>
      <c r="F845" s="340"/>
      <c r="G845" s="341"/>
      <c r="H845" s="341"/>
      <c r="I845" s="342"/>
      <c r="J845" s="342"/>
    </row>
    <row r="846">
      <c r="A846" s="401"/>
      <c r="B846" s="337"/>
      <c r="C846" s="337"/>
      <c r="D846" s="338"/>
      <c r="E846" s="339"/>
      <c r="F846" s="340"/>
      <c r="G846" s="341"/>
      <c r="H846" s="341"/>
      <c r="I846" s="342"/>
      <c r="J846" s="342"/>
    </row>
    <row r="847">
      <c r="A847" s="401"/>
      <c r="B847" s="337"/>
      <c r="C847" s="337"/>
      <c r="D847" s="338"/>
      <c r="E847" s="339"/>
      <c r="F847" s="340"/>
      <c r="G847" s="341"/>
      <c r="H847" s="341"/>
      <c r="I847" s="342"/>
      <c r="J847" s="342"/>
    </row>
    <row r="848">
      <c r="A848" s="401"/>
      <c r="B848" s="337"/>
      <c r="C848" s="337"/>
      <c r="D848" s="338"/>
      <c r="E848" s="339"/>
      <c r="F848" s="340"/>
      <c r="G848" s="341"/>
      <c r="H848" s="341"/>
      <c r="I848" s="342"/>
      <c r="J848" s="342"/>
    </row>
    <row r="849">
      <c r="A849" s="401"/>
      <c r="B849" s="337"/>
      <c r="C849" s="337"/>
      <c r="D849" s="338"/>
      <c r="E849" s="339"/>
      <c r="F849" s="340"/>
      <c r="G849" s="341"/>
      <c r="H849" s="341"/>
      <c r="I849" s="342"/>
      <c r="J849" s="342"/>
    </row>
    <row r="850">
      <c r="A850" s="401"/>
      <c r="B850" s="337"/>
      <c r="C850" s="337"/>
      <c r="D850" s="338"/>
      <c r="E850" s="339"/>
      <c r="F850" s="340"/>
      <c r="G850" s="341"/>
      <c r="H850" s="341"/>
      <c r="I850" s="342"/>
      <c r="J850" s="342"/>
    </row>
    <row r="851">
      <c r="A851" s="401"/>
      <c r="B851" s="337"/>
      <c r="C851" s="337"/>
      <c r="D851" s="338"/>
      <c r="E851" s="339"/>
      <c r="F851" s="340"/>
      <c r="G851" s="341"/>
      <c r="H851" s="341"/>
      <c r="I851" s="342"/>
      <c r="J851" s="342"/>
    </row>
    <row r="852">
      <c r="A852" s="401"/>
      <c r="B852" s="337"/>
      <c r="C852" s="337"/>
      <c r="D852" s="338"/>
      <c r="E852" s="339"/>
      <c r="F852" s="340"/>
      <c r="G852" s="341"/>
      <c r="H852" s="341"/>
      <c r="I852" s="342"/>
      <c r="J852" s="342"/>
    </row>
    <row r="853">
      <c r="A853" s="401"/>
      <c r="B853" s="337"/>
      <c r="C853" s="337"/>
      <c r="D853" s="338"/>
      <c r="E853" s="339"/>
      <c r="F853" s="340"/>
      <c r="G853" s="341"/>
      <c r="H853" s="341"/>
      <c r="I853" s="342"/>
      <c r="J853" s="342"/>
    </row>
    <row r="854">
      <c r="A854" s="401"/>
      <c r="B854" s="337"/>
      <c r="C854" s="337"/>
      <c r="D854" s="338"/>
      <c r="E854" s="339"/>
      <c r="F854" s="340"/>
      <c r="G854" s="341"/>
      <c r="H854" s="341"/>
      <c r="I854" s="342"/>
      <c r="J854" s="342"/>
    </row>
    <row r="855">
      <c r="A855" s="401"/>
      <c r="B855" s="337"/>
      <c r="C855" s="337"/>
      <c r="D855" s="338"/>
      <c r="E855" s="339"/>
      <c r="F855" s="340"/>
      <c r="G855" s="341"/>
      <c r="H855" s="341"/>
      <c r="I855" s="342"/>
      <c r="J855" s="342"/>
    </row>
    <row r="856">
      <c r="A856" s="401"/>
      <c r="B856" s="337"/>
      <c r="C856" s="337"/>
      <c r="D856" s="338"/>
      <c r="E856" s="339"/>
      <c r="F856" s="340"/>
      <c r="G856" s="341"/>
      <c r="H856" s="341"/>
      <c r="I856" s="342"/>
      <c r="J856" s="342"/>
    </row>
    <row r="857">
      <c r="A857" s="401"/>
      <c r="B857" s="337"/>
      <c r="C857" s="337"/>
      <c r="D857" s="338"/>
      <c r="E857" s="339"/>
      <c r="F857" s="340"/>
      <c r="G857" s="341"/>
      <c r="H857" s="341"/>
      <c r="I857" s="342"/>
      <c r="J857" s="342"/>
    </row>
    <row r="858">
      <c r="A858" s="401"/>
      <c r="B858" s="337"/>
      <c r="C858" s="337"/>
      <c r="D858" s="338"/>
      <c r="E858" s="339"/>
      <c r="F858" s="340"/>
      <c r="G858" s="341"/>
      <c r="H858" s="341"/>
      <c r="I858" s="342"/>
      <c r="J858" s="342"/>
    </row>
    <row r="859">
      <c r="A859" s="401"/>
      <c r="B859" s="337"/>
      <c r="C859" s="337"/>
      <c r="D859" s="338"/>
      <c r="E859" s="339"/>
      <c r="F859" s="340"/>
      <c r="G859" s="341"/>
      <c r="H859" s="341"/>
      <c r="I859" s="342"/>
      <c r="J859" s="342"/>
    </row>
    <row r="860">
      <c r="A860" s="401"/>
      <c r="B860" s="337"/>
      <c r="C860" s="337"/>
      <c r="D860" s="338"/>
      <c r="E860" s="339"/>
      <c r="F860" s="340"/>
      <c r="G860" s="341"/>
      <c r="H860" s="341"/>
      <c r="I860" s="342"/>
      <c r="J860" s="342"/>
    </row>
    <row r="861">
      <c r="A861" s="401"/>
      <c r="B861" s="337"/>
      <c r="C861" s="337"/>
      <c r="D861" s="338"/>
      <c r="E861" s="339"/>
      <c r="F861" s="340"/>
      <c r="G861" s="341"/>
      <c r="H861" s="341"/>
      <c r="I861" s="342"/>
      <c r="J861" s="342"/>
    </row>
    <row r="862">
      <c r="A862" s="401"/>
      <c r="B862" s="337"/>
      <c r="C862" s="337"/>
      <c r="D862" s="338"/>
      <c r="E862" s="339"/>
      <c r="F862" s="340"/>
      <c r="G862" s="341"/>
      <c r="H862" s="341"/>
      <c r="I862" s="342"/>
      <c r="J862" s="342"/>
    </row>
    <row r="863">
      <c r="A863" s="401"/>
      <c r="B863" s="337"/>
      <c r="C863" s="337"/>
      <c r="D863" s="338"/>
      <c r="E863" s="339"/>
      <c r="F863" s="340"/>
      <c r="G863" s="341"/>
      <c r="H863" s="341"/>
      <c r="I863" s="342"/>
      <c r="J863" s="342"/>
    </row>
    <row r="864">
      <c r="A864" s="401"/>
      <c r="B864" s="337"/>
      <c r="C864" s="337"/>
      <c r="D864" s="338"/>
      <c r="E864" s="339"/>
      <c r="F864" s="340"/>
      <c r="G864" s="341"/>
      <c r="H864" s="341"/>
      <c r="I864" s="342"/>
      <c r="J864" s="342"/>
    </row>
    <row r="865">
      <c r="A865" s="401"/>
      <c r="B865" s="337"/>
      <c r="C865" s="337"/>
      <c r="D865" s="338"/>
      <c r="E865" s="339"/>
      <c r="F865" s="340"/>
      <c r="G865" s="341"/>
      <c r="H865" s="341"/>
      <c r="I865" s="342"/>
      <c r="J865" s="342"/>
    </row>
    <row r="866">
      <c r="A866" s="401"/>
      <c r="B866" s="337"/>
      <c r="C866" s="337"/>
      <c r="D866" s="338"/>
      <c r="E866" s="339"/>
      <c r="F866" s="340"/>
      <c r="G866" s="341"/>
      <c r="H866" s="341"/>
      <c r="I866" s="342"/>
      <c r="J866" s="342"/>
    </row>
    <row r="867">
      <c r="A867" s="401"/>
      <c r="B867" s="337"/>
      <c r="C867" s="337"/>
      <c r="D867" s="338"/>
      <c r="E867" s="339"/>
      <c r="F867" s="340"/>
      <c r="G867" s="341"/>
      <c r="H867" s="341"/>
      <c r="I867" s="342"/>
      <c r="J867" s="342"/>
    </row>
    <row r="868">
      <c r="A868" s="401"/>
      <c r="B868" s="337"/>
      <c r="C868" s="337"/>
      <c r="D868" s="338"/>
      <c r="E868" s="339"/>
      <c r="F868" s="340"/>
      <c r="G868" s="341"/>
      <c r="H868" s="341"/>
      <c r="I868" s="342"/>
      <c r="J868" s="342"/>
    </row>
    <row r="869">
      <c r="A869" s="401"/>
      <c r="B869" s="337"/>
      <c r="C869" s="337"/>
      <c r="D869" s="338"/>
      <c r="E869" s="339"/>
      <c r="F869" s="340"/>
      <c r="G869" s="341"/>
      <c r="H869" s="341"/>
      <c r="I869" s="342"/>
      <c r="J869" s="342"/>
    </row>
    <row r="870">
      <c r="A870" s="401"/>
      <c r="B870" s="337"/>
      <c r="C870" s="337"/>
      <c r="D870" s="338"/>
      <c r="E870" s="339"/>
      <c r="F870" s="340"/>
      <c r="G870" s="341"/>
      <c r="H870" s="341"/>
      <c r="I870" s="342"/>
      <c r="J870" s="342"/>
    </row>
    <row r="871">
      <c r="A871" s="401"/>
      <c r="B871" s="337"/>
      <c r="C871" s="337"/>
      <c r="D871" s="338"/>
      <c r="E871" s="339"/>
      <c r="F871" s="340"/>
      <c r="G871" s="341"/>
      <c r="H871" s="341"/>
      <c r="I871" s="342"/>
      <c r="J871" s="342"/>
    </row>
    <row r="872">
      <c r="A872" s="401"/>
      <c r="B872" s="337"/>
      <c r="C872" s="337"/>
      <c r="D872" s="338"/>
      <c r="E872" s="339"/>
      <c r="F872" s="340"/>
      <c r="G872" s="341"/>
      <c r="H872" s="341"/>
      <c r="I872" s="342"/>
      <c r="J872" s="342"/>
    </row>
    <row r="873">
      <c r="A873" s="401"/>
      <c r="B873" s="337"/>
      <c r="C873" s="337"/>
      <c r="D873" s="338"/>
      <c r="E873" s="339"/>
      <c r="F873" s="340"/>
      <c r="G873" s="341"/>
      <c r="H873" s="341"/>
      <c r="I873" s="342"/>
      <c r="J873" s="342"/>
    </row>
    <row r="874">
      <c r="A874" s="401"/>
      <c r="B874" s="337"/>
      <c r="C874" s="337"/>
      <c r="D874" s="338"/>
      <c r="E874" s="339"/>
      <c r="F874" s="340"/>
      <c r="G874" s="341"/>
      <c r="H874" s="341"/>
      <c r="I874" s="342"/>
      <c r="J874" s="342"/>
    </row>
    <row r="875">
      <c r="A875" s="401"/>
      <c r="B875" s="337"/>
      <c r="C875" s="337"/>
      <c r="D875" s="338"/>
      <c r="E875" s="339"/>
      <c r="F875" s="340"/>
      <c r="G875" s="341"/>
      <c r="H875" s="341"/>
      <c r="I875" s="342"/>
      <c r="J875" s="342"/>
    </row>
    <row r="876">
      <c r="A876" s="401"/>
      <c r="B876" s="337"/>
      <c r="C876" s="337"/>
      <c r="D876" s="338"/>
      <c r="E876" s="339"/>
      <c r="F876" s="340"/>
      <c r="G876" s="341"/>
      <c r="H876" s="341"/>
      <c r="I876" s="342"/>
      <c r="J876" s="342"/>
    </row>
    <row r="877">
      <c r="A877" s="401"/>
      <c r="B877" s="337"/>
      <c r="C877" s="337"/>
      <c r="D877" s="338"/>
      <c r="E877" s="339"/>
      <c r="F877" s="340"/>
      <c r="G877" s="341"/>
      <c r="H877" s="341"/>
      <c r="I877" s="342"/>
      <c r="J877" s="342"/>
    </row>
    <row r="878">
      <c r="A878" s="401"/>
      <c r="B878" s="337"/>
      <c r="C878" s="337"/>
      <c r="D878" s="338"/>
      <c r="E878" s="339"/>
      <c r="F878" s="340"/>
      <c r="G878" s="341"/>
      <c r="H878" s="341"/>
      <c r="I878" s="342"/>
      <c r="J878" s="342"/>
    </row>
    <row r="879">
      <c r="A879" s="401"/>
      <c r="B879" s="337"/>
      <c r="C879" s="337"/>
      <c r="D879" s="338"/>
      <c r="E879" s="339"/>
      <c r="F879" s="340"/>
      <c r="G879" s="341"/>
      <c r="H879" s="341"/>
      <c r="I879" s="342"/>
      <c r="J879" s="342"/>
    </row>
    <row r="880">
      <c r="A880" s="401"/>
      <c r="B880" s="337"/>
      <c r="C880" s="337"/>
      <c r="D880" s="338"/>
      <c r="E880" s="339"/>
      <c r="F880" s="340"/>
      <c r="G880" s="341"/>
      <c r="H880" s="341"/>
      <c r="I880" s="342"/>
      <c r="J880" s="342"/>
    </row>
    <row r="881">
      <c r="A881" s="401"/>
      <c r="B881" s="337"/>
      <c r="C881" s="337"/>
      <c r="D881" s="338"/>
      <c r="E881" s="339"/>
      <c r="F881" s="340"/>
      <c r="G881" s="341"/>
      <c r="H881" s="341"/>
      <c r="I881" s="342"/>
      <c r="J881" s="342"/>
    </row>
    <row r="882">
      <c r="A882" s="401"/>
      <c r="B882" s="337"/>
      <c r="C882" s="337"/>
      <c r="D882" s="338"/>
      <c r="E882" s="339"/>
      <c r="F882" s="340"/>
      <c r="G882" s="341"/>
      <c r="H882" s="341"/>
      <c r="I882" s="342"/>
      <c r="J882" s="342"/>
    </row>
    <row r="883">
      <c r="A883" s="401"/>
      <c r="B883" s="337"/>
      <c r="C883" s="337"/>
      <c r="D883" s="338"/>
      <c r="E883" s="339"/>
      <c r="F883" s="340"/>
      <c r="G883" s="341"/>
      <c r="H883" s="341"/>
      <c r="I883" s="342"/>
      <c r="J883" s="342"/>
    </row>
    <row r="884">
      <c r="A884" s="401"/>
      <c r="B884" s="337"/>
      <c r="C884" s="337"/>
      <c r="D884" s="338"/>
      <c r="E884" s="339"/>
      <c r="F884" s="340"/>
      <c r="G884" s="341"/>
      <c r="H884" s="341"/>
      <c r="I884" s="342"/>
      <c r="J884" s="342"/>
    </row>
    <row r="885">
      <c r="A885" s="401"/>
      <c r="B885" s="337"/>
      <c r="C885" s="337"/>
      <c r="D885" s="338"/>
      <c r="E885" s="339"/>
      <c r="F885" s="340"/>
      <c r="G885" s="341"/>
      <c r="H885" s="341"/>
      <c r="I885" s="342"/>
      <c r="J885" s="342"/>
    </row>
    <row r="886">
      <c r="A886" s="401"/>
      <c r="B886" s="337"/>
      <c r="C886" s="337"/>
      <c r="D886" s="338"/>
      <c r="E886" s="339"/>
      <c r="F886" s="340"/>
      <c r="G886" s="341"/>
      <c r="H886" s="341"/>
      <c r="I886" s="342"/>
      <c r="J886" s="342"/>
    </row>
    <row r="887">
      <c r="A887" s="401"/>
      <c r="B887" s="337"/>
      <c r="C887" s="337"/>
      <c r="D887" s="338"/>
      <c r="E887" s="339"/>
      <c r="F887" s="340"/>
      <c r="G887" s="341"/>
      <c r="H887" s="341"/>
      <c r="I887" s="342"/>
      <c r="J887" s="342"/>
    </row>
    <row r="888">
      <c r="A888" s="401"/>
      <c r="B888" s="337"/>
      <c r="C888" s="337"/>
      <c r="D888" s="338"/>
      <c r="E888" s="339"/>
      <c r="F888" s="340"/>
      <c r="G888" s="341"/>
      <c r="H888" s="341"/>
      <c r="I888" s="342"/>
      <c r="J888" s="342"/>
    </row>
    <row r="889">
      <c r="A889" s="401"/>
      <c r="B889" s="337"/>
      <c r="C889" s="337"/>
      <c r="D889" s="338"/>
      <c r="E889" s="339"/>
      <c r="F889" s="340"/>
      <c r="G889" s="341"/>
      <c r="H889" s="341"/>
      <c r="I889" s="342"/>
      <c r="J889" s="342"/>
    </row>
    <row r="890">
      <c r="A890" s="401"/>
      <c r="B890" s="337"/>
      <c r="C890" s="337"/>
      <c r="D890" s="338"/>
      <c r="E890" s="339"/>
      <c r="F890" s="340"/>
      <c r="G890" s="341"/>
      <c r="H890" s="341"/>
      <c r="I890" s="342"/>
      <c r="J890" s="342"/>
    </row>
    <row r="891">
      <c r="A891" s="401"/>
      <c r="B891" s="337"/>
      <c r="C891" s="337"/>
      <c r="D891" s="338"/>
      <c r="E891" s="339"/>
      <c r="F891" s="340"/>
      <c r="G891" s="341"/>
      <c r="H891" s="341"/>
      <c r="I891" s="342"/>
      <c r="J891" s="342"/>
    </row>
    <row r="892">
      <c r="A892" s="401"/>
      <c r="B892" s="337"/>
      <c r="C892" s="337"/>
      <c r="D892" s="338"/>
      <c r="E892" s="339"/>
      <c r="F892" s="340"/>
      <c r="G892" s="341"/>
      <c r="H892" s="341"/>
      <c r="I892" s="342"/>
      <c r="J892" s="342"/>
    </row>
    <row r="893">
      <c r="A893" s="401"/>
      <c r="B893" s="337"/>
      <c r="C893" s="337"/>
      <c r="D893" s="338"/>
      <c r="E893" s="339"/>
      <c r="F893" s="340"/>
      <c r="G893" s="341"/>
      <c r="H893" s="341"/>
      <c r="I893" s="342"/>
      <c r="J893" s="342"/>
    </row>
    <row r="894">
      <c r="A894" s="401"/>
      <c r="B894" s="337"/>
      <c r="C894" s="337"/>
      <c r="D894" s="338"/>
      <c r="E894" s="339"/>
      <c r="F894" s="340"/>
      <c r="G894" s="341"/>
      <c r="H894" s="341"/>
      <c r="I894" s="342"/>
      <c r="J894" s="342"/>
    </row>
    <row r="895">
      <c r="A895" s="401"/>
      <c r="B895" s="337"/>
      <c r="C895" s="337"/>
      <c r="D895" s="338"/>
      <c r="E895" s="339"/>
      <c r="F895" s="340"/>
      <c r="G895" s="341"/>
      <c r="H895" s="341"/>
      <c r="I895" s="342"/>
      <c r="J895" s="342"/>
    </row>
    <row r="896">
      <c r="A896" s="401"/>
      <c r="B896" s="337"/>
      <c r="C896" s="337"/>
      <c r="D896" s="338"/>
      <c r="E896" s="339"/>
      <c r="F896" s="340"/>
      <c r="G896" s="341"/>
      <c r="H896" s="341"/>
      <c r="I896" s="342"/>
      <c r="J896" s="342"/>
    </row>
    <row r="897">
      <c r="A897" s="401"/>
      <c r="B897" s="337"/>
      <c r="C897" s="337"/>
      <c r="D897" s="338"/>
      <c r="E897" s="339"/>
      <c r="F897" s="340"/>
      <c r="G897" s="341"/>
      <c r="H897" s="341"/>
      <c r="I897" s="342"/>
      <c r="J897" s="342"/>
    </row>
    <row r="898">
      <c r="A898" s="401"/>
      <c r="B898" s="337"/>
      <c r="C898" s="337"/>
      <c r="D898" s="338"/>
      <c r="E898" s="339"/>
      <c r="F898" s="340"/>
      <c r="G898" s="341"/>
      <c r="H898" s="341"/>
      <c r="I898" s="342"/>
      <c r="J898" s="342"/>
    </row>
    <row r="899">
      <c r="A899" s="401"/>
      <c r="B899" s="337"/>
      <c r="C899" s="337"/>
      <c r="D899" s="338"/>
      <c r="E899" s="339"/>
      <c r="F899" s="340"/>
      <c r="G899" s="341"/>
      <c r="H899" s="341"/>
      <c r="I899" s="342"/>
      <c r="J899" s="342"/>
    </row>
    <row r="900">
      <c r="A900" s="401"/>
      <c r="B900" s="337"/>
      <c r="C900" s="337"/>
      <c r="D900" s="338"/>
      <c r="E900" s="339"/>
      <c r="F900" s="340"/>
      <c r="G900" s="341"/>
      <c r="H900" s="341"/>
      <c r="I900" s="342"/>
      <c r="J900" s="342"/>
    </row>
    <row r="901">
      <c r="A901" s="401"/>
      <c r="B901" s="337"/>
      <c r="C901" s="337"/>
      <c r="D901" s="338"/>
      <c r="E901" s="339"/>
      <c r="F901" s="340"/>
      <c r="G901" s="341"/>
      <c r="H901" s="341"/>
      <c r="I901" s="342"/>
      <c r="J901" s="342"/>
    </row>
    <row r="902">
      <c r="A902" s="401"/>
      <c r="B902" s="337"/>
      <c r="C902" s="337"/>
      <c r="D902" s="338"/>
      <c r="E902" s="339"/>
      <c r="F902" s="340"/>
      <c r="G902" s="341"/>
      <c r="H902" s="341"/>
      <c r="I902" s="342"/>
      <c r="J902" s="342"/>
    </row>
    <row r="903">
      <c r="A903" s="401"/>
      <c r="B903" s="337"/>
      <c r="C903" s="337"/>
      <c r="D903" s="338"/>
      <c r="E903" s="339"/>
      <c r="F903" s="340"/>
      <c r="G903" s="341"/>
      <c r="H903" s="341"/>
      <c r="I903" s="342"/>
      <c r="J903" s="342"/>
    </row>
    <row r="904">
      <c r="A904" s="401"/>
      <c r="B904" s="337"/>
      <c r="C904" s="337"/>
      <c r="D904" s="338"/>
      <c r="E904" s="339"/>
      <c r="F904" s="340"/>
      <c r="G904" s="341"/>
      <c r="H904" s="341"/>
      <c r="I904" s="342"/>
      <c r="J904" s="342"/>
    </row>
    <row r="905">
      <c r="A905" s="401"/>
      <c r="B905" s="337"/>
      <c r="C905" s="337"/>
      <c r="D905" s="338"/>
      <c r="E905" s="339"/>
      <c r="F905" s="340"/>
      <c r="G905" s="341"/>
      <c r="H905" s="341"/>
      <c r="I905" s="342"/>
      <c r="J905" s="342"/>
    </row>
    <row r="906">
      <c r="A906" s="401"/>
      <c r="B906" s="337"/>
      <c r="C906" s="337"/>
      <c r="D906" s="338"/>
      <c r="E906" s="339"/>
      <c r="F906" s="340"/>
      <c r="G906" s="341"/>
      <c r="H906" s="341"/>
      <c r="I906" s="342"/>
      <c r="J906" s="342"/>
    </row>
    <row r="907">
      <c r="A907" s="401"/>
      <c r="B907" s="337"/>
      <c r="C907" s="337"/>
      <c r="D907" s="338"/>
      <c r="E907" s="339"/>
      <c r="F907" s="340"/>
      <c r="G907" s="341"/>
      <c r="H907" s="341"/>
      <c r="I907" s="342"/>
      <c r="J907" s="342"/>
    </row>
    <row r="908">
      <c r="A908" s="401"/>
      <c r="B908" s="337"/>
      <c r="C908" s="337"/>
      <c r="D908" s="338"/>
      <c r="E908" s="339"/>
      <c r="F908" s="340"/>
      <c r="G908" s="341"/>
      <c r="H908" s="341"/>
      <c r="I908" s="342"/>
      <c r="J908" s="342"/>
    </row>
    <row r="909">
      <c r="A909" s="401"/>
      <c r="B909" s="337"/>
      <c r="C909" s="337"/>
      <c r="D909" s="338"/>
      <c r="E909" s="339"/>
      <c r="F909" s="340"/>
      <c r="G909" s="341"/>
      <c r="H909" s="341"/>
      <c r="I909" s="342"/>
      <c r="J909" s="342"/>
    </row>
    <row r="910">
      <c r="A910" s="401"/>
      <c r="B910" s="337"/>
      <c r="C910" s="337"/>
      <c r="D910" s="338"/>
      <c r="E910" s="339"/>
      <c r="F910" s="340"/>
      <c r="G910" s="341"/>
      <c r="H910" s="341"/>
      <c r="I910" s="342"/>
      <c r="J910" s="342"/>
    </row>
    <row r="911">
      <c r="A911" s="401"/>
      <c r="B911" s="337"/>
      <c r="C911" s="337"/>
      <c r="D911" s="338"/>
      <c r="E911" s="339"/>
      <c r="F911" s="340"/>
      <c r="G911" s="341"/>
      <c r="H911" s="341"/>
      <c r="I911" s="342"/>
      <c r="J911" s="342"/>
    </row>
    <row r="912">
      <c r="A912" s="401"/>
      <c r="B912" s="337"/>
      <c r="C912" s="337"/>
      <c r="D912" s="338"/>
      <c r="E912" s="339"/>
      <c r="F912" s="340"/>
      <c r="G912" s="341"/>
      <c r="H912" s="341"/>
      <c r="I912" s="342"/>
      <c r="J912" s="342"/>
    </row>
    <row r="913">
      <c r="A913" s="401"/>
      <c r="B913" s="337"/>
      <c r="C913" s="337"/>
      <c r="D913" s="338"/>
      <c r="E913" s="339"/>
      <c r="F913" s="340"/>
      <c r="G913" s="341"/>
      <c r="H913" s="341"/>
      <c r="I913" s="342"/>
      <c r="J913" s="342"/>
    </row>
    <row r="914">
      <c r="A914" s="401"/>
      <c r="B914" s="337"/>
      <c r="C914" s="337"/>
      <c r="D914" s="338"/>
      <c r="E914" s="339"/>
      <c r="F914" s="340"/>
      <c r="G914" s="341"/>
      <c r="H914" s="341"/>
      <c r="I914" s="342"/>
      <c r="J914" s="342"/>
    </row>
    <row r="915">
      <c r="A915" s="401"/>
      <c r="B915" s="337"/>
      <c r="C915" s="337"/>
      <c r="D915" s="338"/>
      <c r="E915" s="339"/>
      <c r="F915" s="340"/>
      <c r="G915" s="341"/>
      <c r="H915" s="341"/>
      <c r="I915" s="342"/>
      <c r="J915" s="342"/>
    </row>
    <row r="916">
      <c r="A916" s="401"/>
      <c r="B916" s="337"/>
      <c r="C916" s="337"/>
      <c r="D916" s="338"/>
      <c r="E916" s="339"/>
      <c r="F916" s="340"/>
      <c r="G916" s="341"/>
      <c r="H916" s="341"/>
      <c r="I916" s="342"/>
      <c r="J916" s="342"/>
    </row>
    <row r="917">
      <c r="A917" s="401"/>
      <c r="B917" s="337"/>
      <c r="C917" s="337"/>
      <c r="D917" s="338"/>
      <c r="E917" s="339"/>
      <c r="F917" s="340"/>
      <c r="G917" s="341"/>
      <c r="H917" s="341"/>
      <c r="I917" s="342"/>
      <c r="J917" s="342"/>
    </row>
    <row r="918">
      <c r="A918" s="401"/>
      <c r="B918" s="337"/>
      <c r="C918" s="337"/>
      <c r="D918" s="338"/>
      <c r="E918" s="339"/>
      <c r="F918" s="340"/>
      <c r="G918" s="341"/>
      <c r="H918" s="341"/>
      <c r="I918" s="342"/>
      <c r="J918" s="342"/>
    </row>
    <row r="919">
      <c r="A919" s="401"/>
      <c r="B919" s="337"/>
      <c r="C919" s="337"/>
      <c r="D919" s="338"/>
      <c r="E919" s="339"/>
      <c r="F919" s="340"/>
      <c r="G919" s="341"/>
      <c r="H919" s="341"/>
      <c r="I919" s="342"/>
      <c r="J919" s="342"/>
    </row>
    <row r="920">
      <c r="A920" s="401"/>
      <c r="B920" s="337"/>
      <c r="C920" s="337"/>
      <c r="D920" s="338"/>
      <c r="E920" s="339"/>
      <c r="F920" s="340"/>
      <c r="G920" s="341"/>
      <c r="H920" s="341"/>
      <c r="I920" s="342"/>
      <c r="J920" s="342"/>
    </row>
    <row r="921">
      <c r="A921" s="401"/>
      <c r="B921" s="337"/>
      <c r="C921" s="337"/>
      <c r="D921" s="338"/>
      <c r="E921" s="339"/>
      <c r="F921" s="340"/>
      <c r="G921" s="341"/>
      <c r="H921" s="341"/>
      <c r="I921" s="342"/>
      <c r="J921" s="342"/>
    </row>
    <row r="922">
      <c r="A922" s="401"/>
      <c r="B922" s="337"/>
      <c r="C922" s="337"/>
      <c r="D922" s="338"/>
      <c r="E922" s="339"/>
      <c r="F922" s="340"/>
      <c r="G922" s="341"/>
      <c r="H922" s="341"/>
      <c r="I922" s="342"/>
      <c r="J922" s="342"/>
    </row>
    <row r="923">
      <c r="A923" s="401"/>
      <c r="B923" s="337"/>
      <c r="C923" s="337"/>
      <c r="D923" s="338"/>
      <c r="E923" s="339"/>
      <c r="F923" s="340"/>
      <c r="G923" s="341"/>
      <c r="H923" s="341"/>
      <c r="I923" s="342"/>
      <c r="J923" s="342"/>
    </row>
    <row r="924">
      <c r="A924" s="401"/>
      <c r="B924" s="337"/>
      <c r="C924" s="337"/>
      <c r="D924" s="338"/>
      <c r="E924" s="339"/>
      <c r="F924" s="340"/>
      <c r="G924" s="341"/>
      <c r="H924" s="341"/>
      <c r="I924" s="342"/>
      <c r="J924" s="342"/>
    </row>
    <row r="925">
      <c r="A925" s="401"/>
      <c r="B925" s="337"/>
      <c r="C925" s="337"/>
      <c r="D925" s="338"/>
      <c r="E925" s="339"/>
      <c r="F925" s="340"/>
      <c r="G925" s="341"/>
      <c r="H925" s="341"/>
      <c r="I925" s="342"/>
      <c r="J925" s="342"/>
    </row>
    <row r="926">
      <c r="A926" s="401"/>
      <c r="B926" s="337"/>
      <c r="C926" s="337"/>
      <c r="D926" s="338"/>
      <c r="E926" s="339"/>
      <c r="F926" s="340"/>
      <c r="G926" s="341"/>
      <c r="H926" s="341"/>
      <c r="I926" s="342"/>
      <c r="J926" s="342"/>
    </row>
    <row r="927">
      <c r="A927" s="401"/>
      <c r="B927" s="337"/>
      <c r="C927" s="337"/>
      <c r="D927" s="338"/>
      <c r="E927" s="339"/>
      <c r="F927" s="340"/>
      <c r="G927" s="341"/>
      <c r="H927" s="341"/>
      <c r="I927" s="342"/>
      <c r="J927" s="342"/>
    </row>
    <row r="928">
      <c r="A928" s="401"/>
      <c r="B928" s="337"/>
      <c r="C928" s="337"/>
      <c r="D928" s="338"/>
      <c r="E928" s="339"/>
      <c r="F928" s="340"/>
      <c r="G928" s="341"/>
      <c r="H928" s="341"/>
      <c r="I928" s="342"/>
      <c r="J928" s="342"/>
    </row>
    <row r="929">
      <c r="A929" s="401"/>
      <c r="B929" s="337"/>
      <c r="C929" s="337"/>
      <c r="D929" s="338"/>
      <c r="E929" s="339"/>
      <c r="F929" s="340"/>
      <c r="G929" s="341"/>
      <c r="H929" s="341"/>
      <c r="I929" s="342"/>
      <c r="J929" s="342"/>
    </row>
    <row r="930">
      <c r="A930" s="401"/>
      <c r="B930" s="337"/>
      <c r="C930" s="337"/>
      <c r="D930" s="338"/>
      <c r="E930" s="339"/>
      <c r="F930" s="340"/>
      <c r="G930" s="341"/>
      <c r="H930" s="341"/>
      <c r="I930" s="342"/>
      <c r="J930" s="342"/>
    </row>
    <row r="931">
      <c r="A931" s="401"/>
      <c r="B931" s="337"/>
      <c r="C931" s="337"/>
      <c r="D931" s="338"/>
      <c r="E931" s="339"/>
      <c r="F931" s="340"/>
      <c r="G931" s="341"/>
      <c r="H931" s="341"/>
      <c r="I931" s="342"/>
      <c r="J931" s="342"/>
    </row>
    <row r="932">
      <c r="A932" s="401"/>
      <c r="B932" s="337"/>
      <c r="C932" s="337"/>
      <c r="D932" s="338"/>
      <c r="E932" s="339"/>
      <c r="F932" s="340"/>
      <c r="G932" s="341"/>
      <c r="H932" s="341"/>
      <c r="I932" s="342"/>
      <c r="J932" s="342"/>
    </row>
    <row r="933">
      <c r="A933" s="401"/>
      <c r="B933" s="337"/>
      <c r="C933" s="337"/>
      <c r="D933" s="338"/>
      <c r="E933" s="339"/>
      <c r="F933" s="340"/>
      <c r="G933" s="341"/>
      <c r="H933" s="341"/>
      <c r="I933" s="342"/>
      <c r="J933" s="342"/>
    </row>
    <row r="934">
      <c r="A934" s="401"/>
      <c r="B934" s="337"/>
      <c r="C934" s="337"/>
      <c r="D934" s="338"/>
      <c r="E934" s="339"/>
      <c r="F934" s="340"/>
      <c r="G934" s="341"/>
      <c r="H934" s="341"/>
      <c r="I934" s="342"/>
      <c r="J934" s="342"/>
    </row>
    <row r="935">
      <c r="A935" s="401"/>
      <c r="B935" s="337"/>
      <c r="C935" s="337"/>
      <c r="D935" s="338"/>
      <c r="E935" s="339"/>
      <c r="F935" s="340"/>
      <c r="G935" s="341"/>
      <c r="H935" s="341"/>
      <c r="I935" s="342"/>
      <c r="J935" s="342"/>
    </row>
    <row r="936">
      <c r="A936" s="401"/>
      <c r="B936" s="337"/>
      <c r="C936" s="337"/>
      <c r="D936" s="338"/>
      <c r="E936" s="339"/>
      <c r="F936" s="340"/>
      <c r="G936" s="341"/>
      <c r="H936" s="341"/>
      <c r="I936" s="342"/>
      <c r="J936" s="342"/>
    </row>
    <row r="937">
      <c r="A937" s="401"/>
      <c r="B937" s="337"/>
      <c r="C937" s="337"/>
      <c r="D937" s="338"/>
      <c r="E937" s="339"/>
      <c r="F937" s="340"/>
      <c r="G937" s="341"/>
      <c r="H937" s="341"/>
      <c r="I937" s="342"/>
      <c r="J937" s="342"/>
    </row>
    <row r="938">
      <c r="A938" s="401"/>
      <c r="B938" s="337"/>
      <c r="C938" s="337"/>
      <c r="D938" s="338"/>
      <c r="E938" s="339"/>
      <c r="F938" s="340"/>
      <c r="G938" s="341"/>
      <c r="H938" s="341"/>
      <c r="I938" s="342"/>
      <c r="J938" s="342"/>
    </row>
    <row r="939">
      <c r="A939" s="401"/>
      <c r="B939" s="337"/>
      <c r="C939" s="337"/>
      <c r="D939" s="338"/>
      <c r="E939" s="339"/>
      <c r="F939" s="340"/>
      <c r="G939" s="341"/>
      <c r="H939" s="341"/>
      <c r="I939" s="342"/>
      <c r="J939" s="342"/>
    </row>
    <row r="940">
      <c r="A940" s="401"/>
      <c r="B940" s="337"/>
      <c r="C940" s="337"/>
      <c r="D940" s="338"/>
      <c r="E940" s="339"/>
      <c r="F940" s="340"/>
      <c r="G940" s="341"/>
      <c r="H940" s="341"/>
      <c r="I940" s="342"/>
      <c r="J940" s="342"/>
    </row>
    <row r="941">
      <c r="A941" s="401"/>
      <c r="B941" s="337"/>
      <c r="C941" s="337"/>
      <c r="D941" s="338"/>
      <c r="E941" s="339"/>
      <c r="F941" s="340"/>
      <c r="G941" s="341"/>
      <c r="H941" s="341"/>
      <c r="I941" s="342"/>
      <c r="J941" s="342"/>
    </row>
    <row r="942">
      <c r="A942" s="401"/>
      <c r="B942" s="337"/>
      <c r="C942" s="337"/>
      <c r="D942" s="338"/>
      <c r="E942" s="339"/>
      <c r="F942" s="340"/>
      <c r="G942" s="341"/>
      <c r="H942" s="341"/>
      <c r="I942" s="342"/>
      <c r="J942" s="342"/>
    </row>
    <row r="943">
      <c r="A943" s="401"/>
      <c r="B943" s="337"/>
      <c r="C943" s="337"/>
      <c r="D943" s="338"/>
      <c r="E943" s="339"/>
      <c r="F943" s="340"/>
      <c r="G943" s="341"/>
      <c r="H943" s="341"/>
      <c r="I943" s="342"/>
      <c r="J943" s="342"/>
    </row>
    <row r="944">
      <c r="A944" s="401"/>
      <c r="B944" s="337"/>
      <c r="C944" s="337"/>
      <c r="D944" s="338"/>
      <c r="E944" s="339"/>
      <c r="F944" s="340"/>
      <c r="G944" s="341"/>
      <c r="H944" s="341"/>
      <c r="I944" s="342"/>
      <c r="J944" s="342"/>
    </row>
    <row r="945">
      <c r="A945" s="401"/>
      <c r="B945" s="337"/>
      <c r="C945" s="337"/>
      <c r="D945" s="338"/>
      <c r="E945" s="339"/>
      <c r="F945" s="340"/>
      <c r="G945" s="341"/>
      <c r="H945" s="341"/>
      <c r="I945" s="342"/>
      <c r="J945" s="342"/>
    </row>
    <row r="946">
      <c r="A946" s="401"/>
      <c r="B946" s="337"/>
      <c r="C946" s="337"/>
      <c r="D946" s="338"/>
      <c r="E946" s="339"/>
      <c r="F946" s="340"/>
      <c r="G946" s="341"/>
      <c r="H946" s="341"/>
      <c r="I946" s="342"/>
      <c r="J946" s="342"/>
    </row>
    <row r="947">
      <c r="A947" s="401"/>
      <c r="B947" s="337"/>
      <c r="C947" s="337"/>
      <c r="D947" s="338"/>
      <c r="E947" s="339"/>
      <c r="F947" s="340"/>
      <c r="G947" s="341"/>
      <c r="H947" s="341"/>
      <c r="I947" s="342"/>
      <c r="J947" s="342"/>
    </row>
    <row r="948">
      <c r="A948" s="401"/>
      <c r="B948" s="337"/>
      <c r="C948" s="337"/>
      <c r="D948" s="338"/>
      <c r="E948" s="339"/>
      <c r="F948" s="340"/>
      <c r="G948" s="341"/>
      <c r="H948" s="341"/>
      <c r="I948" s="342"/>
      <c r="J948" s="342"/>
    </row>
    <row r="949">
      <c r="A949" s="401"/>
      <c r="B949" s="337"/>
      <c r="C949" s="337"/>
      <c r="D949" s="338"/>
      <c r="E949" s="339"/>
      <c r="F949" s="340"/>
      <c r="G949" s="341"/>
      <c r="H949" s="341"/>
      <c r="I949" s="342"/>
      <c r="J949" s="342"/>
    </row>
    <row r="950">
      <c r="A950" s="401"/>
      <c r="B950" s="337"/>
      <c r="C950" s="337"/>
      <c r="D950" s="338"/>
      <c r="E950" s="339"/>
      <c r="F950" s="340"/>
      <c r="G950" s="341"/>
      <c r="H950" s="341"/>
      <c r="I950" s="342"/>
      <c r="J950" s="342"/>
    </row>
    <row r="951">
      <c r="A951" s="401"/>
      <c r="B951" s="337"/>
      <c r="C951" s="337"/>
      <c r="D951" s="338"/>
      <c r="E951" s="339"/>
      <c r="F951" s="340"/>
      <c r="G951" s="341"/>
      <c r="H951" s="341"/>
      <c r="I951" s="342"/>
      <c r="J951" s="342"/>
    </row>
    <row r="952">
      <c r="A952" s="401"/>
      <c r="B952" s="337"/>
      <c r="C952" s="337"/>
      <c r="D952" s="338"/>
      <c r="E952" s="339"/>
      <c r="F952" s="340"/>
      <c r="G952" s="341"/>
      <c r="H952" s="341"/>
      <c r="I952" s="342"/>
      <c r="J952" s="342"/>
    </row>
    <row r="953">
      <c r="A953" s="401"/>
      <c r="B953" s="337"/>
      <c r="C953" s="337"/>
      <c r="D953" s="338"/>
      <c r="E953" s="339"/>
      <c r="F953" s="340"/>
      <c r="G953" s="341"/>
      <c r="H953" s="341"/>
      <c r="I953" s="342"/>
      <c r="J953" s="342"/>
    </row>
    <row r="954">
      <c r="A954" s="401"/>
      <c r="B954" s="337"/>
      <c r="C954" s="337"/>
      <c r="D954" s="338"/>
      <c r="E954" s="339"/>
      <c r="F954" s="340"/>
      <c r="G954" s="341"/>
      <c r="H954" s="341"/>
      <c r="I954" s="342"/>
      <c r="J954" s="342"/>
    </row>
    <row r="955">
      <c r="A955" s="401"/>
      <c r="B955" s="337"/>
      <c r="C955" s="337"/>
      <c r="D955" s="338"/>
      <c r="E955" s="339"/>
      <c r="F955" s="340"/>
      <c r="G955" s="341"/>
      <c r="H955" s="341"/>
      <c r="I955" s="342"/>
      <c r="J955" s="342"/>
    </row>
    <row r="956">
      <c r="A956" s="401"/>
      <c r="B956" s="337"/>
      <c r="C956" s="337"/>
      <c r="D956" s="338"/>
      <c r="E956" s="339"/>
      <c r="F956" s="340"/>
      <c r="G956" s="341"/>
      <c r="H956" s="341"/>
      <c r="I956" s="342"/>
      <c r="J956" s="342"/>
    </row>
    <row r="957">
      <c r="A957" s="401"/>
      <c r="B957" s="337"/>
      <c r="C957" s="337"/>
      <c r="D957" s="338"/>
      <c r="E957" s="339"/>
      <c r="F957" s="340"/>
      <c r="G957" s="341"/>
      <c r="H957" s="341"/>
      <c r="I957" s="342"/>
      <c r="J957" s="342"/>
    </row>
    <row r="958">
      <c r="A958" s="401"/>
      <c r="B958" s="337"/>
      <c r="C958" s="337"/>
      <c r="D958" s="338"/>
      <c r="E958" s="339"/>
      <c r="F958" s="340"/>
      <c r="G958" s="341"/>
      <c r="H958" s="341"/>
      <c r="I958" s="342"/>
      <c r="J958" s="342"/>
    </row>
    <row r="959">
      <c r="A959" s="401"/>
      <c r="B959" s="337"/>
      <c r="C959" s="337"/>
      <c r="D959" s="338"/>
      <c r="E959" s="339"/>
      <c r="F959" s="340"/>
      <c r="G959" s="341"/>
      <c r="H959" s="341"/>
      <c r="I959" s="342"/>
      <c r="J959" s="342"/>
    </row>
    <row r="960">
      <c r="A960" s="401"/>
      <c r="B960" s="337"/>
      <c r="C960" s="337"/>
      <c r="D960" s="338"/>
      <c r="E960" s="339"/>
      <c r="F960" s="340"/>
      <c r="G960" s="341"/>
      <c r="H960" s="341"/>
      <c r="I960" s="342"/>
      <c r="J960" s="342"/>
    </row>
    <row r="961">
      <c r="A961" s="401"/>
      <c r="B961" s="337"/>
      <c r="C961" s="337"/>
      <c r="D961" s="338"/>
      <c r="E961" s="339"/>
      <c r="F961" s="340"/>
      <c r="G961" s="341"/>
      <c r="H961" s="341"/>
      <c r="I961" s="342"/>
      <c r="J961" s="342"/>
    </row>
    <row r="962">
      <c r="A962" s="401"/>
      <c r="B962" s="337"/>
      <c r="C962" s="337"/>
      <c r="D962" s="338"/>
      <c r="E962" s="339"/>
      <c r="F962" s="340"/>
      <c r="G962" s="341"/>
      <c r="H962" s="341"/>
      <c r="I962" s="342"/>
      <c r="J962" s="342"/>
    </row>
    <row r="963">
      <c r="A963" s="401"/>
      <c r="B963" s="337"/>
      <c r="C963" s="337"/>
      <c r="D963" s="338"/>
      <c r="E963" s="339"/>
      <c r="F963" s="340"/>
      <c r="G963" s="341"/>
      <c r="H963" s="341"/>
      <c r="I963" s="342"/>
      <c r="J963" s="342"/>
    </row>
    <row r="964">
      <c r="A964" s="401"/>
      <c r="B964" s="337"/>
      <c r="C964" s="337"/>
      <c r="D964" s="338"/>
      <c r="E964" s="339"/>
      <c r="F964" s="340"/>
      <c r="G964" s="341"/>
      <c r="H964" s="341"/>
      <c r="I964" s="342"/>
      <c r="J964" s="342"/>
    </row>
    <row r="965">
      <c r="A965" s="401"/>
      <c r="B965" s="337"/>
      <c r="C965" s="337"/>
      <c r="D965" s="338"/>
      <c r="E965" s="339"/>
      <c r="F965" s="340"/>
      <c r="G965" s="341"/>
      <c r="H965" s="341"/>
      <c r="I965" s="342"/>
      <c r="J965" s="342"/>
    </row>
    <row r="966">
      <c r="A966" s="401"/>
      <c r="B966" s="337"/>
      <c r="C966" s="337"/>
      <c r="D966" s="338"/>
      <c r="E966" s="339"/>
      <c r="F966" s="340"/>
      <c r="G966" s="341"/>
      <c r="H966" s="341"/>
      <c r="I966" s="342"/>
      <c r="J966" s="342"/>
    </row>
    <row r="967">
      <c r="A967" s="401"/>
      <c r="B967" s="337"/>
      <c r="C967" s="337"/>
      <c r="D967" s="338"/>
      <c r="E967" s="339"/>
      <c r="F967" s="340"/>
      <c r="G967" s="341"/>
      <c r="H967" s="341"/>
      <c r="I967" s="342"/>
      <c r="J967" s="342"/>
    </row>
    <row r="968">
      <c r="A968" s="401"/>
      <c r="B968" s="337"/>
      <c r="C968" s="337"/>
      <c r="D968" s="338"/>
      <c r="E968" s="339"/>
      <c r="F968" s="340"/>
      <c r="G968" s="341"/>
      <c r="H968" s="341"/>
      <c r="I968" s="342"/>
      <c r="J968" s="342"/>
    </row>
    <row r="969">
      <c r="A969" s="401"/>
      <c r="B969" s="337"/>
      <c r="C969" s="337"/>
      <c r="D969" s="338"/>
      <c r="E969" s="339"/>
      <c r="F969" s="340"/>
      <c r="G969" s="341"/>
      <c r="H969" s="341"/>
      <c r="I969" s="342"/>
      <c r="J969" s="342"/>
    </row>
    <row r="970">
      <c r="A970" s="401"/>
      <c r="B970" s="337"/>
      <c r="C970" s="337"/>
      <c r="D970" s="338"/>
      <c r="E970" s="339"/>
      <c r="F970" s="340"/>
      <c r="G970" s="341"/>
      <c r="H970" s="341"/>
      <c r="I970" s="342"/>
      <c r="J970" s="342"/>
    </row>
    <row r="971">
      <c r="A971" s="401"/>
      <c r="B971" s="337"/>
      <c r="C971" s="337"/>
      <c r="D971" s="338"/>
      <c r="E971" s="339"/>
      <c r="F971" s="340"/>
      <c r="G971" s="341"/>
      <c r="H971" s="341"/>
      <c r="I971" s="342"/>
      <c r="J971" s="342"/>
    </row>
    <row r="972">
      <c r="A972" s="401"/>
      <c r="B972" s="337"/>
      <c r="C972" s="337"/>
      <c r="D972" s="338"/>
      <c r="E972" s="339"/>
      <c r="F972" s="340"/>
      <c r="G972" s="341"/>
      <c r="H972" s="341"/>
      <c r="I972" s="342"/>
      <c r="J972" s="342"/>
    </row>
    <row r="973">
      <c r="A973" s="401"/>
      <c r="B973" s="337"/>
      <c r="C973" s="337"/>
      <c r="D973" s="338"/>
      <c r="E973" s="339"/>
      <c r="F973" s="340"/>
      <c r="G973" s="341"/>
      <c r="H973" s="341"/>
      <c r="I973" s="342"/>
      <c r="J973" s="342"/>
    </row>
    <row r="974">
      <c r="A974" s="401"/>
      <c r="B974" s="337"/>
      <c r="C974" s="337"/>
      <c r="D974" s="338"/>
      <c r="E974" s="339"/>
      <c r="F974" s="340"/>
      <c r="G974" s="341"/>
      <c r="H974" s="341"/>
      <c r="I974" s="342"/>
      <c r="J974" s="342"/>
    </row>
    <row r="975">
      <c r="A975" s="401"/>
      <c r="B975" s="337"/>
      <c r="C975" s="337"/>
      <c r="D975" s="338"/>
      <c r="E975" s="339"/>
      <c r="F975" s="340"/>
      <c r="G975" s="341"/>
      <c r="H975" s="341"/>
      <c r="I975" s="342"/>
      <c r="J975" s="342"/>
    </row>
    <row r="976">
      <c r="A976" s="401"/>
      <c r="B976" s="337"/>
      <c r="C976" s="337"/>
      <c r="D976" s="338"/>
      <c r="E976" s="339"/>
      <c r="F976" s="340"/>
      <c r="G976" s="341"/>
      <c r="H976" s="341"/>
      <c r="I976" s="342"/>
      <c r="J976" s="342"/>
    </row>
    <row r="977">
      <c r="A977" s="401"/>
      <c r="B977" s="337"/>
      <c r="C977" s="337"/>
      <c r="D977" s="338"/>
      <c r="E977" s="339"/>
      <c r="F977" s="340"/>
      <c r="G977" s="341"/>
      <c r="H977" s="341"/>
      <c r="I977" s="342"/>
      <c r="J977" s="342"/>
    </row>
    <row r="978">
      <c r="A978" s="401"/>
      <c r="B978" s="337"/>
      <c r="C978" s="337"/>
      <c r="D978" s="338"/>
      <c r="E978" s="339"/>
      <c r="F978" s="340"/>
      <c r="G978" s="341"/>
      <c r="H978" s="341"/>
      <c r="I978" s="342"/>
      <c r="J978" s="342"/>
    </row>
    <row r="979">
      <c r="A979" s="401"/>
      <c r="B979" s="337"/>
      <c r="C979" s="337"/>
      <c r="D979" s="338"/>
      <c r="E979" s="339"/>
      <c r="F979" s="340"/>
      <c r="G979" s="341"/>
      <c r="H979" s="341"/>
      <c r="I979" s="342"/>
      <c r="J979" s="342"/>
    </row>
    <row r="980">
      <c r="A980" s="401"/>
      <c r="B980" s="337"/>
      <c r="C980" s="337"/>
      <c r="D980" s="338"/>
      <c r="E980" s="339"/>
      <c r="F980" s="340"/>
      <c r="G980" s="341"/>
      <c r="H980" s="341"/>
      <c r="I980" s="342"/>
      <c r="J980" s="342"/>
    </row>
    <row r="981">
      <c r="A981" s="401"/>
      <c r="B981" s="337"/>
      <c r="C981" s="337"/>
      <c r="D981" s="338"/>
      <c r="E981" s="339"/>
      <c r="F981" s="340"/>
      <c r="G981" s="341"/>
      <c r="H981" s="341"/>
      <c r="I981" s="342"/>
      <c r="J981" s="342"/>
    </row>
    <row r="982">
      <c r="A982" s="401"/>
      <c r="B982" s="337"/>
      <c r="C982" s="337"/>
      <c r="D982" s="338"/>
      <c r="E982" s="339"/>
      <c r="F982" s="340"/>
      <c r="G982" s="341"/>
      <c r="H982" s="341"/>
      <c r="I982" s="342"/>
      <c r="J982" s="342"/>
    </row>
    <row r="983">
      <c r="A983" s="401"/>
      <c r="B983" s="337"/>
      <c r="C983" s="337"/>
      <c r="D983" s="338"/>
      <c r="E983" s="339"/>
      <c r="F983" s="340"/>
      <c r="G983" s="341"/>
      <c r="H983" s="341"/>
      <c r="I983" s="342"/>
      <c r="J983" s="342"/>
    </row>
    <row r="984">
      <c r="A984" s="401"/>
      <c r="B984" s="337"/>
      <c r="C984" s="337"/>
      <c r="D984" s="338"/>
      <c r="E984" s="339"/>
      <c r="F984" s="340"/>
      <c r="G984" s="341"/>
      <c r="H984" s="341"/>
      <c r="I984" s="342"/>
      <c r="J984" s="342"/>
    </row>
    <row r="985">
      <c r="A985" s="401"/>
      <c r="B985" s="337"/>
      <c r="C985" s="337"/>
      <c r="D985" s="338"/>
      <c r="E985" s="339"/>
      <c r="F985" s="340"/>
      <c r="G985" s="341"/>
      <c r="H985" s="341"/>
      <c r="I985" s="342"/>
      <c r="J985" s="342"/>
    </row>
    <row r="986">
      <c r="A986" s="401"/>
      <c r="B986" s="337"/>
      <c r="C986" s="337"/>
      <c r="D986" s="338"/>
      <c r="E986" s="339"/>
      <c r="F986" s="340"/>
      <c r="G986" s="341"/>
      <c r="H986" s="341"/>
      <c r="I986" s="342"/>
      <c r="J986" s="342"/>
    </row>
    <row r="987">
      <c r="A987" s="401"/>
      <c r="B987" s="337"/>
      <c r="C987" s="337"/>
      <c r="D987" s="338"/>
      <c r="E987" s="339"/>
      <c r="F987" s="340"/>
      <c r="G987" s="341"/>
      <c r="H987" s="341"/>
      <c r="I987" s="342"/>
      <c r="J987" s="342"/>
    </row>
    <row r="988">
      <c r="A988" s="401"/>
      <c r="B988" s="337"/>
      <c r="C988" s="337"/>
      <c r="D988" s="338"/>
      <c r="E988" s="339"/>
      <c r="F988" s="340"/>
      <c r="G988" s="341"/>
      <c r="H988" s="341"/>
      <c r="I988" s="342"/>
      <c r="J988" s="342"/>
    </row>
    <row r="989">
      <c r="A989" s="401"/>
      <c r="B989" s="337"/>
      <c r="C989" s="337"/>
      <c r="D989" s="338"/>
      <c r="E989" s="339"/>
      <c r="F989" s="340"/>
      <c r="G989" s="341"/>
      <c r="H989" s="341"/>
      <c r="I989" s="342"/>
      <c r="J989" s="342"/>
    </row>
    <row r="990">
      <c r="A990" s="401"/>
      <c r="B990" s="337"/>
      <c r="C990" s="337"/>
      <c r="D990" s="338"/>
      <c r="E990" s="339"/>
      <c r="F990" s="340"/>
      <c r="G990" s="341"/>
      <c r="H990" s="341"/>
      <c r="I990" s="342"/>
      <c r="J990" s="342"/>
    </row>
    <row r="991">
      <c r="A991" s="401"/>
      <c r="B991" s="337"/>
      <c r="C991" s="337"/>
      <c r="D991" s="338"/>
      <c r="E991" s="339"/>
      <c r="F991" s="340"/>
      <c r="G991" s="341"/>
      <c r="H991" s="341"/>
      <c r="I991" s="342"/>
      <c r="J991" s="342"/>
    </row>
    <row r="992">
      <c r="A992" s="401"/>
      <c r="B992" s="337"/>
      <c r="C992" s="337"/>
      <c r="D992" s="338"/>
      <c r="E992" s="339"/>
      <c r="F992" s="340"/>
      <c r="G992" s="341"/>
      <c r="H992" s="341"/>
      <c r="I992" s="342"/>
      <c r="J992" s="342"/>
    </row>
    <row r="993">
      <c r="A993" s="401"/>
      <c r="B993" s="337"/>
      <c r="C993" s="337"/>
      <c r="D993" s="338"/>
      <c r="E993" s="339"/>
      <c r="F993" s="340"/>
      <c r="G993" s="341"/>
      <c r="H993" s="341"/>
      <c r="I993" s="342"/>
      <c r="J993" s="342"/>
    </row>
    <row r="994">
      <c r="A994" s="401"/>
      <c r="B994" s="337"/>
      <c r="C994" s="337"/>
      <c r="D994" s="338"/>
      <c r="E994" s="339"/>
      <c r="F994" s="340"/>
      <c r="G994" s="341"/>
      <c r="H994" s="341"/>
      <c r="I994" s="342"/>
      <c r="J994" s="342"/>
    </row>
    <row r="995">
      <c r="A995" s="401"/>
      <c r="B995" s="337"/>
      <c r="C995" s="337"/>
      <c r="D995" s="338"/>
      <c r="E995" s="339"/>
      <c r="F995" s="340"/>
      <c r="G995" s="341"/>
      <c r="H995" s="341"/>
      <c r="I995" s="342"/>
      <c r="J995" s="342"/>
    </row>
    <row r="996">
      <c r="A996" s="401"/>
      <c r="B996" s="337"/>
      <c r="C996" s="337"/>
      <c r="D996" s="338"/>
      <c r="E996" s="339"/>
      <c r="F996" s="340"/>
      <c r="G996" s="341"/>
      <c r="H996" s="341"/>
      <c r="I996" s="342"/>
      <c r="J996" s="342"/>
    </row>
    <row r="997">
      <c r="A997" s="401"/>
      <c r="B997" s="337"/>
      <c r="C997" s="337"/>
      <c r="D997" s="338"/>
      <c r="E997" s="339"/>
      <c r="F997" s="340"/>
      <c r="G997" s="341"/>
      <c r="H997" s="341"/>
      <c r="I997" s="342"/>
      <c r="J997" s="342"/>
    </row>
    <row r="998">
      <c r="A998" s="401"/>
      <c r="B998" s="337"/>
      <c r="C998" s="337"/>
      <c r="D998" s="338"/>
      <c r="E998" s="339"/>
      <c r="F998" s="340"/>
      <c r="G998" s="341"/>
      <c r="H998" s="341"/>
      <c r="I998" s="342"/>
      <c r="J998" s="342"/>
    </row>
    <row r="999">
      <c r="A999" s="401"/>
      <c r="B999" s="337"/>
      <c r="C999" s="337"/>
      <c r="D999" s="338"/>
      <c r="E999" s="339"/>
      <c r="F999" s="340"/>
      <c r="G999" s="341"/>
      <c r="H999" s="341"/>
      <c r="I999" s="342"/>
      <c r="J999" s="342"/>
    </row>
    <row r="1000">
      <c r="A1000" s="401"/>
      <c r="B1000" s="337"/>
      <c r="C1000" s="337"/>
      <c r="D1000" s="338"/>
      <c r="E1000" s="339"/>
      <c r="F1000" s="340"/>
      <c r="G1000" s="341"/>
      <c r="H1000" s="341"/>
      <c r="I1000" s="342"/>
      <c r="J1000" s="342"/>
    </row>
    <row r="1001">
      <c r="A1001" s="401"/>
      <c r="B1001" s="337"/>
      <c r="C1001" s="337"/>
      <c r="D1001" s="338"/>
      <c r="E1001" s="339"/>
      <c r="F1001" s="340"/>
      <c r="G1001" s="341"/>
      <c r="H1001" s="341"/>
      <c r="I1001" s="342"/>
      <c r="J1001" s="342"/>
    </row>
    <row r="1002">
      <c r="A1002" s="401"/>
      <c r="B1002" s="337"/>
      <c r="C1002" s="337"/>
      <c r="D1002" s="338"/>
      <c r="E1002" s="339"/>
      <c r="F1002" s="340"/>
      <c r="G1002" s="341"/>
      <c r="H1002" s="341"/>
      <c r="I1002" s="342"/>
      <c r="J1002" s="342"/>
    </row>
    <row r="1003">
      <c r="A1003" s="401"/>
      <c r="B1003" s="337"/>
      <c r="C1003" s="337"/>
      <c r="D1003" s="338"/>
      <c r="E1003" s="339"/>
      <c r="F1003" s="340"/>
      <c r="G1003" s="341"/>
      <c r="H1003" s="341"/>
      <c r="I1003" s="342"/>
      <c r="J1003" s="342"/>
    </row>
    <row r="1004">
      <c r="A1004" s="401"/>
      <c r="B1004" s="337"/>
      <c r="C1004" s="337"/>
      <c r="D1004" s="338"/>
      <c r="E1004" s="339"/>
      <c r="F1004" s="340"/>
      <c r="G1004" s="341"/>
      <c r="H1004" s="341"/>
      <c r="I1004" s="342"/>
      <c r="J1004" s="342"/>
    </row>
    <row r="1005">
      <c r="A1005" s="401"/>
      <c r="B1005" s="337"/>
      <c r="C1005" s="337"/>
      <c r="D1005" s="338"/>
      <c r="E1005" s="339"/>
      <c r="F1005" s="340"/>
      <c r="G1005" s="341"/>
      <c r="H1005" s="341"/>
      <c r="I1005" s="342"/>
      <c r="J1005" s="342"/>
    </row>
    <row r="1006">
      <c r="A1006" s="401"/>
      <c r="B1006" s="337"/>
      <c r="C1006" s="337"/>
      <c r="D1006" s="338"/>
      <c r="E1006" s="339"/>
      <c r="F1006" s="340"/>
      <c r="G1006" s="341"/>
      <c r="H1006" s="341"/>
      <c r="I1006" s="342"/>
      <c r="J1006" s="342"/>
    </row>
    <row r="1007">
      <c r="A1007" s="401"/>
      <c r="B1007" s="337"/>
      <c r="C1007" s="337"/>
      <c r="D1007" s="338"/>
      <c r="E1007" s="339"/>
      <c r="F1007" s="340"/>
      <c r="G1007" s="341"/>
      <c r="H1007" s="341"/>
      <c r="I1007" s="342"/>
      <c r="J1007" s="342"/>
    </row>
    <row r="1008">
      <c r="A1008" s="401"/>
      <c r="B1008" s="337"/>
      <c r="C1008" s="337"/>
      <c r="D1008" s="338"/>
      <c r="E1008" s="339"/>
      <c r="F1008" s="340"/>
      <c r="G1008" s="341"/>
      <c r="H1008" s="341"/>
      <c r="I1008" s="342"/>
      <c r="J1008" s="342"/>
    </row>
    <row r="1009">
      <c r="A1009" s="401"/>
      <c r="B1009" s="337"/>
      <c r="C1009" s="337"/>
      <c r="D1009" s="338"/>
      <c r="E1009" s="339"/>
      <c r="F1009" s="340"/>
      <c r="G1009" s="341"/>
      <c r="H1009" s="341"/>
      <c r="I1009" s="342"/>
      <c r="J1009" s="342"/>
    </row>
    <row r="1010">
      <c r="A1010" s="401"/>
      <c r="B1010" s="337"/>
      <c r="C1010" s="337"/>
      <c r="D1010" s="338"/>
      <c r="E1010" s="339"/>
      <c r="F1010" s="340"/>
      <c r="G1010" s="341"/>
      <c r="H1010" s="341"/>
      <c r="I1010" s="342"/>
      <c r="J1010" s="342"/>
    </row>
    <row r="1011">
      <c r="A1011" s="401"/>
      <c r="B1011" s="337"/>
      <c r="C1011" s="337"/>
      <c r="D1011" s="338"/>
      <c r="E1011" s="339"/>
      <c r="F1011" s="340"/>
      <c r="G1011" s="341"/>
      <c r="H1011" s="341"/>
      <c r="I1011" s="342"/>
      <c r="J1011" s="342"/>
    </row>
    <row r="1012">
      <c r="A1012" s="401"/>
      <c r="B1012" s="337"/>
      <c r="C1012" s="337"/>
      <c r="D1012" s="338"/>
      <c r="E1012" s="339"/>
      <c r="F1012" s="340"/>
      <c r="G1012" s="341"/>
      <c r="H1012" s="341"/>
      <c r="I1012" s="342"/>
      <c r="J1012" s="342"/>
    </row>
    <row r="1013">
      <c r="A1013" s="401"/>
      <c r="B1013" s="337"/>
      <c r="C1013" s="337"/>
      <c r="D1013" s="338"/>
      <c r="E1013" s="339"/>
      <c r="F1013" s="340"/>
      <c r="G1013" s="341"/>
      <c r="H1013" s="341"/>
      <c r="I1013" s="342"/>
      <c r="J1013" s="342"/>
    </row>
    <row r="1014">
      <c r="A1014" s="401"/>
      <c r="B1014" s="337"/>
      <c r="C1014" s="337"/>
      <c r="D1014" s="338"/>
      <c r="E1014" s="339"/>
      <c r="F1014" s="340"/>
      <c r="G1014" s="341"/>
      <c r="H1014" s="341"/>
      <c r="I1014" s="342"/>
      <c r="J1014" s="342"/>
    </row>
    <row r="1015">
      <c r="A1015" s="401"/>
      <c r="B1015" s="337"/>
      <c r="C1015" s="337"/>
      <c r="D1015" s="338"/>
      <c r="E1015" s="339"/>
      <c r="F1015" s="340"/>
      <c r="G1015" s="341"/>
      <c r="H1015" s="341"/>
      <c r="I1015" s="342"/>
      <c r="J1015" s="342"/>
    </row>
    <row r="1016">
      <c r="A1016" s="401"/>
      <c r="B1016" s="337"/>
      <c r="C1016" s="337"/>
      <c r="D1016" s="338"/>
      <c r="E1016" s="339"/>
      <c r="F1016" s="340"/>
      <c r="G1016" s="341"/>
      <c r="H1016" s="341"/>
      <c r="I1016" s="342"/>
      <c r="J1016" s="342"/>
    </row>
    <row r="1017">
      <c r="A1017" s="401"/>
      <c r="B1017" s="337"/>
      <c r="C1017" s="337"/>
      <c r="D1017" s="338"/>
      <c r="E1017" s="339"/>
      <c r="F1017" s="340"/>
      <c r="G1017" s="341"/>
      <c r="H1017" s="341"/>
      <c r="I1017" s="342"/>
      <c r="J1017" s="342"/>
    </row>
    <row r="1018">
      <c r="A1018" s="401"/>
      <c r="B1018" s="337"/>
      <c r="C1018" s="337"/>
      <c r="D1018" s="338"/>
      <c r="E1018" s="339"/>
      <c r="F1018" s="340"/>
      <c r="G1018" s="341"/>
      <c r="H1018" s="341"/>
      <c r="I1018" s="342"/>
      <c r="J1018" s="342"/>
    </row>
    <row r="1019">
      <c r="A1019" s="401"/>
      <c r="B1019" s="337"/>
      <c r="C1019" s="337"/>
      <c r="D1019" s="338"/>
      <c r="E1019" s="339"/>
      <c r="F1019" s="340"/>
      <c r="G1019" s="341"/>
      <c r="H1019" s="341"/>
      <c r="I1019" s="342"/>
      <c r="J1019" s="342"/>
    </row>
    <row r="1020">
      <c r="A1020" s="401"/>
      <c r="B1020" s="337"/>
      <c r="C1020" s="337"/>
      <c r="D1020" s="338"/>
      <c r="E1020" s="339"/>
      <c r="F1020" s="340"/>
      <c r="G1020" s="341"/>
      <c r="H1020" s="341"/>
      <c r="I1020" s="342"/>
      <c r="J1020" s="342"/>
    </row>
    <row r="1021">
      <c r="A1021" s="401"/>
      <c r="B1021" s="337"/>
      <c r="C1021" s="337"/>
      <c r="D1021" s="338"/>
      <c r="E1021" s="339"/>
      <c r="F1021" s="340"/>
      <c r="G1021" s="341"/>
      <c r="H1021" s="341"/>
      <c r="I1021" s="342"/>
      <c r="J1021" s="342"/>
    </row>
    <row r="1022">
      <c r="A1022" s="401"/>
      <c r="B1022" s="337"/>
      <c r="C1022" s="337"/>
      <c r="D1022" s="338"/>
      <c r="E1022" s="339"/>
      <c r="F1022" s="340"/>
      <c r="G1022" s="341"/>
      <c r="H1022" s="341"/>
      <c r="I1022" s="342"/>
      <c r="J1022" s="342"/>
    </row>
    <row r="1023">
      <c r="A1023" s="401"/>
      <c r="B1023" s="337"/>
      <c r="C1023" s="337"/>
      <c r="D1023" s="338"/>
      <c r="E1023" s="339"/>
      <c r="F1023" s="340"/>
      <c r="G1023" s="341"/>
      <c r="H1023" s="341"/>
      <c r="I1023" s="342"/>
      <c r="J1023" s="342"/>
    </row>
    <row r="1024">
      <c r="A1024" s="401"/>
      <c r="B1024" s="337"/>
      <c r="C1024" s="337"/>
      <c r="D1024" s="338"/>
      <c r="E1024" s="339"/>
      <c r="F1024" s="340"/>
      <c r="G1024" s="341"/>
      <c r="H1024" s="341"/>
      <c r="I1024" s="342"/>
      <c r="J1024" s="342"/>
    </row>
    <row r="1025">
      <c r="A1025" s="401"/>
      <c r="B1025" s="337"/>
      <c r="C1025" s="337"/>
      <c r="D1025" s="338"/>
      <c r="E1025" s="339"/>
      <c r="F1025" s="340"/>
      <c r="G1025" s="341"/>
      <c r="H1025" s="341"/>
      <c r="I1025" s="342"/>
      <c r="J1025" s="342"/>
    </row>
    <row r="1026">
      <c r="A1026" s="401"/>
      <c r="B1026" s="337"/>
      <c r="C1026" s="337"/>
      <c r="D1026" s="338"/>
      <c r="E1026" s="339"/>
      <c r="F1026" s="340"/>
      <c r="G1026" s="341"/>
      <c r="H1026" s="341"/>
      <c r="I1026" s="342"/>
      <c r="J1026" s="342"/>
    </row>
    <row r="1027">
      <c r="A1027" s="401"/>
      <c r="B1027" s="337"/>
      <c r="C1027" s="337"/>
      <c r="D1027" s="338"/>
      <c r="E1027" s="339"/>
      <c r="F1027" s="340"/>
      <c r="G1027" s="341"/>
      <c r="H1027" s="341"/>
      <c r="I1027" s="342"/>
      <c r="J1027" s="342"/>
    </row>
    <row r="1028">
      <c r="A1028" s="401"/>
      <c r="B1028" s="337"/>
      <c r="C1028" s="337"/>
      <c r="D1028" s="338"/>
      <c r="E1028" s="339"/>
      <c r="F1028" s="340"/>
      <c r="G1028" s="341"/>
      <c r="H1028" s="341"/>
      <c r="I1028" s="342"/>
      <c r="J1028" s="342"/>
    </row>
    <row r="1029">
      <c r="A1029" s="401"/>
      <c r="B1029" s="337"/>
      <c r="C1029" s="337"/>
      <c r="D1029" s="338"/>
      <c r="E1029" s="339"/>
      <c r="F1029" s="340"/>
      <c r="G1029" s="341"/>
      <c r="H1029" s="341"/>
      <c r="I1029" s="342"/>
      <c r="J1029" s="342"/>
    </row>
    <row r="1030">
      <c r="A1030" s="401"/>
      <c r="B1030" s="337"/>
      <c r="C1030" s="337"/>
      <c r="D1030" s="338"/>
      <c r="E1030" s="339"/>
      <c r="F1030" s="340"/>
      <c r="G1030" s="341"/>
      <c r="H1030" s="341"/>
      <c r="I1030" s="342"/>
      <c r="J1030" s="342"/>
    </row>
    <row r="1031">
      <c r="A1031" s="401"/>
      <c r="B1031" s="337"/>
      <c r="C1031" s="337"/>
      <c r="D1031" s="338"/>
      <c r="E1031" s="339"/>
      <c r="F1031" s="340"/>
      <c r="G1031" s="341"/>
      <c r="H1031" s="341"/>
      <c r="I1031" s="342"/>
      <c r="J1031" s="342"/>
    </row>
    <row r="1032">
      <c r="A1032" s="401"/>
      <c r="B1032" s="337"/>
      <c r="C1032" s="337"/>
      <c r="D1032" s="338"/>
      <c r="E1032" s="339"/>
      <c r="F1032" s="340"/>
      <c r="G1032" s="341"/>
      <c r="H1032" s="341"/>
      <c r="I1032" s="342"/>
      <c r="J1032" s="342"/>
    </row>
    <row r="1033">
      <c r="A1033" s="401"/>
      <c r="B1033" s="337"/>
      <c r="C1033" s="337"/>
      <c r="D1033" s="338"/>
      <c r="E1033" s="339"/>
      <c r="F1033" s="340"/>
      <c r="G1033" s="341"/>
      <c r="H1033" s="341"/>
      <c r="I1033" s="342"/>
      <c r="J1033" s="342"/>
    </row>
    <row r="1034">
      <c r="A1034" s="401"/>
      <c r="B1034" s="337"/>
      <c r="C1034" s="337"/>
      <c r="D1034" s="338"/>
      <c r="E1034" s="339"/>
      <c r="F1034" s="340"/>
      <c r="G1034" s="341"/>
      <c r="H1034" s="341"/>
      <c r="I1034" s="342"/>
      <c r="J1034" s="342"/>
    </row>
    <row r="1035">
      <c r="A1035" s="401"/>
      <c r="B1035" s="337"/>
      <c r="C1035" s="337"/>
      <c r="D1035" s="338"/>
      <c r="E1035" s="339"/>
      <c r="F1035" s="340"/>
      <c r="G1035" s="341"/>
      <c r="H1035" s="341"/>
      <c r="I1035" s="342"/>
      <c r="J1035" s="342"/>
    </row>
    <row r="1036">
      <c r="A1036" s="401"/>
      <c r="B1036" s="337"/>
      <c r="C1036" s="337"/>
      <c r="D1036" s="338"/>
      <c r="E1036" s="339"/>
      <c r="F1036" s="340"/>
      <c r="G1036" s="341"/>
      <c r="H1036" s="341"/>
      <c r="I1036" s="342"/>
      <c r="J1036" s="342"/>
    </row>
    <row r="1037">
      <c r="A1037" s="401"/>
      <c r="B1037" s="337"/>
      <c r="C1037" s="337"/>
      <c r="D1037" s="338"/>
      <c r="E1037" s="339"/>
      <c r="F1037" s="340"/>
      <c r="G1037" s="341"/>
      <c r="H1037" s="341"/>
      <c r="I1037" s="342"/>
      <c r="J1037" s="342"/>
    </row>
    <row r="1038">
      <c r="A1038" s="401"/>
      <c r="B1038" s="337"/>
      <c r="C1038" s="337"/>
      <c r="D1038" s="338"/>
      <c r="E1038" s="339"/>
      <c r="F1038" s="340"/>
      <c r="G1038" s="341"/>
      <c r="H1038" s="341"/>
      <c r="I1038" s="342"/>
      <c r="J1038" s="342"/>
    </row>
    <row r="1039">
      <c r="A1039" s="401"/>
      <c r="B1039" s="337"/>
      <c r="C1039" s="337"/>
      <c r="D1039" s="338"/>
      <c r="E1039" s="339"/>
      <c r="F1039" s="340"/>
      <c r="G1039" s="341"/>
      <c r="H1039" s="341"/>
      <c r="I1039" s="342"/>
      <c r="J1039" s="342"/>
    </row>
    <row r="1040">
      <c r="A1040" s="401"/>
      <c r="B1040" s="337"/>
      <c r="C1040" s="337"/>
      <c r="D1040" s="338"/>
      <c r="E1040" s="339"/>
      <c r="F1040" s="340"/>
      <c r="G1040" s="341"/>
      <c r="H1040" s="341"/>
      <c r="I1040" s="342"/>
      <c r="J1040" s="342"/>
    </row>
    <row r="1041">
      <c r="A1041" s="401"/>
      <c r="B1041" s="337"/>
      <c r="C1041" s="337"/>
      <c r="D1041" s="338"/>
      <c r="E1041" s="339"/>
      <c r="F1041" s="340"/>
      <c r="G1041" s="341"/>
      <c r="H1041" s="341"/>
      <c r="I1041" s="342"/>
      <c r="J1041" s="342"/>
    </row>
    <row r="1042">
      <c r="A1042" s="401"/>
      <c r="B1042" s="337"/>
      <c r="C1042" s="337"/>
      <c r="D1042" s="338"/>
      <c r="E1042" s="339"/>
      <c r="F1042" s="340"/>
      <c r="G1042" s="341"/>
      <c r="H1042" s="341"/>
      <c r="I1042" s="342"/>
      <c r="J1042" s="342"/>
    </row>
    <row r="1043">
      <c r="A1043" s="401"/>
      <c r="B1043" s="337"/>
      <c r="C1043" s="337"/>
      <c r="D1043" s="338"/>
      <c r="E1043" s="339"/>
      <c r="F1043" s="340"/>
      <c r="G1043" s="341"/>
      <c r="H1043" s="341"/>
      <c r="I1043" s="342"/>
      <c r="J1043" s="342"/>
    </row>
    <row r="1044">
      <c r="A1044" s="401"/>
      <c r="B1044" s="337"/>
      <c r="C1044" s="337"/>
      <c r="D1044" s="338"/>
      <c r="E1044" s="339"/>
      <c r="F1044" s="340"/>
      <c r="G1044" s="341"/>
      <c r="H1044" s="341"/>
      <c r="I1044" s="342"/>
      <c r="J1044" s="342"/>
    </row>
    <row r="1045">
      <c r="A1045" s="401"/>
      <c r="B1045" s="337"/>
      <c r="C1045" s="337"/>
      <c r="D1045" s="338"/>
      <c r="E1045" s="339"/>
      <c r="F1045" s="340"/>
      <c r="G1045" s="341"/>
      <c r="H1045" s="341"/>
      <c r="I1045" s="342"/>
      <c r="J1045" s="342"/>
    </row>
    <row r="1046">
      <c r="A1046" s="401"/>
      <c r="B1046" s="337"/>
      <c r="C1046" s="337"/>
      <c r="D1046" s="338"/>
      <c r="E1046" s="339"/>
      <c r="F1046" s="340"/>
      <c r="G1046" s="341"/>
      <c r="H1046" s="341"/>
      <c r="I1046" s="342"/>
      <c r="J1046" s="342"/>
    </row>
    <row r="1047">
      <c r="A1047" s="401"/>
      <c r="B1047" s="337"/>
      <c r="C1047" s="337"/>
      <c r="D1047" s="338"/>
      <c r="E1047" s="339"/>
      <c r="F1047" s="340"/>
      <c r="G1047" s="341"/>
      <c r="H1047" s="341"/>
      <c r="I1047" s="342"/>
      <c r="J1047" s="342"/>
    </row>
    <row r="1048">
      <c r="A1048" s="401"/>
      <c r="B1048" s="337"/>
      <c r="C1048" s="337"/>
      <c r="D1048" s="338"/>
      <c r="E1048" s="339"/>
      <c r="F1048" s="340"/>
      <c r="G1048" s="341"/>
      <c r="H1048" s="341"/>
      <c r="I1048" s="342"/>
      <c r="J1048" s="342"/>
    </row>
    <row r="1049">
      <c r="A1049" s="401"/>
      <c r="B1049" s="337"/>
      <c r="C1049" s="337"/>
      <c r="D1049" s="338"/>
      <c r="E1049" s="339"/>
      <c r="F1049" s="340"/>
      <c r="G1049" s="341"/>
      <c r="H1049" s="341"/>
      <c r="I1049" s="342"/>
      <c r="J1049" s="342"/>
    </row>
    <row r="1050">
      <c r="A1050" s="401"/>
      <c r="B1050" s="337"/>
      <c r="C1050" s="337"/>
      <c r="D1050" s="338"/>
      <c r="E1050" s="339"/>
      <c r="F1050" s="340"/>
      <c r="G1050" s="341"/>
      <c r="H1050" s="341"/>
      <c r="I1050" s="342"/>
      <c r="J1050" s="342"/>
    </row>
    <row r="1051">
      <c r="A1051" s="401"/>
      <c r="B1051" s="337"/>
      <c r="C1051" s="337"/>
      <c r="D1051" s="338"/>
      <c r="E1051" s="339"/>
      <c r="F1051" s="340"/>
      <c r="G1051" s="341"/>
      <c r="H1051" s="341"/>
      <c r="I1051" s="342"/>
      <c r="J1051" s="342"/>
    </row>
    <row r="1052">
      <c r="A1052" s="401"/>
      <c r="B1052" s="337"/>
      <c r="C1052" s="337"/>
      <c r="D1052" s="338"/>
      <c r="E1052" s="339"/>
      <c r="F1052" s="340"/>
      <c r="G1052" s="341"/>
      <c r="H1052" s="341"/>
      <c r="I1052" s="342"/>
      <c r="J1052" s="342"/>
    </row>
    <row r="1053">
      <c r="A1053" s="401"/>
      <c r="B1053" s="337"/>
      <c r="C1053" s="337"/>
      <c r="D1053" s="338"/>
      <c r="E1053" s="339"/>
      <c r="F1053" s="340"/>
      <c r="G1053" s="341"/>
      <c r="H1053" s="341"/>
      <c r="I1053" s="342"/>
      <c r="J1053" s="342"/>
    </row>
    <row r="1054">
      <c r="A1054" s="401"/>
      <c r="B1054" s="337"/>
      <c r="C1054" s="337"/>
      <c r="D1054" s="338"/>
      <c r="E1054" s="339"/>
      <c r="F1054" s="340"/>
      <c r="G1054" s="341"/>
      <c r="H1054" s="341"/>
      <c r="I1054" s="342"/>
      <c r="J1054" s="342"/>
    </row>
    <row r="1055">
      <c r="A1055" s="401"/>
      <c r="B1055" s="337"/>
      <c r="C1055" s="337"/>
      <c r="D1055" s="338"/>
      <c r="E1055" s="339"/>
      <c r="F1055" s="340"/>
      <c r="G1055" s="341"/>
      <c r="H1055" s="341"/>
      <c r="I1055" s="342"/>
      <c r="J1055" s="342"/>
    </row>
    <row r="1056">
      <c r="A1056" s="401"/>
      <c r="B1056" s="337"/>
      <c r="C1056" s="337"/>
      <c r="D1056" s="338"/>
      <c r="E1056" s="339"/>
      <c r="F1056" s="340"/>
      <c r="G1056" s="341"/>
      <c r="H1056" s="341"/>
      <c r="I1056" s="342"/>
      <c r="J1056" s="342"/>
    </row>
    <row r="1057">
      <c r="A1057" s="401"/>
      <c r="B1057" s="337"/>
      <c r="C1057" s="337"/>
      <c r="D1057" s="338"/>
      <c r="E1057" s="339"/>
      <c r="F1057" s="340"/>
      <c r="G1057" s="341"/>
      <c r="H1057" s="341"/>
      <c r="I1057" s="342"/>
      <c r="J1057" s="342"/>
    </row>
    <row r="1058">
      <c r="A1058" s="401"/>
      <c r="B1058" s="337"/>
      <c r="C1058" s="337"/>
      <c r="D1058" s="338"/>
      <c r="E1058" s="339"/>
      <c r="F1058" s="340"/>
      <c r="G1058" s="341"/>
      <c r="H1058" s="341"/>
      <c r="I1058" s="342"/>
      <c r="J1058" s="342"/>
    </row>
    <row r="1059">
      <c r="A1059" s="401"/>
      <c r="B1059" s="337"/>
      <c r="C1059" s="337"/>
      <c r="D1059" s="338"/>
      <c r="E1059" s="339"/>
      <c r="F1059" s="340"/>
      <c r="G1059" s="341"/>
      <c r="H1059" s="341"/>
      <c r="I1059" s="342"/>
      <c r="J1059" s="342"/>
    </row>
    <row r="1060">
      <c r="A1060" s="401"/>
      <c r="B1060" s="337"/>
      <c r="C1060" s="337"/>
      <c r="D1060" s="338"/>
      <c r="E1060" s="339"/>
      <c r="F1060" s="340"/>
      <c r="G1060" s="341"/>
      <c r="H1060" s="341"/>
      <c r="I1060" s="342"/>
      <c r="J1060" s="342"/>
    </row>
    <row r="1061">
      <c r="A1061" s="401"/>
      <c r="B1061" s="337"/>
      <c r="C1061" s="337"/>
      <c r="D1061" s="338"/>
      <c r="E1061" s="339"/>
      <c r="F1061" s="340"/>
      <c r="G1061" s="341"/>
      <c r="H1061" s="341"/>
      <c r="I1061" s="342"/>
      <c r="J1061" s="342"/>
    </row>
    <row r="1062">
      <c r="A1062" s="401"/>
      <c r="B1062" s="337"/>
      <c r="C1062" s="337"/>
      <c r="D1062" s="338"/>
      <c r="E1062" s="339"/>
      <c r="F1062" s="340"/>
      <c r="G1062" s="341"/>
      <c r="H1062" s="341"/>
      <c r="I1062" s="342"/>
      <c r="J1062" s="342"/>
    </row>
    <row r="1063">
      <c r="A1063" s="401"/>
      <c r="B1063" s="337"/>
      <c r="C1063" s="337"/>
      <c r="D1063" s="338"/>
      <c r="E1063" s="339"/>
      <c r="F1063" s="340"/>
      <c r="G1063" s="341"/>
      <c r="H1063" s="341"/>
      <c r="I1063" s="342"/>
      <c r="J1063" s="342"/>
    </row>
    <row r="1064">
      <c r="A1064" s="401"/>
      <c r="B1064" s="337"/>
      <c r="C1064" s="337"/>
      <c r="D1064" s="338"/>
      <c r="E1064" s="339"/>
      <c r="F1064" s="340"/>
      <c r="G1064" s="341"/>
      <c r="H1064" s="341"/>
      <c r="I1064" s="342"/>
      <c r="J1064" s="342"/>
    </row>
    <row r="1065">
      <c r="A1065" s="401"/>
      <c r="B1065" s="337"/>
      <c r="C1065" s="337"/>
      <c r="D1065" s="338"/>
      <c r="E1065" s="339"/>
      <c r="F1065" s="340"/>
      <c r="G1065" s="341"/>
      <c r="H1065" s="341"/>
      <c r="I1065" s="342"/>
      <c r="J1065" s="342"/>
    </row>
    <row r="1066">
      <c r="A1066" s="401"/>
      <c r="B1066" s="337"/>
      <c r="C1066" s="337"/>
      <c r="D1066" s="338"/>
      <c r="E1066" s="339"/>
      <c r="F1066" s="340"/>
      <c r="G1066" s="341"/>
      <c r="H1066" s="341"/>
      <c r="I1066" s="342"/>
      <c r="J1066" s="342"/>
    </row>
    <row r="1067">
      <c r="A1067" s="401"/>
      <c r="B1067" s="337"/>
      <c r="C1067" s="337"/>
      <c r="D1067" s="338"/>
      <c r="E1067" s="339"/>
      <c r="F1067" s="340"/>
      <c r="G1067" s="341"/>
      <c r="H1067" s="341"/>
      <c r="I1067" s="342"/>
      <c r="J1067" s="342"/>
    </row>
    <row r="1068">
      <c r="A1068" s="401"/>
      <c r="B1068" s="337"/>
      <c r="C1068" s="337"/>
      <c r="D1068" s="338"/>
      <c r="E1068" s="339"/>
      <c r="F1068" s="340"/>
      <c r="G1068" s="341"/>
      <c r="H1068" s="341"/>
      <c r="I1068" s="342"/>
      <c r="J1068" s="342"/>
    </row>
    <row r="1069">
      <c r="A1069" s="401"/>
      <c r="B1069" s="337"/>
      <c r="C1069" s="337"/>
      <c r="D1069" s="338"/>
      <c r="E1069" s="339"/>
      <c r="F1069" s="340"/>
      <c r="G1069" s="341"/>
      <c r="H1069" s="341"/>
      <c r="I1069" s="342"/>
      <c r="J1069" s="342"/>
    </row>
    <row r="1070">
      <c r="A1070" s="401"/>
      <c r="B1070" s="337"/>
      <c r="C1070" s="337"/>
      <c r="D1070" s="338"/>
      <c r="E1070" s="339"/>
      <c r="F1070" s="340"/>
      <c r="G1070" s="341"/>
      <c r="H1070" s="341"/>
      <c r="I1070" s="342"/>
      <c r="J1070" s="342"/>
    </row>
    <row r="1071">
      <c r="A1071" s="401"/>
      <c r="B1071" s="337"/>
      <c r="C1071" s="337"/>
      <c r="D1071" s="338"/>
      <c r="E1071" s="339"/>
      <c r="F1071" s="340"/>
      <c r="G1071" s="341"/>
      <c r="H1071" s="341"/>
      <c r="I1071" s="342"/>
      <c r="J1071" s="342"/>
    </row>
    <row r="1072">
      <c r="A1072" s="401"/>
      <c r="B1072" s="337"/>
      <c r="C1072" s="337"/>
      <c r="D1072" s="338"/>
      <c r="E1072" s="339"/>
      <c r="F1072" s="340"/>
      <c r="G1072" s="341"/>
      <c r="H1072" s="341"/>
      <c r="I1072" s="342"/>
      <c r="J1072" s="342"/>
    </row>
    <row r="1073">
      <c r="A1073" s="401"/>
      <c r="B1073" s="337"/>
      <c r="C1073" s="337"/>
      <c r="D1073" s="338"/>
      <c r="E1073" s="339"/>
      <c r="F1073" s="340"/>
      <c r="G1073" s="341"/>
      <c r="H1073" s="341"/>
      <c r="I1073" s="342"/>
      <c r="J1073" s="342"/>
    </row>
    <row r="1074">
      <c r="A1074" s="401"/>
      <c r="B1074" s="337"/>
      <c r="C1074" s="337"/>
      <c r="D1074" s="338"/>
      <c r="E1074" s="339"/>
      <c r="F1074" s="340"/>
      <c r="G1074" s="341"/>
      <c r="H1074" s="341"/>
      <c r="I1074" s="342"/>
      <c r="J1074" s="342"/>
    </row>
    <row r="1075">
      <c r="A1075" s="401"/>
      <c r="B1075" s="337"/>
      <c r="C1075" s="337"/>
      <c r="D1075" s="338"/>
      <c r="E1075" s="339"/>
      <c r="F1075" s="340"/>
      <c r="G1075" s="341"/>
      <c r="H1075" s="341"/>
      <c r="I1075" s="342"/>
      <c r="J1075" s="342"/>
    </row>
    <row r="1076">
      <c r="A1076" s="401"/>
      <c r="B1076" s="337"/>
      <c r="C1076" s="337"/>
      <c r="D1076" s="338"/>
      <c r="E1076" s="339"/>
      <c r="F1076" s="340"/>
      <c r="G1076" s="341"/>
      <c r="H1076" s="341"/>
      <c r="I1076" s="342"/>
      <c r="J1076" s="342"/>
    </row>
    <row r="1077">
      <c r="A1077" s="401"/>
      <c r="B1077" s="337"/>
      <c r="C1077" s="337"/>
      <c r="D1077" s="338"/>
      <c r="E1077" s="339"/>
      <c r="F1077" s="340"/>
      <c r="G1077" s="341"/>
      <c r="H1077" s="341"/>
      <c r="I1077" s="342"/>
      <c r="J1077" s="342"/>
    </row>
    <row r="1078">
      <c r="A1078" s="401"/>
      <c r="B1078" s="337"/>
      <c r="C1078" s="337"/>
      <c r="D1078" s="338"/>
      <c r="E1078" s="339"/>
      <c r="F1078" s="340"/>
      <c r="G1078" s="341"/>
      <c r="H1078" s="341"/>
      <c r="I1078" s="342"/>
      <c r="J1078" s="342"/>
    </row>
    <row r="1079">
      <c r="A1079" s="401"/>
      <c r="B1079" s="337"/>
      <c r="C1079" s="337"/>
      <c r="D1079" s="338"/>
      <c r="E1079" s="339"/>
      <c r="F1079" s="340"/>
      <c r="G1079" s="341"/>
      <c r="H1079" s="341"/>
      <c r="I1079" s="342"/>
      <c r="J1079" s="342"/>
    </row>
    <row r="1080">
      <c r="A1080" s="401"/>
      <c r="B1080" s="337"/>
      <c r="C1080" s="337"/>
      <c r="D1080" s="338"/>
      <c r="E1080" s="339"/>
      <c r="F1080" s="340"/>
      <c r="G1080" s="341"/>
      <c r="H1080" s="341"/>
      <c r="I1080" s="342"/>
      <c r="J1080" s="342"/>
    </row>
    <row r="1081">
      <c r="A1081" s="401"/>
      <c r="B1081" s="337"/>
      <c r="C1081" s="337"/>
      <c r="D1081" s="338"/>
      <c r="E1081" s="339"/>
      <c r="F1081" s="340"/>
      <c r="G1081" s="341"/>
      <c r="H1081" s="341"/>
      <c r="I1081" s="342"/>
      <c r="J1081" s="342"/>
    </row>
    <row r="1082">
      <c r="A1082" s="401"/>
      <c r="B1082" s="337"/>
      <c r="C1082" s="337"/>
      <c r="D1082" s="338"/>
      <c r="E1082" s="339"/>
      <c r="F1082" s="340"/>
      <c r="G1082" s="341"/>
      <c r="H1082" s="341"/>
      <c r="I1082" s="342"/>
      <c r="J1082" s="342"/>
    </row>
    <row r="1083">
      <c r="A1083" s="401"/>
      <c r="B1083" s="337"/>
      <c r="C1083" s="337"/>
      <c r="D1083" s="338"/>
      <c r="E1083" s="339"/>
      <c r="F1083" s="340"/>
      <c r="G1083" s="341"/>
      <c r="H1083" s="341"/>
      <c r="I1083" s="342"/>
      <c r="J1083" s="342"/>
    </row>
    <row r="1084">
      <c r="A1084" s="401"/>
      <c r="B1084" s="337"/>
      <c r="C1084" s="337"/>
      <c r="D1084" s="338"/>
      <c r="E1084" s="339"/>
      <c r="F1084" s="340"/>
      <c r="G1084" s="341"/>
      <c r="H1084" s="341"/>
      <c r="I1084" s="342"/>
      <c r="J1084" s="342"/>
    </row>
    <row r="1085">
      <c r="A1085" s="401"/>
      <c r="B1085" s="337"/>
      <c r="C1085" s="337"/>
      <c r="D1085" s="338"/>
      <c r="E1085" s="339"/>
      <c r="F1085" s="340"/>
      <c r="G1085" s="341"/>
      <c r="H1085" s="341"/>
      <c r="I1085" s="342"/>
      <c r="J1085" s="342"/>
    </row>
    <row r="1086">
      <c r="A1086" s="401"/>
      <c r="B1086" s="337"/>
      <c r="C1086" s="337"/>
      <c r="D1086" s="338"/>
      <c r="E1086" s="339"/>
      <c r="F1086" s="340"/>
      <c r="G1086" s="341"/>
      <c r="H1086" s="341"/>
      <c r="I1086" s="342"/>
      <c r="J1086" s="342"/>
    </row>
  </sheetData>
  <autoFilter ref="$B$1:$J$239"/>
  <dataValidations>
    <dataValidation type="list" allowBlank="1" showErrorMessage="1" sqref="C2:C1086">
      <formula1>"Tier 1 International,Tier 1 Local,Tier 2,Tier 3,Podcast,Interview,Radio,Socials"</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D35"/>
    <hyperlink r:id="rId35" ref="H35"/>
    <hyperlink r:id="rId36" ref="H36"/>
    <hyperlink r:id="rId37" ref="H37"/>
    <hyperlink r:id="rId38" ref="H38"/>
    <hyperlink r:id="rId39" ref="H39"/>
    <hyperlink r:id="rId40" ref="H40"/>
    <hyperlink r:id="rId41" location="gsc.tab=0" ref="H41"/>
    <hyperlink r:id="rId42" ref="H42"/>
    <hyperlink r:id="rId43" ref="H43"/>
    <hyperlink r:id="rId44" ref="H44"/>
    <hyperlink r:id="rId45" ref="H45"/>
    <hyperlink r:id="rId46" ref="H46"/>
    <hyperlink r:id="rId47" ref="H47"/>
    <hyperlink r:id="rId48" ref="H48"/>
    <hyperlink r:id="rId49" ref="H49"/>
    <hyperlink r:id="rId50" ref="H50"/>
    <hyperlink r:id="rId51" ref="H51"/>
    <hyperlink r:id="rId52" ref="H52"/>
    <hyperlink r:id="rId53" ref="H53"/>
    <hyperlink r:id="rId54" ref="H54"/>
    <hyperlink r:id="rId55" ref="H55"/>
    <hyperlink r:id="rId56" ref="H56"/>
    <hyperlink r:id="rId57" ref="H57"/>
    <hyperlink r:id="rId58" ref="H58"/>
    <hyperlink r:id="rId59" ref="H59"/>
    <hyperlink r:id="rId60" location="google_vignette" ref="H60"/>
    <hyperlink r:id="rId61" ref="H61"/>
    <hyperlink r:id="rId62" ref="H62"/>
    <hyperlink r:id="rId63" ref="H63"/>
    <hyperlink r:id="rId64" ref="H64"/>
    <hyperlink r:id="rId65" ref="H65"/>
    <hyperlink r:id="rId66" ref="H66"/>
    <hyperlink r:id="rId67" ref="H67"/>
    <hyperlink r:id="rId68" ref="H68"/>
    <hyperlink r:id="rId69" ref="H69"/>
    <hyperlink r:id="rId70" ref="H70"/>
    <hyperlink r:id="rId71" ref="H71"/>
    <hyperlink r:id="rId72" ref="H72"/>
    <hyperlink r:id="rId73" ref="H73"/>
    <hyperlink r:id="rId74" ref="H74"/>
    <hyperlink r:id="rId75" ref="H75"/>
    <hyperlink r:id="rId76" ref="H76"/>
    <hyperlink r:id="rId77" ref="H77"/>
    <hyperlink r:id="rId78" ref="H78"/>
    <hyperlink r:id="rId79" ref="H79"/>
    <hyperlink r:id="rId80" ref="H80"/>
    <hyperlink r:id="rId81" ref="H81"/>
    <hyperlink r:id="rId82" ref="H82"/>
    <hyperlink r:id="rId83" ref="H83"/>
    <hyperlink r:id="rId84" ref="H84"/>
    <hyperlink r:id="rId85" ref="H85"/>
    <hyperlink r:id="rId86" ref="H86"/>
    <hyperlink r:id="rId87" ref="H87"/>
    <hyperlink r:id="rId88" ref="H88"/>
    <hyperlink r:id="rId89" ref="H89"/>
    <hyperlink r:id="rId90" ref="H90"/>
    <hyperlink r:id="rId91" ref="H91"/>
    <hyperlink r:id="rId92" ref="H92"/>
    <hyperlink r:id="rId93" ref="H93"/>
    <hyperlink r:id="rId94" ref="H94"/>
    <hyperlink r:id="rId95" ref="H95"/>
    <hyperlink r:id="rId96" ref="H96"/>
    <hyperlink r:id="rId97" ref="H97"/>
    <hyperlink r:id="rId98" ref="H98"/>
    <hyperlink r:id="rId99" ref="H99"/>
    <hyperlink r:id="rId100" ref="H100"/>
    <hyperlink r:id="rId101" ref="H101"/>
    <hyperlink r:id="rId102" ref="H102"/>
    <hyperlink r:id="rId103" ref="H103"/>
    <hyperlink r:id="rId104" ref="H104"/>
    <hyperlink r:id="rId105" ref="H105"/>
    <hyperlink r:id="rId106" ref="H106"/>
    <hyperlink r:id="rId107" ref="H107"/>
    <hyperlink r:id="rId108" ref="H108"/>
    <hyperlink r:id="rId109" ref="H109"/>
    <hyperlink r:id="rId110" ref="H110"/>
    <hyperlink r:id="rId111" ref="H111"/>
    <hyperlink r:id="rId112" ref="H112"/>
    <hyperlink r:id="rId113" ref="H113"/>
    <hyperlink r:id="rId114" ref="H114"/>
    <hyperlink r:id="rId115" ref="H115"/>
    <hyperlink r:id="rId116" ref="H116"/>
    <hyperlink r:id="rId117" ref="H117"/>
    <hyperlink r:id="rId118" ref="H118"/>
    <hyperlink r:id="rId119" ref="H119"/>
    <hyperlink r:id="rId120" ref="H120"/>
    <hyperlink r:id="rId121" ref="H121"/>
    <hyperlink r:id="rId122" ref="H122"/>
    <hyperlink r:id="rId123" ref="H123"/>
    <hyperlink r:id="rId124" ref="H124"/>
    <hyperlink r:id="rId125" ref="H125"/>
    <hyperlink r:id="rId126" ref="H126"/>
    <hyperlink r:id="rId127" ref="H127"/>
    <hyperlink r:id="rId128" ref="H128"/>
    <hyperlink r:id="rId129" ref="H129"/>
    <hyperlink r:id="rId130" ref="H130"/>
    <hyperlink r:id="rId131" ref="H131"/>
    <hyperlink r:id="rId132" ref="H132"/>
    <hyperlink r:id="rId133" ref="H133"/>
    <hyperlink r:id="rId134" ref="H134"/>
    <hyperlink r:id="rId135" ref="H135"/>
    <hyperlink r:id="rId136" ref="H136"/>
    <hyperlink r:id="rId137" ref="H137"/>
    <hyperlink r:id="rId138" ref="H138"/>
    <hyperlink r:id="rId139" ref="H139"/>
    <hyperlink r:id="rId140" ref="H140"/>
    <hyperlink r:id="rId141" ref="H141"/>
    <hyperlink r:id="rId142" ref="H142"/>
    <hyperlink r:id="rId143" ref="H143"/>
    <hyperlink r:id="rId144" ref="H144"/>
    <hyperlink r:id="rId145" ref="H145"/>
    <hyperlink r:id="rId146" ref="H146"/>
    <hyperlink r:id="rId147" ref="H147"/>
    <hyperlink r:id="rId148" ref="H148"/>
    <hyperlink r:id="rId149" ref="H149"/>
    <hyperlink r:id="rId150" ref="H150"/>
    <hyperlink r:id="rId151" ref="H151"/>
    <hyperlink r:id="rId152" ref="H152"/>
    <hyperlink r:id="rId153" ref="H153"/>
    <hyperlink r:id="rId154" ref="H154"/>
    <hyperlink r:id="rId155" ref="H155"/>
    <hyperlink r:id="rId156" ref="G156"/>
    <hyperlink r:id="rId157" ref="H156"/>
    <hyperlink r:id="rId158" ref="H157"/>
    <hyperlink r:id="rId159" ref="G158"/>
    <hyperlink r:id="rId160" ref="H158"/>
    <hyperlink r:id="rId161" ref="G159"/>
    <hyperlink r:id="rId162" ref="H159"/>
    <hyperlink r:id="rId163" ref="H160"/>
    <hyperlink r:id="rId164" ref="G161"/>
    <hyperlink r:id="rId165" ref="H161"/>
    <hyperlink r:id="rId166" ref="G162"/>
    <hyperlink r:id="rId167" ref="H162"/>
    <hyperlink r:id="rId168" ref="H163"/>
    <hyperlink r:id="rId169" ref="H164"/>
    <hyperlink r:id="rId170" ref="H165"/>
    <hyperlink r:id="rId171" ref="H166"/>
    <hyperlink r:id="rId172" ref="H167"/>
    <hyperlink r:id="rId173" ref="H168"/>
    <hyperlink r:id="rId174" ref="H169"/>
    <hyperlink r:id="rId175" ref="H170"/>
    <hyperlink r:id="rId176" ref="H171"/>
    <hyperlink r:id="rId177" ref="H172"/>
    <hyperlink r:id="rId178" ref="H173"/>
    <hyperlink r:id="rId179" ref="H174"/>
    <hyperlink r:id="rId180" ref="H175"/>
    <hyperlink r:id="rId181" ref="H176"/>
    <hyperlink r:id="rId182" ref="H177"/>
    <hyperlink r:id="rId183" ref="H178"/>
    <hyperlink r:id="rId184" ref="H179"/>
    <hyperlink r:id="rId185" ref="H180"/>
    <hyperlink r:id="rId186" ref="H181"/>
    <hyperlink r:id="rId187" ref="H182"/>
    <hyperlink r:id="rId188" ref="H183"/>
    <hyperlink r:id="rId189" ref="H184"/>
    <hyperlink r:id="rId190" ref="H185"/>
    <hyperlink r:id="rId191" ref="H186"/>
    <hyperlink r:id="rId192" ref="H187"/>
    <hyperlink r:id="rId193" ref="H188"/>
    <hyperlink r:id="rId194" location="google_vignette" ref="H189"/>
    <hyperlink r:id="rId195" ref="H190"/>
    <hyperlink r:id="rId196" ref="H191"/>
    <hyperlink r:id="rId197" ref="H192"/>
    <hyperlink r:id="rId198" ref="H193"/>
    <hyperlink r:id="rId199" ref="H194"/>
    <hyperlink r:id="rId200" ref="H195"/>
    <hyperlink r:id="rId201" ref="H196"/>
    <hyperlink r:id="rId202" ref="H197"/>
    <hyperlink r:id="rId203" ref="H198"/>
    <hyperlink r:id="rId204" ref="H199"/>
    <hyperlink r:id="rId205" ref="H200"/>
    <hyperlink r:id="rId206" ref="H201"/>
    <hyperlink r:id="rId207" ref="H202"/>
    <hyperlink r:id="rId208" ref="H203"/>
    <hyperlink r:id="rId209" ref="H204"/>
    <hyperlink r:id="rId210" ref="H205"/>
    <hyperlink r:id="rId211" ref="H206"/>
    <hyperlink r:id="rId212" ref="H207"/>
    <hyperlink r:id="rId213" ref="H208"/>
    <hyperlink r:id="rId214" ref="H209"/>
    <hyperlink r:id="rId215" ref="H210"/>
    <hyperlink r:id="rId216" ref="H211"/>
    <hyperlink r:id="rId217" ref="H212"/>
    <hyperlink r:id="rId218" ref="G213"/>
    <hyperlink r:id="rId219" ref="H213"/>
    <hyperlink r:id="rId220" ref="H214"/>
    <hyperlink r:id="rId221" ref="G215"/>
    <hyperlink r:id="rId222" ref="H215"/>
    <hyperlink r:id="rId223" ref="G216"/>
    <hyperlink r:id="rId224" ref="H216"/>
    <hyperlink r:id="rId225" ref="H217"/>
    <hyperlink r:id="rId226" ref="G218"/>
    <hyperlink r:id="rId227" ref="H218"/>
    <hyperlink r:id="rId228" ref="H219"/>
    <hyperlink r:id="rId229" ref="G220"/>
    <hyperlink r:id="rId230" ref="H220"/>
    <hyperlink r:id="rId231" location=":~:text=There%20are%20no%20property%20taxes,has%20further%20enhanced%20Dubai's%20appeal." ref="H221"/>
    <hyperlink r:id="rId232" ref="H222"/>
    <hyperlink r:id="rId233" ref="H223"/>
    <hyperlink r:id="rId234" ref="H224"/>
    <hyperlink r:id="rId235" ref="G225"/>
    <hyperlink r:id="rId236" ref="H225"/>
    <hyperlink r:id="rId237" ref="H226"/>
    <hyperlink r:id="rId238" ref="G227"/>
    <hyperlink r:id="rId239" ref="H227"/>
    <hyperlink r:id="rId240" ref="G228"/>
    <hyperlink r:id="rId241" ref="H228"/>
    <hyperlink r:id="rId242" ref="G229"/>
    <hyperlink r:id="rId243" ref="H229"/>
    <hyperlink r:id="rId244" ref="G230"/>
    <hyperlink r:id="rId245" ref="H230"/>
    <hyperlink r:id="rId246" ref="G231"/>
    <hyperlink r:id="rId247" ref="H231"/>
    <hyperlink r:id="rId248" ref="G232"/>
    <hyperlink r:id="rId249" ref="H232"/>
    <hyperlink r:id="rId250" ref="G233"/>
    <hyperlink r:id="rId251" ref="H233"/>
    <hyperlink r:id="rId252" ref="G234"/>
    <hyperlink r:id="rId253" ref="H234"/>
    <hyperlink r:id="rId254" ref="G235"/>
    <hyperlink r:id="rId255" ref="H235"/>
    <hyperlink r:id="rId256" ref="H236"/>
    <hyperlink r:id="rId257" ref="G237"/>
    <hyperlink r:id="rId258" ref="H237"/>
    <hyperlink r:id="rId259" ref="G238"/>
    <hyperlink r:id="rId260" ref="H238"/>
    <hyperlink r:id="rId261" ref="G239"/>
    <hyperlink r:id="rId262" ref="H239"/>
    <hyperlink r:id="rId263" ref="G240"/>
    <hyperlink r:id="rId264" ref="H240"/>
    <hyperlink r:id="rId265" ref="H241"/>
    <hyperlink r:id="rId266" ref="G242"/>
    <hyperlink r:id="rId267" ref="H242"/>
    <hyperlink r:id="rId268" ref="G243"/>
    <hyperlink r:id="rId269" ref="H243"/>
    <hyperlink r:id="rId270" ref="G244"/>
    <hyperlink r:id="rId271" ref="H244"/>
    <hyperlink r:id="rId272" ref="G245"/>
    <hyperlink r:id="rId273" ref="H245"/>
    <hyperlink r:id="rId274" ref="H246"/>
    <hyperlink r:id="rId275" ref="H247"/>
    <hyperlink r:id="rId276" ref="H248"/>
    <hyperlink r:id="rId277" ref="G249"/>
    <hyperlink r:id="rId278" ref="H249"/>
    <hyperlink r:id="rId279" ref="H250"/>
    <hyperlink r:id="rId280" ref="D251"/>
    <hyperlink r:id="rId281" ref="H251"/>
    <hyperlink r:id="rId282" ref="G252"/>
    <hyperlink r:id="rId283" ref="H252"/>
    <hyperlink r:id="rId284" ref="G253"/>
    <hyperlink r:id="rId285" ref="H253"/>
    <hyperlink r:id="rId286" ref="G254"/>
    <hyperlink r:id="rId287" ref="H254"/>
    <hyperlink r:id="rId288" ref="G255"/>
    <hyperlink r:id="rId289" ref="H255"/>
    <hyperlink r:id="rId290" ref="G256"/>
    <hyperlink r:id="rId291" ref="H256"/>
    <hyperlink r:id="rId292" ref="G257"/>
    <hyperlink r:id="rId293" ref="H257"/>
    <hyperlink r:id="rId294" ref="H258"/>
    <hyperlink r:id="rId295" ref="G259"/>
    <hyperlink r:id="rId296" ref="H259"/>
    <hyperlink r:id="rId297" ref="G260"/>
    <hyperlink r:id="rId298" ref="H260"/>
    <hyperlink r:id="rId299" ref="H261"/>
    <hyperlink r:id="rId300" ref="H262"/>
    <hyperlink r:id="rId301" ref="H263"/>
    <hyperlink r:id="rId302" ref="H264"/>
    <hyperlink r:id="rId303" ref="H265"/>
    <hyperlink r:id="rId304" ref="H266"/>
    <hyperlink r:id="rId305" ref="H267"/>
    <hyperlink r:id="rId306" ref="H268"/>
    <hyperlink r:id="rId307" ref="H269"/>
    <hyperlink r:id="rId308" ref="H270"/>
    <hyperlink r:id="rId309" ref="H271"/>
    <hyperlink r:id="rId310" ref="H272"/>
    <hyperlink r:id="rId311" ref="H273"/>
    <hyperlink r:id="rId312" ref="H274"/>
    <hyperlink r:id="rId313" ref="H275"/>
    <hyperlink r:id="rId314" ref="H276"/>
    <hyperlink r:id="rId315" ref="H277"/>
    <hyperlink r:id="rId316" ref="H278"/>
    <hyperlink r:id="rId317" ref="D279"/>
    <hyperlink r:id="rId318" ref="H279"/>
    <hyperlink r:id="rId319" ref="H280"/>
    <hyperlink r:id="rId320" ref="H281"/>
    <hyperlink r:id="rId321" ref="H282"/>
    <hyperlink r:id="rId322" ref="H283"/>
    <hyperlink r:id="rId323" ref="G284"/>
    <hyperlink r:id="rId324" ref="H284"/>
    <hyperlink r:id="rId325" ref="H285"/>
    <hyperlink r:id="rId326" ref="H286"/>
    <hyperlink r:id="rId327" location=":~:text=Immersed%20isn't%20just%20an,the%20period%20of%20October%202025." ref="H287"/>
    <hyperlink r:id="rId328" ref="H288"/>
    <hyperlink r:id="rId329" ref="D289"/>
    <hyperlink r:id="rId330" ref="H289"/>
    <hyperlink r:id="rId331" ref="H290"/>
    <hyperlink r:id="rId332" ref="H291"/>
    <hyperlink r:id="rId333" ref="H292"/>
    <hyperlink r:id="rId334" ref="H293"/>
    <hyperlink r:id="rId335" ref="H294"/>
    <hyperlink r:id="rId336" ref="H295"/>
    <hyperlink r:id="rId337" ref="H296"/>
    <hyperlink r:id="rId338" ref="H297"/>
    <hyperlink r:id="rId339" ref="H298"/>
    <hyperlink r:id="rId340" ref="G299"/>
    <hyperlink r:id="rId341" ref="H299"/>
    <hyperlink r:id="rId342" ref="H300"/>
    <hyperlink r:id="rId343" ref="D301"/>
    <hyperlink r:id="rId344" ref="H301"/>
    <hyperlink r:id="rId345" ref="H302"/>
    <hyperlink r:id="rId346" ref="H303"/>
    <hyperlink r:id="rId347" ref="H304"/>
    <hyperlink r:id="rId348" ref="H305"/>
    <hyperlink r:id="rId349" ref="H306"/>
    <hyperlink r:id="rId350" ref="H307"/>
    <hyperlink r:id="rId351" ref="H308"/>
    <hyperlink r:id="rId352" ref="H309"/>
    <hyperlink r:id="rId353" ref="H310"/>
    <hyperlink r:id="rId354" ref="H311"/>
    <hyperlink r:id="rId355" ref="H312"/>
    <hyperlink r:id="rId356" ref="H313"/>
    <hyperlink r:id="rId357" ref="H314"/>
    <hyperlink r:id="rId358" ref="H315"/>
    <hyperlink r:id="rId359" ref="H316"/>
    <hyperlink r:id="rId360" ref="H317"/>
    <hyperlink r:id="rId361" ref="H318"/>
    <hyperlink r:id="rId362" ref="H319"/>
    <hyperlink r:id="rId363" ref="H320"/>
    <hyperlink r:id="rId364" ref="H321"/>
    <hyperlink r:id="rId365" ref="H322"/>
    <hyperlink r:id="rId366" ref="H323"/>
    <hyperlink r:id="rId367" ref="H324"/>
    <hyperlink r:id="rId368" ref="G325"/>
    <hyperlink r:id="rId369" ref="H325"/>
    <hyperlink r:id="rId370" ref="G326"/>
    <hyperlink r:id="rId371" ref="H326"/>
    <hyperlink r:id="rId372" ref="G327"/>
    <hyperlink r:id="rId373" ref="H327"/>
    <hyperlink r:id="rId374" ref="G328"/>
    <hyperlink r:id="rId375" ref="H328"/>
    <hyperlink r:id="rId376" ref="G329"/>
    <hyperlink r:id="rId377" ref="H330"/>
    <hyperlink r:id="rId378" ref="H331"/>
  </hyperlinks>
  <drawing r:id="rId37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38.63"/>
  </cols>
  <sheetData>
    <row r="1"/>
    <row r="2"/>
    <row r="3"/>
    <row r="4"/>
    <row r="5"/>
    <row r="6"/>
    <row r="7"/>
    <row r="8"/>
    <row r="9"/>
    <row r="10"/>
    <row r="11"/>
    <row r="12"/>
    <row r="13"/>
    <row r="14"/>
    <row r="15"/>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18.13"/>
    <col customWidth="1" min="3" max="3" width="27.75"/>
    <col customWidth="1" min="4" max="4" width="88.38"/>
    <col customWidth="1" min="5" max="5" width="42.63"/>
    <col customWidth="1" min="6" max="6" width="18.63"/>
  </cols>
  <sheetData>
    <row r="1" ht="21.0" customHeight="1">
      <c r="A1" s="32" t="s">
        <v>1047</v>
      </c>
      <c r="B1" s="32" t="s">
        <v>50</v>
      </c>
      <c r="C1" s="33" t="s">
        <v>51</v>
      </c>
      <c r="D1" s="405" t="s">
        <v>54</v>
      </c>
      <c r="E1" s="405" t="s">
        <v>55</v>
      </c>
      <c r="F1" s="37" t="s">
        <v>56</v>
      </c>
    </row>
    <row r="2">
      <c r="A2" s="38">
        <v>44941.0</v>
      </c>
      <c r="B2" s="45" t="s">
        <v>5</v>
      </c>
      <c r="C2" s="40" t="s">
        <v>884</v>
      </c>
      <c r="D2" s="40" t="s">
        <v>1048</v>
      </c>
      <c r="E2" s="151" t="s">
        <v>1049</v>
      </c>
      <c r="F2" s="152" t="s">
        <v>339</v>
      </c>
    </row>
    <row r="3">
      <c r="A3" s="38">
        <v>44941.0</v>
      </c>
      <c r="B3" s="45" t="s">
        <v>17</v>
      </c>
      <c r="C3" s="40" t="s">
        <v>1050</v>
      </c>
      <c r="D3" s="40" t="s">
        <v>1051</v>
      </c>
      <c r="E3" s="151" t="s">
        <v>1052</v>
      </c>
      <c r="F3" s="152" t="s">
        <v>339</v>
      </c>
    </row>
    <row r="4" ht="16.5" customHeight="1">
      <c r="A4" s="38">
        <v>44941.0</v>
      </c>
      <c r="B4" s="45" t="s">
        <v>17</v>
      </c>
      <c r="C4" s="226" t="s">
        <v>1053</v>
      </c>
      <c r="D4" s="226" t="s">
        <v>1054</v>
      </c>
      <c r="E4" s="406" t="s">
        <v>1055</v>
      </c>
      <c r="F4" s="187" t="s">
        <v>339</v>
      </c>
    </row>
    <row r="5">
      <c r="A5" s="38">
        <v>44941.0</v>
      </c>
      <c r="B5" s="47" t="s">
        <v>11</v>
      </c>
      <c r="C5" s="40" t="s">
        <v>58</v>
      </c>
      <c r="D5" s="40" t="s">
        <v>1056</v>
      </c>
      <c r="E5" s="407" t="s">
        <v>1057</v>
      </c>
      <c r="F5" s="152" t="s">
        <v>339</v>
      </c>
    </row>
    <row r="6">
      <c r="A6" s="38">
        <v>44942.0</v>
      </c>
      <c r="B6" s="45" t="s">
        <v>17</v>
      </c>
      <c r="C6" s="40" t="s">
        <v>1058</v>
      </c>
      <c r="D6" s="40" t="s">
        <v>1059</v>
      </c>
      <c r="E6" s="151" t="s">
        <v>1060</v>
      </c>
      <c r="F6" s="152" t="s">
        <v>339</v>
      </c>
    </row>
    <row r="7">
      <c r="A7" s="38">
        <v>44942.0</v>
      </c>
      <c r="B7" s="45" t="s">
        <v>17</v>
      </c>
      <c r="C7" s="40" t="s">
        <v>1061</v>
      </c>
      <c r="D7" s="40" t="s">
        <v>1062</v>
      </c>
      <c r="E7" s="151" t="s">
        <v>1063</v>
      </c>
      <c r="F7" s="152" t="s">
        <v>339</v>
      </c>
    </row>
    <row r="8">
      <c r="A8" s="38">
        <v>44942.0</v>
      </c>
      <c r="B8" s="45" t="s">
        <v>17</v>
      </c>
      <c r="C8" s="40" t="s">
        <v>1064</v>
      </c>
      <c r="D8" s="40" t="s">
        <v>1065</v>
      </c>
      <c r="E8" s="151" t="s">
        <v>1066</v>
      </c>
      <c r="F8" s="152" t="s">
        <v>339</v>
      </c>
    </row>
    <row r="9">
      <c r="A9" s="38">
        <v>44942.0</v>
      </c>
      <c r="B9" s="45" t="s">
        <v>11</v>
      </c>
      <c r="C9" s="40" t="s">
        <v>1067</v>
      </c>
      <c r="D9" s="40" t="s">
        <v>1068</v>
      </c>
      <c r="E9" s="151" t="s">
        <v>1069</v>
      </c>
      <c r="F9" s="152" t="s">
        <v>339</v>
      </c>
    </row>
    <row r="10">
      <c r="A10" s="38">
        <v>44942.0</v>
      </c>
      <c r="B10" s="45" t="s">
        <v>17</v>
      </c>
      <c r="C10" s="40" t="s">
        <v>1070</v>
      </c>
      <c r="D10" s="40" t="s">
        <v>1071</v>
      </c>
      <c r="E10" s="151" t="s">
        <v>1072</v>
      </c>
      <c r="F10" s="152" t="s">
        <v>339</v>
      </c>
    </row>
    <row r="11">
      <c r="A11" s="38">
        <v>44942.0</v>
      </c>
      <c r="B11" s="45" t="s">
        <v>17</v>
      </c>
      <c r="C11" s="40" t="s">
        <v>1073</v>
      </c>
      <c r="D11" s="40" t="s">
        <v>1074</v>
      </c>
      <c r="E11" s="151" t="s">
        <v>1075</v>
      </c>
      <c r="F11" s="152" t="s">
        <v>339</v>
      </c>
    </row>
    <row r="12">
      <c r="A12" s="38">
        <v>44942.0</v>
      </c>
      <c r="B12" s="45" t="s">
        <v>17</v>
      </c>
      <c r="C12" s="40" t="s">
        <v>1076</v>
      </c>
      <c r="D12" s="40" t="s">
        <v>1077</v>
      </c>
      <c r="E12" s="407" t="s">
        <v>1078</v>
      </c>
      <c r="F12" s="152" t="s">
        <v>339</v>
      </c>
    </row>
    <row r="13">
      <c r="A13" s="38">
        <v>44942.0</v>
      </c>
      <c r="B13" s="45" t="s">
        <v>5</v>
      </c>
      <c r="C13" s="40" t="s">
        <v>1079</v>
      </c>
      <c r="D13" s="336" t="s">
        <v>1080</v>
      </c>
      <c r="E13" s="107" t="s">
        <v>1081</v>
      </c>
      <c r="F13" s="152" t="s">
        <v>339</v>
      </c>
    </row>
    <row r="14">
      <c r="A14" s="38">
        <v>44942.0</v>
      </c>
      <c r="B14" s="45" t="s">
        <v>17</v>
      </c>
      <c r="C14" s="40" t="s">
        <v>1082</v>
      </c>
      <c r="D14" s="40" t="s">
        <v>1083</v>
      </c>
      <c r="E14" s="151" t="s">
        <v>1084</v>
      </c>
      <c r="F14" s="152" t="s">
        <v>339</v>
      </c>
    </row>
    <row r="15">
      <c r="A15" s="38">
        <v>44942.0</v>
      </c>
      <c r="B15" s="45" t="s">
        <v>5</v>
      </c>
      <c r="C15" s="40" t="s">
        <v>1085</v>
      </c>
      <c r="D15" s="336" t="s">
        <v>1086</v>
      </c>
      <c r="E15" s="107" t="s">
        <v>1087</v>
      </c>
      <c r="F15" s="152" t="s">
        <v>339</v>
      </c>
    </row>
    <row r="16">
      <c r="A16" s="38">
        <v>44942.0</v>
      </c>
      <c r="B16" s="45" t="s">
        <v>17</v>
      </c>
      <c r="C16" s="40" t="s">
        <v>1088</v>
      </c>
      <c r="D16" s="40" t="s">
        <v>1089</v>
      </c>
      <c r="E16" s="151" t="s">
        <v>1090</v>
      </c>
      <c r="F16" s="152" t="s">
        <v>339</v>
      </c>
    </row>
    <row r="17">
      <c r="A17" s="38">
        <v>44942.0</v>
      </c>
      <c r="B17" s="45" t="s">
        <v>17</v>
      </c>
      <c r="C17" s="40" t="s">
        <v>1091</v>
      </c>
      <c r="D17" s="40" t="s">
        <v>1092</v>
      </c>
      <c r="E17" s="151" t="s">
        <v>1093</v>
      </c>
      <c r="F17" s="152" t="s">
        <v>339</v>
      </c>
    </row>
    <row r="18">
      <c r="A18" s="38">
        <v>44942.0</v>
      </c>
      <c r="B18" s="45" t="s">
        <v>17</v>
      </c>
      <c r="C18" s="40" t="s">
        <v>1094</v>
      </c>
      <c r="D18" s="40" t="s">
        <v>1095</v>
      </c>
      <c r="E18" s="151" t="s">
        <v>1096</v>
      </c>
      <c r="F18" s="152" t="s">
        <v>339</v>
      </c>
    </row>
    <row r="19">
      <c r="A19" s="38">
        <v>44942.0</v>
      </c>
      <c r="B19" s="45" t="s">
        <v>17</v>
      </c>
      <c r="C19" s="40" t="s">
        <v>1097</v>
      </c>
      <c r="D19" s="40" t="s">
        <v>1098</v>
      </c>
      <c r="E19" s="407" t="s">
        <v>1099</v>
      </c>
      <c r="F19" s="152" t="s">
        <v>339</v>
      </c>
    </row>
    <row r="20">
      <c r="A20" s="38">
        <v>44942.0</v>
      </c>
      <c r="B20" s="45" t="s">
        <v>5</v>
      </c>
      <c r="C20" s="40" t="s">
        <v>233</v>
      </c>
      <c r="D20" s="40" t="s">
        <v>1100</v>
      </c>
      <c r="E20" s="407" t="s">
        <v>1101</v>
      </c>
      <c r="F20" s="152" t="s">
        <v>339</v>
      </c>
    </row>
    <row r="21">
      <c r="A21" s="38">
        <v>44942.0</v>
      </c>
      <c r="B21" s="45" t="s">
        <v>5</v>
      </c>
      <c r="C21" s="40" t="s">
        <v>233</v>
      </c>
      <c r="D21" s="40" t="s">
        <v>1102</v>
      </c>
      <c r="E21" s="407" t="s">
        <v>1103</v>
      </c>
      <c r="F21" s="152" t="s">
        <v>339</v>
      </c>
    </row>
    <row r="22">
      <c r="A22" s="38">
        <v>44942.0</v>
      </c>
      <c r="B22" s="45" t="s">
        <v>11</v>
      </c>
      <c r="C22" s="40" t="s">
        <v>1104</v>
      </c>
      <c r="D22" s="40" t="s">
        <v>1105</v>
      </c>
      <c r="E22" s="407" t="s">
        <v>1106</v>
      </c>
      <c r="F22" s="152" t="s">
        <v>339</v>
      </c>
    </row>
    <row r="23">
      <c r="A23" s="38">
        <v>44943.0</v>
      </c>
      <c r="B23" s="45" t="s">
        <v>11</v>
      </c>
      <c r="C23" s="40" t="s">
        <v>77</v>
      </c>
      <c r="D23" s="40" t="s">
        <v>1107</v>
      </c>
      <c r="E23" s="151" t="s">
        <v>1108</v>
      </c>
      <c r="F23" s="152" t="s">
        <v>339</v>
      </c>
    </row>
    <row r="24">
      <c r="A24" s="38">
        <v>44943.0</v>
      </c>
      <c r="B24" s="45" t="s">
        <v>11</v>
      </c>
      <c r="C24" s="40" t="s">
        <v>374</v>
      </c>
      <c r="D24" s="40" t="s">
        <v>1109</v>
      </c>
      <c r="E24" s="407" t="s">
        <v>1110</v>
      </c>
      <c r="F24" s="152" t="s">
        <v>339</v>
      </c>
    </row>
    <row r="25">
      <c r="A25" s="38">
        <v>44944.0</v>
      </c>
      <c r="B25" s="45" t="s">
        <v>17</v>
      </c>
      <c r="C25" s="40" t="s">
        <v>1111</v>
      </c>
      <c r="D25" s="40" t="s">
        <v>1112</v>
      </c>
      <c r="E25" s="151" t="s">
        <v>1113</v>
      </c>
      <c r="F25" s="152" t="s">
        <v>339</v>
      </c>
    </row>
    <row r="26">
      <c r="A26" s="38">
        <v>44944.0</v>
      </c>
      <c r="B26" s="45" t="s">
        <v>17</v>
      </c>
      <c r="C26" s="40" t="s">
        <v>1114</v>
      </c>
      <c r="D26" s="40" t="s">
        <v>1115</v>
      </c>
      <c r="E26" s="151" t="s">
        <v>1116</v>
      </c>
      <c r="F26" s="152" t="s">
        <v>339</v>
      </c>
    </row>
    <row r="27">
      <c r="A27" s="38">
        <v>44944.0</v>
      </c>
      <c r="B27" s="45" t="s">
        <v>17</v>
      </c>
      <c r="C27" s="40" t="s">
        <v>1117</v>
      </c>
      <c r="D27" s="40" t="s">
        <v>1118</v>
      </c>
      <c r="E27" s="151" t="s">
        <v>1119</v>
      </c>
      <c r="F27" s="152" t="s">
        <v>339</v>
      </c>
    </row>
    <row r="28">
      <c r="A28" s="38">
        <v>44944.0</v>
      </c>
      <c r="B28" s="45" t="s">
        <v>17</v>
      </c>
      <c r="C28" s="40" t="s">
        <v>1120</v>
      </c>
      <c r="D28" s="40" t="s">
        <v>1121</v>
      </c>
      <c r="E28" s="407" t="s">
        <v>1122</v>
      </c>
      <c r="F28" s="152" t="s">
        <v>339</v>
      </c>
    </row>
    <row r="29">
      <c r="A29" s="38">
        <v>44944.0</v>
      </c>
      <c r="B29" s="45" t="s">
        <v>17</v>
      </c>
      <c r="C29" s="40" t="s">
        <v>1123</v>
      </c>
      <c r="D29" s="40" t="s">
        <v>1124</v>
      </c>
      <c r="E29" s="407" t="s">
        <v>1125</v>
      </c>
      <c r="F29" s="152" t="s">
        <v>339</v>
      </c>
    </row>
    <row r="30">
      <c r="A30" s="38">
        <v>44945.0</v>
      </c>
      <c r="B30" s="45" t="s">
        <v>17</v>
      </c>
      <c r="C30" s="40" t="s">
        <v>1126</v>
      </c>
      <c r="D30" s="40" t="s">
        <v>1127</v>
      </c>
      <c r="E30" s="151" t="s">
        <v>1128</v>
      </c>
      <c r="F30" s="152" t="s">
        <v>339</v>
      </c>
    </row>
    <row r="31">
      <c r="A31" s="38">
        <v>44945.0</v>
      </c>
      <c r="B31" s="45" t="s">
        <v>17</v>
      </c>
      <c r="C31" s="40" t="s">
        <v>1129</v>
      </c>
      <c r="D31" s="40" t="s">
        <v>1130</v>
      </c>
      <c r="E31" s="151" t="s">
        <v>1131</v>
      </c>
      <c r="F31" s="152" t="s">
        <v>339</v>
      </c>
    </row>
    <row r="32">
      <c r="A32" s="38">
        <v>44946.0</v>
      </c>
      <c r="B32" s="45" t="s">
        <v>17</v>
      </c>
      <c r="C32" s="40" t="s">
        <v>1132</v>
      </c>
      <c r="D32" s="40" t="s">
        <v>1133</v>
      </c>
      <c r="E32" s="151" t="s">
        <v>1134</v>
      </c>
      <c r="F32" s="152" t="s">
        <v>339</v>
      </c>
    </row>
    <row r="33">
      <c r="A33" s="38">
        <v>44948.0</v>
      </c>
      <c r="B33" s="45" t="s">
        <v>17</v>
      </c>
      <c r="C33" s="40" t="s">
        <v>1135</v>
      </c>
      <c r="D33" s="40" t="s">
        <v>1136</v>
      </c>
      <c r="E33" s="151" t="s">
        <v>1137</v>
      </c>
      <c r="F33" s="152" t="s">
        <v>339</v>
      </c>
    </row>
    <row r="34">
      <c r="A34" s="38">
        <v>44949.0</v>
      </c>
      <c r="B34" s="45" t="s">
        <v>17</v>
      </c>
      <c r="C34" s="40" t="s">
        <v>473</v>
      </c>
      <c r="D34" s="40" t="s">
        <v>1138</v>
      </c>
      <c r="E34" s="151" t="s">
        <v>1139</v>
      </c>
      <c r="F34" s="152" t="s">
        <v>339</v>
      </c>
    </row>
    <row r="35">
      <c r="A35" s="38">
        <v>44950.0</v>
      </c>
      <c r="B35" s="45" t="s">
        <v>17</v>
      </c>
      <c r="C35" s="40" t="s">
        <v>1140</v>
      </c>
      <c r="D35" s="40" t="s">
        <v>1141</v>
      </c>
      <c r="E35" s="151" t="s">
        <v>1142</v>
      </c>
      <c r="F35" s="152" t="s">
        <v>339</v>
      </c>
    </row>
    <row r="36">
      <c r="A36" s="38">
        <v>44951.0</v>
      </c>
      <c r="B36" s="45" t="s">
        <v>11</v>
      </c>
      <c r="C36" s="40" t="s">
        <v>1143</v>
      </c>
      <c r="D36" s="40" t="s">
        <v>1144</v>
      </c>
      <c r="E36" s="407" t="s">
        <v>1145</v>
      </c>
      <c r="F36" s="152" t="s">
        <v>339</v>
      </c>
    </row>
    <row r="37">
      <c r="A37" s="38">
        <v>44951.0</v>
      </c>
      <c r="B37" s="45" t="s">
        <v>11</v>
      </c>
      <c r="C37" s="40" t="s">
        <v>1104</v>
      </c>
      <c r="D37" s="40" t="s">
        <v>1102</v>
      </c>
      <c r="E37" s="407" t="s">
        <v>1146</v>
      </c>
      <c r="F37" s="152" t="s">
        <v>339</v>
      </c>
    </row>
    <row r="38">
      <c r="A38" s="38">
        <v>44953.0</v>
      </c>
      <c r="B38" s="45" t="s">
        <v>17</v>
      </c>
      <c r="C38" s="40" t="s">
        <v>1147</v>
      </c>
      <c r="D38" s="40" t="s">
        <v>1148</v>
      </c>
      <c r="E38" s="151" t="s">
        <v>1149</v>
      </c>
      <c r="F38" s="152" t="s">
        <v>339</v>
      </c>
    </row>
    <row r="39">
      <c r="A39" s="38">
        <v>44953.0</v>
      </c>
      <c r="B39" s="45" t="s">
        <v>11</v>
      </c>
      <c r="C39" s="3" t="s">
        <v>1104</v>
      </c>
      <c r="D39" s="40" t="s">
        <v>1150</v>
      </c>
      <c r="E39" s="407" t="s">
        <v>1151</v>
      </c>
      <c r="F39" s="152" t="s">
        <v>339</v>
      </c>
    </row>
    <row r="40">
      <c r="A40" s="38">
        <v>44957.0</v>
      </c>
      <c r="B40" s="298" t="s">
        <v>17</v>
      </c>
      <c r="C40" s="299" t="s">
        <v>1152</v>
      </c>
      <c r="D40" s="299" t="s">
        <v>1153</v>
      </c>
      <c r="E40" s="408" t="s">
        <v>1154</v>
      </c>
      <c r="F40" s="304" t="s">
        <v>339</v>
      </c>
    </row>
    <row r="41">
      <c r="A41" s="38">
        <v>44960.0</v>
      </c>
      <c r="B41" s="39" t="s">
        <v>17</v>
      </c>
      <c r="C41" s="170" t="s">
        <v>1155</v>
      </c>
      <c r="D41" s="170" t="s">
        <v>1156</v>
      </c>
      <c r="E41" s="409" t="s">
        <v>1157</v>
      </c>
      <c r="F41" s="152" t="s">
        <v>339</v>
      </c>
    </row>
    <row r="42">
      <c r="A42" s="38">
        <v>44963.0</v>
      </c>
      <c r="B42" s="45" t="s">
        <v>11</v>
      </c>
      <c r="C42" s="40" t="s">
        <v>1104</v>
      </c>
      <c r="D42" s="40" t="s">
        <v>1158</v>
      </c>
      <c r="E42" s="151" t="s">
        <v>1159</v>
      </c>
      <c r="F42" s="152" t="s">
        <v>339</v>
      </c>
    </row>
    <row r="43">
      <c r="A43" s="38">
        <v>44963.0</v>
      </c>
      <c r="B43" s="45" t="s">
        <v>11</v>
      </c>
      <c r="C43" s="40" t="s">
        <v>58</v>
      </c>
      <c r="D43" s="40" t="s">
        <v>1160</v>
      </c>
      <c r="E43" s="151" t="s">
        <v>1161</v>
      </c>
      <c r="F43" s="152" t="s">
        <v>339</v>
      </c>
    </row>
    <row r="44">
      <c r="A44" s="38">
        <v>44964.0</v>
      </c>
      <c r="B44" s="45" t="s">
        <v>5</v>
      </c>
      <c r="C44" s="40" t="s">
        <v>233</v>
      </c>
      <c r="D44" s="40" t="s">
        <v>1162</v>
      </c>
      <c r="E44" s="151" t="s">
        <v>1163</v>
      </c>
      <c r="F44" s="152" t="s">
        <v>339</v>
      </c>
    </row>
    <row r="45">
      <c r="A45" s="38">
        <v>44965.0</v>
      </c>
      <c r="B45" s="45" t="s">
        <v>11</v>
      </c>
      <c r="C45" s="40" t="s">
        <v>58</v>
      </c>
      <c r="D45" s="40" t="s">
        <v>1164</v>
      </c>
      <c r="E45" s="151" t="s">
        <v>1165</v>
      </c>
      <c r="F45" s="152" t="s">
        <v>339</v>
      </c>
    </row>
    <row r="46">
      <c r="A46" s="38">
        <v>44965.0</v>
      </c>
      <c r="B46" s="45" t="s">
        <v>5</v>
      </c>
      <c r="C46" s="40" t="s">
        <v>129</v>
      </c>
      <c r="D46" s="40" t="s">
        <v>1166</v>
      </c>
      <c r="E46" s="151" t="s">
        <v>1167</v>
      </c>
      <c r="F46" s="152" t="s">
        <v>339</v>
      </c>
    </row>
    <row r="47">
      <c r="A47" s="38">
        <v>44966.0</v>
      </c>
      <c r="B47" s="45" t="s">
        <v>11</v>
      </c>
      <c r="C47" s="40" t="s">
        <v>1168</v>
      </c>
      <c r="D47" s="40" t="s">
        <v>1162</v>
      </c>
      <c r="E47" s="151" t="s">
        <v>1169</v>
      </c>
      <c r="F47" s="152" t="s">
        <v>339</v>
      </c>
    </row>
    <row r="48">
      <c r="A48" s="38">
        <v>44970.0</v>
      </c>
      <c r="B48" s="39" t="s">
        <v>17</v>
      </c>
      <c r="C48" s="40" t="s">
        <v>1170</v>
      </c>
      <c r="D48" s="40" t="s">
        <v>1171</v>
      </c>
      <c r="E48" s="151" t="s">
        <v>1172</v>
      </c>
      <c r="F48" s="152" t="s">
        <v>339</v>
      </c>
    </row>
    <row r="49">
      <c r="A49" s="38">
        <v>44970.0</v>
      </c>
      <c r="B49" s="39" t="s">
        <v>17</v>
      </c>
      <c r="C49" s="40" t="s">
        <v>1173</v>
      </c>
      <c r="D49" s="40" t="s">
        <v>1174</v>
      </c>
      <c r="E49" s="151" t="s">
        <v>1175</v>
      </c>
      <c r="F49" s="152" t="s">
        <v>339</v>
      </c>
    </row>
    <row r="50">
      <c r="A50" s="38">
        <v>44970.0</v>
      </c>
      <c r="B50" s="39" t="s">
        <v>17</v>
      </c>
      <c r="C50" s="40" t="s">
        <v>1176</v>
      </c>
      <c r="D50" s="40" t="s">
        <v>1177</v>
      </c>
      <c r="E50" s="151" t="s">
        <v>1178</v>
      </c>
      <c r="F50" s="152" t="s">
        <v>339</v>
      </c>
    </row>
    <row r="51">
      <c r="A51" s="38">
        <v>44970.0</v>
      </c>
      <c r="B51" s="39" t="s">
        <v>17</v>
      </c>
      <c r="C51" s="40" t="s">
        <v>1179</v>
      </c>
      <c r="D51" s="40" t="s">
        <v>1180</v>
      </c>
      <c r="E51" s="407" t="s">
        <v>1181</v>
      </c>
      <c r="F51" s="152" t="s">
        <v>339</v>
      </c>
    </row>
    <row r="52">
      <c r="A52" s="38">
        <v>44970.0</v>
      </c>
      <c r="B52" s="45" t="s">
        <v>11</v>
      </c>
      <c r="C52" s="40" t="s">
        <v>58</v>
      </c>
      <c r="D52" s="40" t="s">
        <v>1182</v>
      </c>
      <c r="E52" s="151" t="s">
        <v>1183</v>
      </c>
      <c r="F52" s="152" t="s">
        <v>339</v>
      </c>
    </row>
    <row r="53">
      <c r="A53" s="38">
        <v>44972.0</v>
      </c>
      <c r="B53" s="45" t="s">
        <v>11</v>
      </c>
      <c r="C53" s="40" t="s">
        <v>374</v>
      </c>
      <c r="D53" s="40" t="s">
        <v>1184</v>
      </c>
      <c r="E53" s="151" t="s">
        <v>1185</v>
      </c>
      <c r="F53" s="152" t="s">
        <v>339</v>
      </c>
    </row>
    <row r="54">
      <c r="A54" s="38">
        <v>44972.0</v>
      </c>
      <c r="B54" s="45" t="s">
        <v>5</v>
      </c>
      <c r="C54" s="40" t="s">
        <v>1186</v>
      </c>
      <c r="D54" s="40" t="s">
        <v>1171</v>
      </c>
      <c r="E54" s="151" t="s">
        <v>1187</v>
      </c>
      <c r="F54" s="152" t="s">
        <v>339</v>
      </c>
    </row>
    <row r="55">
      <c r="A55" s="38">
        <v>44977.0</v>
      </c>
      <c r="B55" s="39" t="s">
        <v>17</v>
      </c>
      <c r="C55" s="172" t="s">
        <v>1188</v>
      </c>
      <c r="D55" s="40" t="s">
        <v>1189</v>
      </c>
      <c r="E55" s="410" t="s">
        <v>1190</v>
      </c>
      <c r="F55" s="152" t="s">
        <v>339</v>
      </c>
    </row>
    <row r="56">
      <c r="A56" s="38">
        <v>44978.0</v>
      </c>
      <c r="B56" s="39" t="s">
        <v>17</v>
      </c>
      <c r="C56" s="40" t="s">
        <v>1191</v>
      </c>
      <c r="D56" s="40" t="s">
        <v>1192</v>
      </c>
      <c r="E56" s="407" t="s">
        <v>1193</v>
      </c>
      <c r="F56" s="152" t="s">
        <v>339</v>
      </c>
    </row>
    <row r="57">
      <c r="A57" s="38">
        <v>44978.0</v>
      </c>
      <c r="B57" s="45" t="s">
        <v>11</v>
      </c>
      <c r="C57" s="40" t="s">
        <v>58</v>
      </c>
      <c r="D57" s="40" t="s">
        <v>1194</v>
      </c>
      <c r="E57" s="151" t="s">
        <v>1195</v>
      </c>
      <c r="F57" s="152" t="s">
        <v>1196</v>
      </c>
    </row>
    <row r="58">
      <c r="A58" s="38">
        <v>44978.0</v>
      </c>
      <c r="B58" s="39" t="s">
        <v>17</v>
      </c>
      <c r="C58" s="40" t="s">
        <v>1197</v>
      </c>
      <c r="D58" s="40" t="s">
        <v>1198</v>
      </c>
      <c r="E58" s="151" t="s">
        <v>1199</v>
      </c>
      <c r="F58" s="152" t="s">
        <v>339</v>
      </c>
    </row>
    <row r="59">
      <c r="A59" s="38">
        <v>44978.0</v>
      </c>
      <c r="B59" s="45" t="s">
        <v>11</v>
      </c>
      <c r="C59" s="40" t="s">
        <v>1200</v>
      </c>
      <c r="D59" s="40" t="s">
        <v>1201</v>
      </c>
      <c r="E59" s="411" t="s">
        <v>1202</v>
      </c>
      <c r="F59" s="152" t="s">
        <v>339</v>
      </c>
    </row>
    <row r="60">
      <c r="A60" s="38">
        <v>44980.0</v>
      </c>
      <c r="B60" s="39" t="s">
        <v>17</v>
      </c>
      <c r="C60" s="40" t="s">
        <v>1203</v>
      </c>
      <c r="D60" s="40" t="s">
        <v>1204</v>
      </c>
      <c r="E60" s="151" t="s">
        <v>1205</v>
      </c>
      <c r="F60" s="152" t="s">
        <v>339</v>
      </c>
    </row>
    <row r="61">
      <c r="A61" s="38">
        <v>44980.0</v>
      </c>
      <c r="B61" s="39" t="s">
        <v>17</v>
      </c>
      <c r="C61" s="172" t="s">
        <v>1206</v>
      </c>
      <c r="D61" s="40" t="s">
        <v>1207</v>
      </c>
      <c r="E61" s="410" t="s">
        <v>1208</v>
      </c>
      <c r="F61" s="152" t="s">
        <v>339</v>
      </c>
    </row>
    <row r="62">
      <c r="A62" s="38">
        <v>44980.0</v>
      </c>
      <c r="B62" s="39" t="s">
        <v>17</v>
      </c>
      <c r="C62" s="242" t="s">
        <v>1209</v>
      </c>
      <c r="D62" s="40" t="s">
        <v>1210</v>
      </c>
      <c r="E62" s="410" t="s">
        <v>1211</v>
      </c>
      <c r="F62" s="152" t="s">
        <v>339</v>
      </c>
    </row>
    <row r="63">
      <c r="A63" s="38">
        <v>44981.0</v>
      </c>
      <c r="B63" s="39" t="s">
        <v>17</v>
      </c>
      <c r="C63" s="170" t="s">
        <v>545</v>
      </c>
      <c r="D63" s="40" t="s">
        <v>1212</v>
      </c>
      <c r="E63" s="151" t="s">
        <v>1213</v>
      </c>
      <c r="F63" s="152" t="s">
        <v>339</v>
      </c>
    </row>
    <row r="64">
      <c r="A64" s="38">
        <v>44981.0</v>
      </c>
      <c r="B64" s="39" t="s">
        <v>17</v>
      </c>
      <c r="C64" s="242" t="s">
        <v>1214</v>
      </c>
      <c r="D64" s="40" t="s">
        <v>1215</v>
      </c>
      <c r="E64" s="410" t="s">
        <v>1216</v>
      </c>
      <c r="F64" s="152" t="s">
        <v>339</v>
      </c>
    </row>
    <row r="65">
      <c r="A65" s="38">
        <v>44981.0</v>
      </c>
      <c r="B65" s="45" t="s">
        <v>5</v>
      </c>
      <c r="C65" s="242" t="s">
        <v>1217</v>
      </c>
      <c r="D65" s="40" t="s">
        <v>1204</v>
      </c>
      <c r="E65" s="410" t="s">
        <v>1218</v>
      </c>
      <c r="F65" s="152" t="s">
        <v>339</v>
      </c>
    </row>
    <row r="66">
      <c r="A66" s="38">
        <v>44981.0</v>
      </c>
      <c r="B66" s="45" t="s">
        <v>5</v>
      </c>
      <c r="C66" s="40" t="s">
        <v>1219</v>
      </c>
      <c r="D66" s="40" t="s">
        <v>1220</v>
      </c>
      <c r="E66" s="151" t="s">
        <v>1221</v>
      </c>
      <c r="F66" s="152" t="s">
        <v>339</v>
      </c>
    </row>
    <row r="67">
      <c r="A67" s="38">
        <v>44982.0</v>
      </c>
      <c r="B67" s="319" t="s">
        <v>17</v>
      </c>
      <c r="C67" s="412" t="s">
        <v>1222</v>
      </c>
      <c r="D67" s="299" t="s">
        <v>1223</v>
      </c>
      <c r="E67" s="413" t="s">
        <v>1224</v>
      </c>
      <c r="F67" s="304" t="s">
        <v>339</v>
      </c>
    </row>
    <row r="68">
      <c r="A68" s="38">
        <v>44986.0</v>
      </c>
      <c r="B68" s="39" t="s">
        <v>11</v>
      </c>
      <c r="C68" s="170" t="s">
        <v>374</v>
      </c>
      <c r="D68" s="170" t="s">
        <v>1225</v>
      </c>
      <c r="E68" s="409" t="s">
        <v>1226</v>
      </c>
      <c r="F68" s="152" t="s">
        <v>339</v>
      </c>
    </row>
    <row r="69">
      <c r="A69" s="38">
        <v>44986.0</v>
      </c>
      <c r="B69" s="45" t="s">
        <v>5</v>
      </c>
      <c r="C69" s="40" t="s">
        <v>233</v>
      </c>
      <c r="D69" s="40" t="s">
        <v>1227</v>
      </c>
      <c r="E69" s="151" t="s">
        <v>1228</v>
      </c>
      <c r="F69" s="152" t="s">
        <v>339</v>
      </c>
    </row>
    <row r="70">
      <c r="A70" s="38">
        <v>44986.0</v>
      </c>
      <c r="B70" s="39" t="s">
        <v>11</v>
      </c>
      <c r="C70" s="40" t="s">
        <v>1200</v>
      </c>
      <c r="D70" s="40" t="s">
        <v>1229</v>
      </c>
      <c r="E70" s="151" t="s">
        <v>1230</v>
      </c>
      <c r="F70" s="152" t="s">
        <v>339</v>
      </c>
    </row>
    <row r="71">
      <c r="A71" s="38">
        <v>44986.0</v>
      </c>
      <c r="B71" s="39" t="s">
        <v>17</v>
      </c>
      <c r="C71" s="40" t="s">
        <v>1231</v>
      </c>
      <c r="D71" s="40" t="s">
        <v>1232</v>
      </c>
      <c r="E71" s="151" t="s">
        <v>1233</v>
      </c>
      <c r="F71" s="152" t="s">
        <v>339</v>
      </c>
    </row>
    <row r="72">
      <c r="A72" s="38">
        <v>44988.0</v>
      </c>
      <c r="B72" s="45" t="s">
        <v>5</v>
      </c>
      <c r="C72" s="40" t="s">
        <v>1234</v>
      </c>
      <c r="D72" s="40" t="s">
        <v>1235</v>
      </c>
      <c r="E72" s="151" t="s">
        <v>1236</v>
      </c>
      <c r="F72" s="152" t="s">
        <v>339</v>
      </c>
    </row>
    <row r="73">
      <c r="A73" s="38">
        <v>44988.0</v>
      </c>
      <c r="B73" s="39" t="s">
        <v>17</v>
      </c>
      <c r="C73" s="170" t="s">
        <v>1237</v>
      </c>
      <c r="D73" s="40" t="s">
        <v>1238</v>
      </c>
      <c r="E73" s="151" t="s">
        <v>1239</v>
      </c>
      <c r="F73" s="152" t="s">
        <v>339</v>
      </c>
    </row>
    <row r="74">
      <c r="A74" s="38">
        <v>44988.0</v>
      </c>
      <c r="B74" s="39" t="s">
        <v>17</v>
      </c>
      <c r="C74" s="40" t="s">
        <v>1240</v>
      </c>
      <c r="D74" s="40" t="s">
        <v>1241</v>
      </c>
      <c r="E74" s="151" t="s">
        <v>1242</v>
      </c>
      <c r="F74" s="152" t="s">
        <v>339</v>
      </c>
    </row>
    <row r="75">
      <c r="A75" s="38">
        <v>44991.0</v>
      </c>
      <c r="B75" s="39" t="s">
        <v>11</v>
      </c>
      <c r="C75" s="40" t="s">
        <v>1104</v>
      </c>
      <c r="D75" s="40" t="s">
        <v>1243</v>
      </c>
      <c r="E75" s="151" t="s">
        <v>1244</v>
      </c>
      <c r="F75" s="152" t="s">
        <v>339</v>
      </c>
    </row>
    <row r="76">
      <c r="A76" s="38">
        <v>44994.0</v>
      </c>
      <c r="B76" s="39" t="s">
        <v>11</v>
      </c>
      <c r="C76" s="40" t="s">
        <v>58</v>
      </c>
      <c r="D76" s="40" t="s">
        <v>1245</v>
      </c>
      <c r="E76" s="151" t="s">
        <v>1246</v>
      </c>
      <c r="F76" s="152" t="s">
        <v>339</v>
      </c>
    </row>
    <row r="77">
      <c r="A77" s="38">
        <v>44997.0</v>
      </c>
      <c r="B77" s="45" t="s">
        <v>5</v>
      </c>
      <c r="C77" s="40" t="s">
        <v>1247</v>
      </c>
      <c r="D77" s="40" t="s">
        <v>1248</v>
      </c>
      <c r="E77" s="407" t="s">
        <v>1249</v>
      </c>
      <c r="F77" s="152" t="s">
        <v>339</v>
      </c>
    </row>
    <row r="78">
      <c r="A78" s="38">
        <v>44997.0</v>
      </c>
      <c r="B78" s="39" t="s">
        <v>11</v>
      </c>
      <c r="C78" s="40" t="s">
        <v>1222</v>
      </c>
      <c r="D78" s="40" t="s">
        <v>1250</v>
      </c>
      <c r="E78" s="151" t="s">
        <v>1251</v>
      </c>
      <c r="F78" s="152" t="s">
        <v>339</v>
      </c>
    </row>
    <row r="79">
      <c r="A79" s="38">
        <v>44999.0</v>
      </c>
      <c r="B79" s="39" t="s">
        <v>17</v>
      </c>
      <c r="C79" s="172" t="s">
        <v>1252</v>
      </c>
      <c r="D79" s="40" t="s">
        <v>1253</v>
      </c>
      <c r="E79" s="410" t="s">
        <v>1254</v>
      </c>
      <c r="F79" s="152" t="s">
        <v>339</v>
      </c>
    </row>
    <row r="80">
      <c r="A80" s="38">
        <v>44999.0</v>
      </c>
      <c r="B80" s="214" t="s">
        <v>11</v>
      </c>
      <c r="C80" s="172" t="s">
        <v>58</v>
      </c>
      <c r="D80" s="115" t="s">
        <v>1250</v>
      </c>
      <c r="E80" s="407" t="s">
        <v>1255</v>
      </c>
      <c r="F80" s="152" t="s">
        <v>339</v>
      </c>
    </row>
    <row r="81">
      <c r="A81" s="38">
        <v>45000.0</v>
      </c>
      <c r="B81" s="39" t="s">
        <v>11</v>
      </c>
      <c r="C81" s="40" t="s">
        <v>374</v>
      </c>
      <c r="D81" s="414" t="s">
        <v>1256</v>
      </c>
      <c r="E81" s="151" t="s">
        <v>1257</v>
      </c>
      <c r="F81" s="152" t="s">
        <v>339</v>
      </c>
    </row>
    <row r="82">
      <c r="A82" s="38">
        <v>45001.0</v>
      </c>
      <c r="B82" s="39" t="s">
        <v>17</v>
      </c>
      <c r="C82" s="40" t="s">
        <v>1258</v>
      </c>
      <c r="D82" s="40" t="s">
        <v>1259</v>
      </c>
      <c r="E82" s="151" t="s">
        <v>1260</v>
      </c>
      <c r="F82" s="152" t="s">
        <v>339</v>
      </c>
    </row>
    <row r="83" ht="15.75" customHeight="1">
      <c r="A83" s="38">
        <v>45005.0</v>
      </c>
      <c r="B83" s="45" t="s">
        <v>5</v>
      </c>
      <c r="C83" s="40" t="s">
        <v>1261</v>
      </c>
      <c r="D83" s="40" t="s">
        <v>1262</v>
      </c>
      <c r="E83" s="151" t="s">
        <v>1263</v>
      </c>
      <c r="F83" s="152" t="s">
        <v>339</v>
      </c>
    </row>
    <row r="84">
      <c r="A84" s="38">
        <v>45005.0</v>
      </c>
      <c r="B84" s="45" t="s">
        <v>5</v>
      </c>
      <c r="C84" s="172" t="s">
        <v>1264</v>
      </c>
      <c r="D84" s="40" t="s">
        <v>1265</v>
      </c>
      <c r="E84" s="411" t="s">
        <v>1266</v>
      </c>
      <c r="F84" s="152" t="s">
        <v>339</v>
      </c>
    </row>
    <row r="85">
      <c r="A85" s="38">
        <v>45006.0</v>
      </c>
      <c r="B85" s="39" t="s">
        <v>11</v>
      </c>
      <c r="C85" s="40" t="s">
        <v>1104</v>
      </c>
      <c r="D85" s="40" t="s">
        <v>1267</v>
      </c>
      <c r="E85" s="151" t="s">
        <v>1268</v>
      </c>
      <c r="F85" s="112" t="s">
        <v>1269</v>
      </c>
    </row>
    <row r="86">
      <c r="A86" s="38">
        <v>45006.0</v>
      </c>
      <c r="B86" s="39" t="s">
        <v>11</v>
      </c>
      <c r="C86" s="40" t="s">
        <v>58</v>
      </c>
      <c r="D86" s="40" t="s">
        <v>1270</v>
      </c>
      <c r="E86" s="410" t="s">
        <v>1271</v>
      </c>
      <c r="F86" s="152" t="s">
        <v>339</v>
      </c>
    </row>
    <row r="87">
      <c r="A87" s="38">
        <v>45014.0</v>
      </c>
      <c r="B87" s="45" t="s">
        <v>5</v>
      </c>
      <c r="C87" s="242" t="s">
        <v>1272</v>
      </c>
      <c r="D87" s="40" t="s">
        <v>1273</v>
      </c>
      <c r="E87" s="410" t="s">
        <v>1274</v>
      </c>
      <c r="F87" s="152" t="s">
        <v>339</v>
      </c>
    </row>
    <row r="88">
      <c r="A88" s="38">
        <v>45014.0</v>
      </c>
      <c r="B88" s="39" t="s">
        <v>11</v>
      </c>
      <c r="C88" s="170" t="s">
        <v>58</v>
      </c>
      <c r="D88" s="40" t="s">
        <v>1275</v>
      </c>
      <c r="E88" s="410" t="s">
        <v>1276</v>
      </c>
      <c r="F88" s="152" t="s">
        <v>339</v>
      </c>
    </row>
    <row r="89">
      <c r="A89" s="38">
        <v>45015.0</v>
      </c>
      <c r="B89" s="39" t="s">
        <v>11</v>
      </c>
      <c r="C89" s="40" t="s">
        <v>1277</v>
      </c>
      <c r="D89" s="415" t="s">
        <v>1278</v>
      </c>
      <c r="E89" s="151" t="s">
        <v>1279</v>
      </c>
      <c r="F89" s="112" t="s">
        <v>1269</v>
      </c>
    </row>
    <row r="90">
      <c r="A90" s="38">
        <v>45016.0</v>
      </c>
      <c r="B90" s="39" t="s">
        <v>11</v>
      </c>
      <c r="C90" s="217" t="s">
        <v>1277</v>
      </c>
      <c r="D90" s="226" t="s">
        <v>1280</v>
      </c>
      <c r="E90" s="156" t="s">
        <v>1281</v>
      </c>
      <c r="F90" s="416" t="s">
        <v>1269</v>
      </c>
    </row>
    <row r="91">
      <c r="A91" s="38">
        <v>45017.0</v>
      </c>
      <c r="B91" s="69" t="s">
        <v>11</v>
      </c>
      <c r="C91" s="70" t="s">
        <v>77</v>
      </c>
      <c r="D91" s="417" t="s">
        <v>1282</v>
      </c>
      <c r="E91" s="418" t="s">
        <v>1283</v>
      </c>
      <c r="F91" s="112" t="s">
        <v>1269</v>
      </c>
    </row>
    <row r="92">
      <c r="A92" s="38">
        <v>45018.0</v>
      </c>
      <c r="B92" s="45" t="s">
        <v>5</v>
      </c>
      <c r="C92" s="40" t="s">
        <v>233</v>
      </c>
      <c r="D92" s="415" t="s">
        <v>1284</v>
      </c>
      <c r="E92" s="419" t="s">
        <v>1285</v>
      </c>
      <c r="F92" s="112" t="s">
        <v>339</v>
      </c>
    </row>
    <row r="93">
      <c r="A93" s="38">
        <v>45019.0</v>
      </c>
      <c r="B93" s="45" t="s">
        <v>17</v>
      </c>
      <c r="C93" s="40" t="s">
        <v>1286</v>
      </c>
      <c r="D93" s="415" t="s">
        <v>1287</v>
      </c>
      <c r="E93" s="420" t="s">
        <v>1288</v>
      </c>
      <c r="F93" s="152" t="s">
        <v>339</v>
      </c>
    </row>
    <row r="94">
      <c r="A94" s="38">
        <v>45019.0</v>
      </c>
      <c r="B94" s="45" t="s">
        <v>5</v>
      </c>
      <c r="C94" s="40" t="s">
        <v>1272</v>
      </c>
      <c r="D94" s="415" t="s">
        <v>1289</v>
      </c>
      <c r="E94" s="420" t="s">
        <v>1290</v>
      </c>
      <c r="F94" s="152" t="s">
        <v>339</v>
      </c>
    </row>
    <row r="95">
      <c r="A95" s="38">
        <v>45019.0</v>
      </c>
      <c r="B95" s="45" t="s">
        <v>17</v>
      </c>
      <c r="C95" s="40" t="s">
        <v>1291</v>
      </c>
      <c r="D95" s="415" t="s">
        <v>1292</v>
      </c>
      <c r="E95" s="420" t="s">
        <v>1293</v>
      </c>
      <c r="F95" s="152" t="s">
        <v>339</v>
      </c>
    </row>
    <row r="96">
      <c r="A96" s="38">
        <v>45021.0</v>
      </c>
      <c r="B96" s="45" t="s">
        <v>11</v>
      </c>
      <c r="C96" s="40" t="s">
        <v>58</v>
      </c>
      <c r="D96" s="415" t="s">
        <v>1294</v>
      </c>
      <c r="E96" s="420" t="s">
        <v>1295</v>
      </c>
      <c r="F96" s="152" t="s">
        <v>339</v>
      </c>
    </row>
    <row r="97">
      <c r="A97" s="38">
        <v>45030.0</v>
      </c>
      <c r="B97" s="45" t="s">
        <v>11</v>
      </c>
      <c r="C97" s="40" t="s">
        <v>1104</v>
      </c>
      <c r="D97" s="415" t="s">
        <v>1296</v>
      </c>
      <c r="E97" s="420" t="s">
        <v>1297</v>
      </c>
      <c r="F97" s="152" t="s">
        <v>339</v>
      </c>
    </row>
    <row r="98">
      <c r="A98" s="38">
        <v>45030.0</v>
      </c>
      <c r="B98" s="45" t="s">
        <v>11</v>
      </c>
      <c r="C98" s="40" t="s">
        <v>58</v>
      </c>
      <c r="D98" s="415" t="s">
        <v>1296</v>
      </c>
      <c r="E98" s="420" t="s">
        <v>1298</v>
      </c>
      <c r="F98" s="152" t="s">
        <v>339</v>
      </c>
    </row>
    <row r="99">
      <c r="A99" s="38">
        <v>45031.0</v>
      </c>
      <c r="B99" s="45" t="s">
        <v>17</v>
      </c>
      <c r="C99" s="242" t="s">
        <v>1299</v>
      </c>
      <c r="D99" s="415" t="s">
        <v>1300</v>
      </c>
      <c r="E99" s="410" t="s">
        <v>1301</v>
      </c>
      <c r="F99" s="152" t="s">
        <v>339</v>
      </c>
    </row>
    <row r="100">
      <c r="A100" s="38">
        <v>45043.0</v>
      </c>
      <c r="B100" s="45" t="s">
        <v>5</v>
      </c>
      <c r="C100" s="40" t="s">
        <v>1085</v>
      </c>
      <c r="D100" s="415" t="s">
        <v>1302</v>
      </c>
      <c r="E100" s="151" t="s">
        <v>1303</v>
      </c>
      <c r="F100" s="152" t="s">
        <v>339</v>
      </c>
    </row>
    <row r="101">
      <c r="A101" s="38">
        <v>45043.0</v>
      </c>
      <c r="B101" s="45" t="s">
        <v>5</v>
      </c>
      <c r="C101" s="40" t="s">
        <v>1085</v>
      </c>
      <c r="D101" s="415" t="s">
        <v>1304</v>
      </c>
      <c r="E101" s="151" t="s">
        <v>1305</v>
      </c>
      <c r="F101" s="152" t="s">
        <v>339</v>
      </c>
    </row>
    <row r="102">
      <c r="A102" s="38">
        <v>45043.0</v>
      </c>
      <c r="B102" s="45" t="s">
        <v>11</v>
      </c>
      <c r="C102" s="40" t="s">
        <v>1104</v>
      </c>
      <c r="D102" s="415" t="s">
        <v>1306</v>
      </c>
      <c r="E102" s="410" t="s">
        <v>1307</v>
      </c>
      <c r="F102" s="152" t="s">
        <v>339</v>
      </c>
    </row>
    <row r="103">
      <c r="A103" s="38">
        <v>45043.0</v>
      </c>
      <c r="B103" s="45" t="s">
        <v>11</v>
      </c>
      <c r="C103" s="40" t="s">
        <v>58</v>
      </c>
      <c r="D103" s="415" t="s">
        <v>1306</v>
      </c>
      <c r="E103" s="410" t="s">
        <v>1308</v>
      </c>
      <c r="F103" s="152" t="s">
        <v>339</v>
      </c>
    </row>
    <row r="104">
      <c r="A104" s="38">
        <v>45044.0</v>
      </c>
      <c r="B104" s="45" t="s">
        <v>11</v>
      </c>
      <c r="C104" s="40" t="s">
        <v>1104</v>
      </c>
      <c r="D104" s="415" t="s">
        <v>1309</v>
      </c>
      <c r="E104" s="151" t="s">
        <v>1310</v>
      </c>
      <c r="F104" s="152" t="s">
        <v>339</v>
      </c>
    </row>
    <row r="105">
      <c r="A105" s="38">
        <v>45044.0</v>
      </c>
      <c r="B105" s="45" t="s">
        <v>11</v>
      </c>
      <c r="C105" s="40" t="s">
        <v>58</v>
      </c>
      <c r="D105" s="415" t="s">
        <v>1309</v>
      </c>
      <c r="E105" s="151" t="s">
        <v>1311</v>
      </c>
      <c r="F105" s="152" t="s">
        <v>339</v>
      </c>
    </row>
    <row r="106">
      <c r="A106" s="38">
        <v>45044.0</v>
      </c>
      <c r="B106" s="421" t="s">
        <v>17</v>
      </c>
      <c r="C106" s="422" t="s">
        <v>1312</v>
      </c>
      <c r="D106" s="423" t="s">
        <v>1313</v>
      </c>
      <c r="E106" s="413" t="s">
        <v>1314</v>
      </c>
      <c r="F106" s="304" t="s">
        <v>339</v>
      </c>
    </row>
    <row r="107">
      <c r="A107" s="38">
        <v>45049.0</v>
      </c>
      <c r="B107" s="214" t="s">
        <v>11</v>
      </c>
      <c r="C107" s="185" t="s">
        <v>58</v>
      </c>
      <c r="D107" s="424" t="s">
        <v>1315</v>
      </c>
      <c r="E107" s="425" t="s">
        <v>1316</v>
      </c>
      <c r="F107" s="112" t="s">
        <v>339</v>
      </c>
    </row>
    <row r="108">
      <c r="A108" s="38">
        <v>45050.0</v>
      </c>
      <c r="B108" s="426" t="s">
        <v>11</v>
      </c>
      <c r="C108" s="172" t="s">
        <v>1317</v>
      </c>
      <c r="D108" s="415" t="s">
        <v>1318</v>
      </c>
      <c r="E108" s="410" t="s">
        <v>1319</v>
      </c>
      <c r="F108" s="112" t="s">
        <v>339</v>
      </c>
    </row>
    <row r="109">
      <c r="A109" s="38">
        <v>45049.0</v>
      </c>
      <c r="B109" s="45" t="s">
        <v>11</v>
      </c>
      <c r="C109" s="40" t="s">
        <v>77</v>
      </c>
      <c r="D109" s="415" t="s">
        <v>1320</v>
      </c>
      <c r="E109" s="151" t="s">
        <v>1321</v>
      </c>
      <c r="F109" s="152" t="s">
        <v>339</v>
      </c>
    </row>
    <row r="110">
      <c r="A110" s="38">
        <v>45049.0</v>
      </c>
      <c r="B110" s="39" t="s">
        <v>17</v>
      </c>
      <c r="C110" s="170" t="s">
        <v>1322</v>
      </c>
      <c r="D110" s="427" t="s">
        <v>1323</v>
      </c>
      <c r="E110" s="409" t="s">
        <v>1324</v>
      </c>
      <c r="F110" s="152" t="s">
        <v>339</v>
      </c>
    </row>
    <row r="111">
      <c r="A111" s="38">
        <v>45053.0</v>
      </c>
      <c r="B111" s="45" t="s">
        <v>11</v>
      </c>
      <c r="C111" s="40" t="s">
        <v>1143</v>
      </c>
      <c r="D111" s="54" t="s">
        <v>1325</v>
      </c>
      <c r="E111" s="151" t="s">
        <v>1326</v>
      </c>
      <c r="F111" s="152" t="s">
        <v>339</v>
      </c>
    </row>
    <row r="112">
      <c r="A112" s="38">
        <v>45053.0</v>
      </c>
      <c r="B112" s="45" t="s">
        <v>11</v>
      </c>
      <c r="C112" s="40" t="s">
        <v>58</v>
      </c>
      <c r="D112" s="54" t="s">
        <v>1327</v>
      </c>
      <c r="E112" s="151" t="s">
        <v>1328</v>
      </c>
      <c r="F112" s="152" t="s">
        <v>339</v>
      </c>
    </row>
    <row r="113">
      <c r="A113" s="38">
        <v>45061.0</v>
      </c>
      <c r="B113" s="45" t="s">
        <v>17</v>
      </c>
      <c r="C113" s="40" t="s">
        <v>1329</v>
      </c>
      <c r="D113" s="54" t="s">
        <v>1330</v>
      </c>
      <c r="E113" s="151" t="s">
        <v>1331</v>
      </c>
      <c r="F113" s="152" t="s">
        <v>339</v>
      </c>
    </row>
    <row r="114">
      <c r="A114" s="38">
        <v>45063.0</v>
      </c>
      <c r="B114" s="45" t="s">
        <v>11</v>
      </c>
      <c r="C114" s="40" t="s">
        <v>1143</v>
      </c>
      <c r="D114" s="54" t="s">
        <v>1332</v>
      </c>
      <c r="E114" s="151" t="s">
        <v>1333</v>
      </c>
      <c r="F114" s="152" t="s">
        <v>339</v>
      </c>
    </row>
    <row r="115">
      <c r="A115" s="38">
        <v>45071.0</v>
      </c>
      <c r="B115" s="39" t="s">
        <v>17</v>
      </c>
      <c r="C115" s="170" t="s">
        <v>1334</v>
      </c>
      <c r="D115" s="54" t="s">
        <v>1335</v>
      </c>
      <c r="E115" s="151" t="s">
        <v>1336</v>
      </c>
      <c r="F115" s="152" t="s">
        <v>339</v>
      </c>
    </row>
    <row r="116">
      <c r="A116" s="38">
        <v>45071.0</v>
      </c>
      <c r="B116" s="45" t="s">
        <v>17</v>
      </c>
      <c r="C116" s="40" t="s">
        <v>1337</v>
      </c>
      <c r="D116" s="54" t="s">
        <v>1338</v>
      </c>
      <c r="E116" s="151" t="s">
        <v>1339</v>
      </c>
      <c r="F116" s="152" t="s">
        <v>339</v>
      </c>
    </row>
    <row r="117">
      <c r="A117" s="38">
        <v>45072.0</v>
      </c>
      <c r="B117" s="45" t="s">
        <v>11</v>
      </c>
      <c r="C117" s="40" t="s">
        <v>1104</v>
      </c>
      <c r="D117" s="54" t="s">
        <v>1340</v>
      </c>
      <c r="E117" s="151" t="s">
        <v>1341</v>
      </c>
      <c r="F117" s="152" t="s">
        <v>339</v>
      </c>
    </row>
    <row r="118">
      <c r="A118" s="38">
        <v>45072.0</v>
      </c>
      <c r="B118" s="45" t="s">
        <v>11</v>
      </c>
      <c r="C118" s="40" t="s">
        <v>58</v>
      </c>
      <c r="D118" s="54" t="s">
        <v>1340</v>
      </c>
      <c r="E118" s="151" t="s">
        <v>1342</v>
      </c>
      <c r="F118" s="152" t="s">
        <v>339</v>
      </c>
    </row>
    <row r="119">
      <c r="A119" s="38">
        <v>45069.0</v>
      </c>
      <c r="B119" s="45" t="s">
        <v>11</v>
      </c>
      <c r="C119" s="40" t="s">
        <v>1104</v>
      </c>
      <c r="D119" s="54" t="s">
        <v>1343</v>
      </c>
      <c r="E119" s="407" t="s">
        <v>1344</v>
      </c>
      <c r="F119" s="152" t="s">
        <v>339</v>
      </c>
    </row>
    <row r="120">
      <c r="A120" s="38">
        <v>45077.0</v>
      </c>
      <c r="B120" s="45" t="s">
        <v>17</v>
      </c>
      <c r="C120" s="40" t="s">
        <v>1345</v>
      </c>
      <c r="D120" s="54" t="s">
        <v>1346</v>
      </c>
      <c r="E120" s="151" t="s">
        <v>1347</v>
      </c>
      <c r="F120" s="152" t="s">
        <v>339</v>
      </c>
    </row>
    <row r="121">
      <c r="A121" s="38">
        <v>45077.0</v>
      </c>
      <c r="B121" s="45" t="s">
        <v>11</v>
      </c>
      <c r="C121" s="40" t="s">
        <v>58</v>
      </c>
      <c r="D121" s="54" t="s">
        <v>1348</v>
      </c>
      <c r="E121" s="410" t="s">
        <v>1349</v>
      </c>
      <c r="F121" s="152" t="s">
        <v>339</v>
      </c>
    </row>
    <row r="122">
      <c r="A122" s="38">
        <v>45077.0</v>
      </c>
      <c r="B122" s="421" t="s">
        <v>17</v>
      </c>
      <c r="C122" s="422" t="s">
        <v>1350</v>
      </c>
      <c r="D122" s="428" t="s">
        <v>1351</v>
      </c>
      <c r="E122" s="429" t="s">
        <v>1352</v>
      </c>
      <c r="F122" s="304" t="s">
        <v>339</v>
      </c>
    </row>
    <row r="123">
      <c r="A123" s="38">
        <v>45085.0</v>
      </c>
      <c r="B123" s="45" t="s">
        <v>11</v>
      </c>
      <c r="C123" s="40" t="s">
        <v>1353</v>
      </c>
      <c r="D123" s="54" t="s">
        <v>1354</v>
      </c>
      <c r="E123" s="151" t="s">
        <v>1355</v>
      </c>
      <c r="F123" s="112" t="s">
        <v>339</v>
      </c>
    </row>
    <row r="124">
      <c r="A124" s="38">
        <v>45085.0</v>
      </c>
      <c r="B124" s="39" t="s">
        <v>11</v>
      </c>
      <c r="C124" s="170" t="s">
        <v>1143</v>
      </c>
      <c r="D124" s="430" t="s">
        <v>1356</v>
      </c>
      <c r="E124" s="409" t="s">
        <v>1357</v>
      </c>
      <c r="F124" s="112" t="s">
        <v>339</v>
      </c>
    </row>
    <row r="125">
      <c r="A125" s="38">
        <v>45088.0</v>
      </c>
      <c r="B125" s="39" t="s">
        <v>17</v>
      </c>
      <c r="C125" s="170" t="s">
        <v>1358</v>
      </c>
      <c r="D125" s="430" t="s">
        <v>1359</v>
      </c>
      <c r="E125" s="409" t="s">
        <v>1360</v>
      </c>
      <c r="F125" s="112" t="s">
        <v>339</v>
      </c>
    </row>
    <row r="126">
      <c r="A126" s="38">
        <v>45089.0</v>
      </c>
      <c r="B126" s="39" t="s">
        <v>5</v>
      </c>
      <c r="C126" s="170" t="s">
        <v>1361</v>
      </c>
      <c r="D126" s="430" t="s">
        <v>1362</v>
      </c>
      <c r="E126" s="409" t="s">
        <v>1363</v>
      </c>
      <c r="F126" s="112" t="s">
        <v>1269</v>
      </c>
    </row>
    <row r="127">
      <c r="A127" s="38">
        <v>45091.0</v>
      </c>
      <c r="B127" s="45" t="s">
        <v>11</v>
      </c>
      <c r="C127" s="40" t="s">
        <v>58</v>
      </c>
      <c r="D127" s="54" t="s">
        <v>1364</v>
      </c>
      <c r="E127" s="151" t="s">
        <v>1365</v>
      </c>
      <c r="F127" s="112" t="s">
        <v>339</v>
      </c>
    </row>
    <row r="128">
      <c r="A128" s="38">
        <v>45092.0</v>
      </c>
      <c r="B128" s="39" t="s">
        <v>17</v>
      </c>
      <c r="C128" s="242" t="s">
        <v>1366</v>
      </c>
      <c r="D128" s="54" t="s">
        <v>1367</v>
      </c>
      <c r="E128" s="410" t="s">
        <v>1368</v>
      </c>
      <c r="F128" s="112" t="s">
        <v>339</v>
      </c>
    </row>
    <row r="129">
      <c r="A129" s="38">
        <v>45092.0</v>
      </c>
      <c r="B129" s="45" t="s">
        <v>11</v>
      </c>
      <c r="C129" s="40" t="s">
        <v>77</v>
      </c>
      <c r="D129" s="14" t="s">
        <v>1369</v>
      </c>
      <c r="E129" s="393" t="s">
        <v>1370</v>
      </c>
      <c r="F129" s="112" t="s">
        <v>1269</v>
      </c>
    </row>
    <row r="130">
      <c r="A130" s="38">
        <v>45093.0</v>
      </c>
      <c r="B130" s="45" t="s">
        <v>11</v>
      </c>
      <c r="C130" s="40" t="s">
        <v>1143</v>
      </c>
      <c r="D130" s="54" t="s">
        <v>1371</v>
      </c>
      <c r="E130" s="410" t="s">
        <v>1372</v>
      </c>
      <c r="F130" s="112" t="s">
        <v>339</v>
      </c>
    </row>
    <row r="131">
      <c r="A131" s="38">
        <v>45096.0</v>
      </c>
      <c r="B131" s="45" t="s">
        <v>11</v>
      </c>
      <c r="C131" s="40" t="s">
        <v>1373</v>
      </c>
      <c r="D131" s="291" t="s">
        <v>1374</v>
      </c>
      <c r="E131" s="104" t="s">
        <v>1375</v>
      </c>
      <c r="F131" s="112" t="s">
        <v>339</v>
      </c>
    </row>
    <row r="132">
      <c r="A132" s="38">
        <v>45096.0</v>
      </c>
      <c r="B132" s="39" t="s">
        <v>17</v>
      </c>
      <c r="C132" s="40" t="s">
        <v>1376</v>
      </c>
      <c r="D132" s="64" t="s">
        <v>1377</v>
      </c>
      <c r="E132" s="104" t="s">
        <v>1378</v>
      </c>
      <c r="F132" s="112" t="s">
        <v>339</v>
      </c>
    </row>
    <row r="133">
      <c r="A133" s="38">
        <v>45096.0</v>
      </c>
      <c r="B133" s="45" t="s">
        <v>11</v>
      </c>
      <c r="C133" s="40" t="s">
        <v>1104</v>
      </c>
      <c r="D133" s="54" t="s">
        <v>1379</v>
      </c>
      <c r="E133" s="104" t="s">
        <v>1380</v>
      </c>
      <c r="F133" s="112" t="s">
        <v>1269</v>
      </c>
    </row>
    <row r="134">
      <c r="A134" s="38">
        <v>45096.0</v>
      </c>
      <c r="B134" s="39" t="s">
        <v>5</v>
      </c>
      <c r="C134" s="40" t="s">
        <v>1381</v>
      </c>
      <c r="D134" s="64" t="s">
        <v>1377</v>
      </c>
      <c r="E134" s="151" t="s">
        <v>1382</v>
      </c>
      <c r="F134" s="112" t="s">
        <v>339</v>
      </c>
    </row>
    <row r="135">
      <c r="A135" s="38">
        <v>45096.0</v>
      </c>
      <c r="B135" s="39" t="s">
        <v>5</v>
      </c>
      <c r="C135" s="40" t="s">
        <v>129</v>
      </c>
      <c r="D135" s="64" t="s">
        <v>1377</v>
      </c>
      <c r="E135" s="151" t="s">
        <v>1383</v>
      </c>
      <c r="F135" s="112" t="s">
        <v>339</v>
      </c>
    </row>
    <row r="136">
      <c r="A136" s="38">
        <v>45097.0</v>
      </c>
      <c r="B136" s="39" t="s">
        <v>17</v>
      </c>
      <c r="C136" s="40" t="s">
        <v>1384</v>
      </c>
      <c r="D136" s="64" t="s">
        <v>1385</v>
      </c>
      <c r="E136" s="151" t="s">
        <v>1386</v>
      </c>
      <c r="F136" s="112" t="s">
        <v>339</v>
      </c>
    </row>
    <row r="137">
      <c r="A137" s="38">
        <v>45098.0</v>
      </c>
      <c r="B137" s="45" t="s">
        <v>11</v>
      </c>
      <c r="C137" s="40" t="s">
        <v>1387</v>
      </c>
      <c r="D137" s="54" t="s">
        <v>1388</v>
      </c>
      <c r="E137" s="151" t="s">
        <v>1389</v>
      </c>
      <c r="F137" s="112" t="s">
        <v>339</v>
      </c>
    </row>
    <row r="138">
      <c r="A138" s="38">
        <v>45099.0</v>
      </c>
      <c r="B138" s="45" t="s">
        <v>11</v>
      </c>
      <c r="C138" s="40" t="s">
        <v>1143</v>
      </c>
      <c r="D138" s="54" t="s">
        <v>1390</v>
      </c>
      <c r="E138" s="104" t="s">
        <v>1391</v>
      </c>
      <c r="F138" s="112" t="s">
        <v>1269</v>
      </c>
    </row>
    <row r="139">
      <c r="A139" s="38">
        <v>45099.0</v>
      </c>
      <c r="B139" s="39" t="s">
        <v>11</v>
      </c>
      <c r="C139" s="40" t="s">
        <v>1143</v>
      </c>
      <c r="D139" s="54" t="s">
        <v>1392</v>
      </c>
      <c r="E139" s="151" t="s">
        <v>1393</v>
      </c>
      <c r="F139" s="112" t="s">
        <v>339</v>
      </c>
    </row>
    <row r="140">
      <c r="A140" s="38">
        <v>45099.0</v>
      </c>
      <c r="B140" s="39" t="s">
        <v>5</v>
      </c>
      <c r="C140" s="40" t="s">
        <v>233</v>
      </c>
      <c r="D140" s="54" t="s">
        <v>1394</v>
      </c>
      <c r="E140" s="151" t="s">
        <v>1395</v>
      </c>
      <c r="F140" s="112" t="s">
        <v>339</v>
      </c>
    </row>
    <row r="141">
      <c r="A141" s="38">
        <v>45099.0</v>
      </c>
      <c r="B141" s="39" t="s">
        <v>5</v>
      </c>
      <c r="C141" s="40" t="s">
        <v>1264</v>
      </c>
      <c r="D141" s="54" t="s">
        <v>1394</v>
      </c>
      <c r="E141" s="151" t="s">
        <v>1396</v>
      </c>
      <c r="F141" s="112" t="s">
        <v>339</v>
      </c>
    </row>
    <row r="142">
      <c r="A142" s="38">
        <v>45099.0</v>
      </c>
      <c r="B142" s="45" t="s">
        <v>11</v>
      </c>
      <c r="C142" s="40" t="s">
        <v>58</v>
      </c>
      <c r="D142" s="54" t="s">
        <v>1397</v>
      </c>
      <c r="E142" s="151" t="s">
        <v>1398</v>
      </c>
      <c r="F142" s="112" t="s">
        <v>339</v>
      </c>
    </row>
    <row r="143">
      <c r="A143" s="38">
        <v>45099.0</v>
      </c>
      <c r="B143" s="39" t="s">
        <v>17</v>
      </c>
      <c r="C143" s="40" t="s">
        <v>1399</v>
      </c>
      <c r="D143" s="54" t="s">
        <v>1400</v>
      </c>
      <c r="E143" s="151" t="s">
        <v>1401</v>
      </c>
      <c r="F143" s="112" t="s">
        <v>339</v>
      </c>
    </row>
    <row r="144">
      <c r="A144" s="38">
        <v>45100.0</v>
      </c>
      <c r="B144" s="39" t="s">
        <v>5</v>
      </c>
      <c r="C144" s="40" t="s">
        <v>1402</v>
      </c>
      <c r="D144" s="54" t="s">
        <v>1403</v>
      </c>
      <c r="E144" s="151" t="s">
        <v>1404</v>
      </c>
      <c r="F144" s="112" t="s">
        <v>339</v>
      </c>
    </row>
    <row r="145">
      <c r="A145" s="38">
        <v>45102.0</v>
      </c>
      <c r="B145" s="39" t="s">
        <v>17</v>
      </c>
      <c r="C145" s="40" t="s">
        <v>1405</v>
      </c>
      <c r="D145" s="54" t="s">
        <v>1377</v>
      </c>
      <c r="E145" s="151" t="s">
        <v>1406</v>
      </c>
      <c r="F145" s="112" t="s">
        <v>339</v>
      </c>
    </row>
    <row r="146">
      <c r="A146" s="38">
        <v>45103.0</v>
      </c>
      <c r="B146" s="39" t="s">
        <v>17</v>
      </c>
      <c r="C146" s="40" t="s">
        <v>1407</v>
      </c>
      <c r="D146" s="54" t="s">
        <v>1408</v>
      </c>
      <c r="E146" s="151" t="s">
        <v>1409</v>
      </c>
      <c r="F146" s="112" t="s">
        <v>339</v>
      </c>
    </row>
    <row r="147">
      <c r="A147" s="38">
        <v>45103.0</v>
      </c>
      <c r="B147" s="39" t="s">
        <v>17</v>
      </c>
      <c r="C147" s="40" t="s">
        <v>1410</v>
      </c>
      <c r="D147" s="54" t="s">
        <v>1411</v>
      </c>
      <c r="E147" s="151" t="s">
        <v>1412</v>
      </c>
      <c r="F147" s="112" t="s">
        <v>339</v>
      </c>
    </row>
    <row r="148">
      <c r="A148" s="38">
        <v>45103.0</v>
      </c>
      <c r="B148" s="39" t="s">
        <v>17</v>
      </c>
      <c r="C148" s="40" t="s">
        <v>1413</v>
      </c>
      <c r="D148" s="54" t="s">
        <v>1414</v>
      </c>
      <c r="E148" s="151" t="s">
        <v>1415</v>
      </c>
      <c r="F148" s="112" t="s">
        <v>339</v>
      </c>
    </row>
    <row r="149">
      <c r="A149" s="38">
        <v>45103.0</v>
      </c>
      <c r="B149" s="45" t="s">
        <v>11</v>
      </c>
      <c r="C149" s="40" t="s">
        <v>336</v>
      </c>
      <c r="D149" s="54" t="s">
        <v>1416</v>
      </c>
      <c r="E149" s="151" t="s">
        <v>1417</v>
      </c>
      <c r="F149" s="112" t="s">
        <v>339</v>
      </c>
    </row>
    <row r="150">
      <c r="A150" s="38">
        <v>45105.0</v>
      </c>
      <c r="B150" s="431" t="s">
        <v>17</v>
      </c>
      <c r="C150" s="226" t="s">
        <v>1418</v>
      </c>
      <c r="D150" s="64" t="s">
        <v>1419</v>
      </c>
      <c r="E150" s="156" t="s">
        <v>1420</v>
      </c>
      <c r="F150" s="112" t="s">
        <v>339</v>
      </c>
    </row>
    <row r="151">
      <c r="A151" s="297">
        <v>45105.0</v>
      </c>
      <c r="B151" s="298" t="s">
        <v>5</v>
      </c>
      <c r="C151" s="299" t="s">
        <v>1421</v>
      </c>
      <c r="D151" s="432" t="s">
        <v>1419</v>
      </c>
      <c r="E151" s="408" t="s">
        <v>1422</v>
      </c>
      <c r="F151" s="416" t="s">
        <v>339</v>
      </c>
    </row>
    <row r="152">
      <c r="A152" s="204">
        <v>45110.0</v>
      </c>
      <c r="B152" s="39" t="s">
        <v>11</v>
      </c>
      <c r="C152" s="170" t="s">
        <v>58</v>
      </c>
      <c r="D152" s="427" t="s">
        <v>1423</v>
      </c>
      <c r="E152" s="409" t="s">
        <v>1424</v>
      </c>
      <c r="F152" s="112" t="s">
        <v>339</v>
      </c>
    </row>
    <row r="153">
      <c r="A153" s="38">
        <v>45112.0</v>
      </c>
      <c r="B153" s="39" t="s">
        <v>11</v>
      </c>
      <c r="C153" s="40" t="s">
        <v>1143</v>
      </c>
      <c r="D153" s="54" t="s">
        <v>1425</v>
      </c>
      <c r="E153" s="151" t="s">
        <v>1426</v>
      </c>
      <c r="F153" s="112" t="s">
        <v>339</v>
      </c>
    </row>
    <row r="154">
      <c r="A154" s="38">
        <v>45114.0</v>
      </c>
      <c r="B154" s="39" t="s">
        <v>5</v>
      </c>
      <c r="C154" s="40" t="s">
        <v>1402</v>
      </c>
      <c r="D154" s="54" t="s">
        <v>1427</v>
      </c>
      <c r="E154" s="151" t="s">
        <v>1428</v>
      </c>
      <c r="F154" s="112" t="s">
        <v>339</v>
      </c>
    </row>
    <row r="155">
      <c r="A155" s="38">
        <v>45116.0</v>
      </c>
      <c r="B155" s="431" t="s">
        <v>17</v>
      </c>
      <c r="C155" s="40" t="s">
        <v>1429</v>
      </c>
      <c r="D155" s="54" t="s">
        <v>1430</v>
      </c>
      <c r="E155" s="151" t="s">
        <v>1431</v>
      </c>
      <c r="F155" s="112" t="s">
        <v>339</v>
      </c>
    </row>
    <row r="156">
      <c r="A156" s="38">
        <v>45116.0</v>
      </c>
      <c r="B156" s="431" t="s">
        <v>17</v>
      </c>
      <c r="C156" s="40" t="s">
        <v>1432</v>
      </c>
      <c r="D156" s="54" t="s">
        <v>1433</v>
      </c>
      <c r="E156" s="151" t="s">
        <v>1434</v>
      </c>
      <c r="F156" s="112" t="s">
        <v>339</v>
      </c>
    </row>
    <row r="157">
      <c r="A157" s="38">
        <v>45122.0</v>
      </c>
      <c r="B157" s="431" t="s">
        <v>17</v>
      </c>
      <c r="C157" s="40" t="s">
        <v>1435</v>
      </c>
      <c r="D157" s="54" t="s">
        <v>1436</v>
      </c>
      <c r="E157" s="411" t="s">
        <v>1437</v>
      </c>
      <c r="F157" s="112" t="s">
        <v>339</v>
      </c>
    </row>
    <row r="158">
      <c r="A158" s="38">
        <v>45120.0</v>
      </c>
      <c r="B158" s="45" t="s">
        <v>11</v>
      </c>
      <c r="C158" s="40" t="s">
        <v>58</v>
      </c>
      <c r="D158" s="54" t="s">
        <v>1438</v>
      </c>
      <c r="E158" s="411" t="s">
        <v>1439</v>
      </c>
      <c r="F158" s="112" t="s">
        <v>339</v>
      </c>
    </row>
    <row r="159">
      <c r="A159" s="38">
        <v>45119.0</v>
      </c>
      <c r="B159" s="45" t="s">
        <v>11</v>
      </c>
      <c r="C159" s="40" t="s">
        <v>58</v>
      </c>
      <c r="D159" s="54" t="s">
        <v>1440</v>
      </c>
      <c r="E159" s="151" t="s">
        <v>1441</v>
      </c>
      <c r="F159" s="112" t="s">
        <v>1442</v>
      </c>
    </row>
    <row r="160">
      <c r="A160" s="38">
        <v>45124.0</v>
      </c>
      <c r="B160" s="45" t="s">
        <v>11</v>
      </c>
      <c r="C160" s="40" t="s">
        <v>1067</v>
      </c>
      <c r="D160" s="54" t="s">
        <v>1443</v>
      </c>
      <c r="E160" s="107" t="s">
        <v>1444</v>
      </c>
      <c r="F160" s="112" t="s">
        <v>339</v>
      </c>
    </row>
    <row r="161">
      <c r="A161" s="38">
        <v>45124.0</v>
      </c>
      <c r="B161" s="45" t="s">
        <v>11</v>
      </c>
      <c r="C161" s="40" t="s">
        <v>1104</v>
      </c>
      <c r="D161" s="54" t="s">
        <v>1445</v>
      </c>
      <c r="E161" s="410" t="s">
        <v>1446</v>
      </c>
      <c r="F161" s="112" t="s">
        <v>339</v>
      </c>
    </row>
    <row r="162">
      <c r="A162" s="38">
        <v>45124.0</v>
      </c>
      <c r="B162" s="45" t="s">
        <v>11</v>
      </c>
      <c r="C162" s="40" t="s">
        <v>1447</v>
      </c>
      <c r="D162" s="291" t="s">
        <v>1448</v>
      </c>
      <c r="E162" s="151" t="s">
        <v>1449</v>
      </c>
      <c r="F162" s="112" t="s">
        <v>1450</v>
      </c>
    </row>
    <row r="163">
      <c r="A163" s="38">
        <v>45120.0</v>
      </c>
      <c r="B163" s="45" t="s">
        <v>11</v>
      </c>
      <c r="C163" s="40" t="s">
        <v>58</v>
      </c>
      <c r="D163" s="54" t="s">
        <v>1451</v>
      </c>
      <c r="E163" s="151" t="s">
        <v>1452</v>
      </c>
      <c r="F163" s="112" t="s">
        <v>339</v>
      </c>
    </row>
    <row r="164">
      <c r="A164" s="38">
        <v>45124.0</v>
      </c>
      <c r="B164" s="39" t="s">
        <v>5</v>
      </c>
      <c r="C164" s="40" t="s">
        <v>1453</v>
      </c>
      <c r="D164" s="54" t="s">
        <v>1454</v>
      </c>
      <c r="E164" s="151" t="s">
        <v>1455</v>
      </c>
      <c r="F164" s="112" t="s">
        <v>339</v>
      </c>
    </row>
    <row r="165">
      <c r="A165" s="38">
        <v>45124.0</v>
      </c>
      <c r="B165" s="45" t="s">
        <v>11</v>
      </c>
      <c r="C165" s="40" t="s">
        <v>1104</v>
      </c>
      <c r="D165" s="54" t="s">
        <v>1456</v>
      </c>
      <c r="E165" s="107" t="s">
        <v>1457</v>
      </c>
      <c r="F165" s="112" t="s">
        <v>1450</v>
      </c>
    </row>
    <row r="166">
      <c r="A166" s="38">
        <v>45125.0</v>
      </c>
      <c r="B166" s="45" t="s">
        <v>11</v>
      </c>
      <c r="C166" s="40" t="s">
        <v>1104</v>
      </c>
      <c r="D166" s="54" t="s">
        <v>1443</v>
      </c>
      <c r="E166" s="151" t="s">
        <v>1458</v>
      </c>
      <c r="F166" s="112" t="s">
        <v>339</v>
      </c>
    </row>
    <row r="167">
      <c r="A167" s="38">
        <v>45125.0</v>
      </c>
      <c r="B167" s="45" t="s">
        <v>11</v>
      </c>
      <c r="C167" s="40" t="s">
        <v>58</v>
      </c>
      <c r="D167" s="54" t="s">
        <v>1443</v>
      </c>
      <c r="E167" s="151" t="s">
        <v>1459</v>
      </c>
      <c r="F167" s="112" t="s">
        <v>339</v>
      </c>
    </row>
    <row r="168">
      <c r="A168" s="38">
        <v>45125.0</v>
      </c>
      <c r="B168" s="45" t="s">
        <v>11</v>
      </c>
      <c r="C168" s="40" t="s">
        <v>58</v>
      </c>
      <c r="D168" s="54" t="s">
        <v>1460</v>
      </c>
      <c r="E168" s="151" t="s">
        <v>1461</v>
      </c>
      <c r="F168" s="112" t="s">
        <v>339</v>
      </c>
    </row>
    <row r="169">
      <c r="A169" s="38">
        <v>45125.0</v>
      </c>
      <c r="B169" s="45" t="s">
        <v>11</v>
      </c>
      <c r="C169" s="40" t="s">
        <v>1104</v>
      </c>
      <c r="D169" s="54" t="s">
        <v>1460</v>
      </c>
      <c r="E169" s="151" t="s">
        <v>1462</v>
      </c>
      <c r="F169" s="112" t="s">
        <v>339</v>
      </c>
    </row>
    <row r="170">
      <c r="A170" s="38">
        <v>45127.0</v>
      </c>
      <c r="B170" s="45" t="s">
        <v>11</v>
      </c>
      <c r="C170" s="40" t="s">
        <v>58</v>
      </c>
      <c r="D170" s="54" t="s">
        <v>1463</v>
      </c>
      <c r="E170" s="151" t="s">
        <v>1464</v>
      </c>
      <c r="F170" s="112" t="s">
        <v>1465</v>
      </c>
    </row>
    <row r="171">
      <c r="A171" s="38">
        <v>45131.0</v>
      </c>
      <c r="B171" s="45" t="s">
        <v>11</v>
      </c>
      <c r="C171" s="40" t="s">
        <v>1104</v>
      </c>
      <c r="D171" s="54" t="s">
        <v>1466</v>
      </c>
      <c r="E171" s="433" t="s">
        <v>1467</v>
      </c>
      <c r="F171" s="112" t="s">
        <v>1465</v>
      </c>
    </row>
    <row r="172">
      <c r="A172" s="38">
        <v>45131.0</v>
      </c>
      <c r="B172" s="45" t="s">
        <v>11</v>
      </c>
      <c r="C172" s="40" t="s">
        <v>58</v>
      </c>
      <c r="D172" s="54" t="s">
        <v>1468</v>
      </c>
      <c r="E172" s="410" t="s">
        <v>1469</v>
      </c>
      <c r="F172" s="112" t="s">
        <v>1442</v>
      </c>
    </row>
    <row r="173">
      <c r="A173" s="38">
        <v>45131.0</v>
      </c>
      <c r="B173" s="45" t="s">
        <v>11</v>
      </c>
      <c r="C173" s="40" t="s">
        <v>77</v>
      </c>
      <c r="D173" s="54" t="s">
        <v>1470</v>
      </c>
      <c r="E173" s="410" t="s">
        <v>1471</v>
      </c>
      <c r="F173" s="152" t="s">
        <v>1472</v>
      </c>
    </row>
    <row r="174">
      <c r="A174" s="38">
        <v>45132.0</v>
      </c>
      <c r="B174" s="45" t="s">
        <v>11</v>
      </c>
      <c r="C174" s="40" t="s">
        <v>374</v>
      </c>
      <c r="D174" s="54" t="s">
        <v>1473</v>
      </c>
      <c r="E174" s="151" t="s">
        <v>1474</v>
      </c>
      <c r="F174" s="112" t="s">
        <v>339</v>
      </c>
    </row>
    <row r="175">
      <c r="A175" s="38">
        <v>45132.0</v>
      </c>
      <c r="B175" s="45" t="s">
        <v>11</v>
      </c>
      <c r="C175" s="40" t="s">
        <v>1447</v>
      </c>
      <c r="D175" s="291" t="s">
        <v>1475</v>
      </c>
      <c r="E175" s="410" t="s">
        <v>1476</v>
      </c>
      <c r="F175" s="112" t="s">
        <v>1465</v>
      </c>
    </row>
    <row r="176">
      <c r="A176" s="38">
        <v>45132.0</v>
      </c>
      <c r="B176" s="45" t="s">
        <v>11</v>
      </c>
      <c r="C176" s="40" t="s">
        <v>1104</v>
      </c>
      <c r="D176" s="291" t="s">
        <v>1475</v>
      </c>
      <c r="E176" s="410" t="s">
        <v>1477</v>
      </c>
      <c r="F176" s="112" t="s">
        <v>1465</v>
      </c>
    </row>
    <row r="177">
      <c r="A177" s="38">
        <v>45133.0</v>
      </c>
      <c r="B177" s="45" t="s">
        <v>11</v>
      </c>
      <c r="C177" s="40" t="s">
        <v>336</v>
      </c>
      <c r="D177" s="54" t="s">
        <v>1478</v>
      </c>
      <c r="E177" s="151" t="s">
        <v>1479</v>
      </c>
      <c r="F177" s="112" t="s">
        <v>1465</v>
      </c>
    </row>
    <row r="178">
      <c r="A178" s="38">
        <v>45133.0</v>
      </c>
      <c r="B178" s="45" t="s">
        <v>11</v>
      </c>
      <c r="C178" s="40" t="s">
        <v>77</v>
      </c>
      <c r="D178" s="291" t="s">
        <v>1480</v>
      </c>
      <c r="E178" s="410" t="s">
        <v>1481</v>
      </c>
      <c r="F178" s="152" t="s">
        <v>1472</v>
      </c>
    </row>
    <row r="179">
      <c r="A179" s="38">
        <v>45134.0</v>
      </c>
      <c r="B179" s="45" t="s">
        <v>11</v>
      </c>
      <c r="C179" s="40" t="s">
        <v>336</v>
      </c>
      <c r="D179" s="291" t="s">
        <v>1482</v>
      </c>
      <c r="E179" s="410" t="s">
        <v>1483</v>
      </c>
      <c r="F179" s="152" t="s">
        <v>339</v>
      </c>
    </row>
    <row r="180">
      <c r="A180" s="38">
        <v>45135.0</v>
      </c>
      <c r="B180" s="45" t="s">
        <v>11</v>
      </c>
      <c r="C180" s="242" t="s">
        <v>1277</v>
      </c>
      <c r="D180" s="291" t="s">
        <v>1484</v>
      </c>
      <c r="E180" s="410" t="s">
        <v>1485</v>
      </c>
      <c r="F180" s="152" t="s">
        <v>339</v>
      </c>
    </row>
    <row r="181">
      <c r="A181" s="38">
        <v>45136.0</v>
      </c>
      <c r="B181" s="39" t="s">
        <v>17</v>
      </c>
      <c r="C181" s="40" t="s">
        <v>1486</v>
      </c>
      <c r="D181" s="54" t="s">
        <v>1487</v>
      </c>
      <c r="E181" s="151" t="s">
        <v>1488</v>
      </c>
      <c r="F181" s="152"/>
    </row>
    <row r="182">
      <c r="A182" s="38">
        <v>45137.0</v>
      </c>
      <c r="B182" s="39" t="s">
        <v>17</v>
      </c>
      <c r="C182" s="242" t="s">
        <v>1489</v>
      </c>
      <c r="D182" s="291" t="s">
        <v>1490</v>
      </c>
      <c r="E182" s="410" t="s">
        <v>1491</v>
      </c>
      <c r="F182" s="152" t="s">
        <v>339</v>
      </c>
    </row>
    <row r="183">
      <c r="A183" s="63">
        <v>45138.0</v>
      </c>
      <c r="B183" s="319" t="s">
        <v>11</v>
      </c>
      <c r="C183" s="299" t="s">
        <v>1143</v>
      </c>
      <c r="D183" s="434" t="s">
        <v>1492</v>
      </c>
      <c r="E183" s="413" t="s">
        <v>1493</v>
      </c>
      <c r="F183" s="304" t="s">
        <v>339</v>
      </c>
    </row>
    <row r="184">
      <c r="A184" s="68">
        <v>45140.0</v>
      </c>
      <c r="B184" s="45" t="s">
        <v>11</v>
      </c>
      <c r="C184" s="40" t="s">
        <v>58</v>
      </c>
      <c r="D184" s="107" t="s">
        <v>1494</v>
      </c>
      <c r="E184" s="409" t="s">
        <v>1495</v>
      </c>
      <c r="F184" s="152" t="s">
        <v>339</v>
      </c>
    </row>
    <row r="185">
      <c r="A185" s="38">
        <v>45140.0</v>
      </c>
      <c r="B185" s="45" t="s">
        <v>11</v>
      </c>
      <c r="C185" s="40" t="s">
        <v>1104</v>
      </c>
      <c r="D185" s="107" t="s">
        <v>1496</v>
      </c>
      <c r="E185" s="151" t="s">
        <v>1497</v>
      </c>
      <c r="F185" s="152" t="s">
        <v>339</v>
      </c>
    </row>
    <row r="186">
      <c r="A186" s="38">
        <v>45141.0</v>
      </c>
      <c r="B186" s="45" t="s">
        <v>11</v>
      </c>
      <c r="C186" s="40" t="s">
        <v>58</v>
      </c>
      <c r="D186" s="107" t="s">
        <v>1498</v>
      </c>
      <c r="E186" s="410" t="s">
        <v>1499</v>
      </c>
      <c r="F186" s="152" t="s">
        <v>339</v>
      </c>
    </row>
    <row r="187">
      <c r="A187" s="38">
        <v>45153.0</v>
      </c>
      <c r="B187" s="45" t="s">
        <v>5</v>
      </c>
      <c r="C187" s="242" t="s">
        <v>1500</v>
      </c>
      <c r="D187" s="433" t="s">
        <v>1501</v>
      </c>
      <c r="E187" s="410" t="s">
        <v>1502</v>
      </c>
      <c r="F187" s="152" t="s">
        <v>339</v>
      </c>
    </row>
    <row r="188">
      <c r="A188" s="38">
        <v>45155.0</v>
      </c>
      <c r="B188" s="45" t="s">
        <v>11</v>
      </c>
      <c r="C188" s="40" t="s">
        <v>1222</v>
      </c>
      <c r="D188" s="107" t="s">
        <v>1503</v>
      </c>
      <c r="E188" s="151" t="s">
        <v>1504</v>
      </c>
      <c r="F188" s="152" t="s">
        <v>339</v>
      </c>
    </row>
    <row r="189">
      <c r="A189" s="38">
        <v>45155.0</v>
      </c>
      <c r="B189" s="45" t="s">
        <v>11</v>
      </c>
      <c r="C189" s="40" t="s">
        <v>58</v>
      </c>
      <c r="D189" s="107" t="s">
        <v>1503</v>
      </c>
      <c r="E189" s="410" t="s">
        <v>1505</v>
      </c>
      <c r="F189" s="152" t="s">
        <v>339</v>
      </c>
    </row>
    <row r="190">
      <c r="A190" s="38">
        <v>45155.0</v>
      </c>
      <c r="B190" s="45" t="s">
        <v>11</v>
      </c>
      <c r="C190" s="40" t="s">
        <v>1143</v>
      </c>
      <c r="D190" s="435" t="s">
        <v>1506</v>
      </c>
      <c r="E190" s="151" t="s">
        <v>1507</v>
      </c>
      <c r="F190" s="152" t="s">
        <v>339</v>
      </c>
    </row>
    <row r="191">
      <c r="A191" s="38">
        <v>45156.0</v>
      </c>
      <c r="B191" s="39" t="s">
        <v>17</v>
      </c>
      <c r="C191" s="242" t="s">
        <v>1117</v>
      </c>
      <c r="D191" s="107" t="s">
        <v>1118</v>
      </c>
      <c r="E191" s="151" t="s">
        <v>1508</v>
      </c>
      <c r="F191" s="152" t="s">
        <v>339</v>
      </c>
    </row>
    <row r="192">
      <c r="A192" s="38">
        <v>45156.0</v>
      </c>
      <c r="B192" s="45" t="s">
        <v>11</v>
      </c>
      <c r="C192" s="242" t="s">
        <v>949</v>
      </c>
      <c r="D192" s="107" t="s">
        <v>1509</v>
      </c>
      <c r="E192" s="410" t="s">
        <v>1510</v>
      </c>
      <c r="F192" s="152" t="s">
        <v>339</v>
      </c>
    </row>
    <row r="193">
      <c r="A193" s="38">
        <v>45159.0</v>
      </c>
      <c r="B193" s="45" t="s">
        <v>5</v>
      </c>
      <c r="C193" s="40" t="s">
        <v>1511</v>
      </c>
      <c r="D193" s="433" t="s">
        <v>1512</v>
      </c>
      <c r="E193" s="410" t="s">
        <v>1513</v>
      </c>
      <c r="F193" s="152" t="s">
        <v>339</v>
      </c>
    </row>
    <row r="194">
      <c r="A194" s="38">
        <v>45160.0</v>
      </c>
      <c r="B194" s="39" t="s">
        <v>11</v>
      </c>
      <c r="C194" s="40" t="s">
        <v>1514</v>
      </c>
      <c r="D194" s="433" t="s">
        <v>1515</v>
      </c>
      <c r="E194" s="410" t="s">
        <v>1516</v>
      </c>
      <c r="F194" s="152" t="s">
        <v>339</v>
      </c>
    </row>
    <row r="195">
      <c r="A195" s="38">
        <v>45160.0</v>
      </c>
      <c r="B195" s="45" t="s">
        <v>11</v>
      </c>
      <c r="C195" s="40" t="s">
        <v>374</v>
      </c>
      <c r="D195" s="436" t="s">
        <v>1517</v>
      </c>
      <c r="E195" s="410" t="s">
        <v>1518</v>
      </c>
      <c r="F195" s="152" t="s">
        <v>726</v>
      </c>
    </row>
    <row r="196">
      <c r="A196" s="297">
        <v>45161.0</v>
      </c>
      <c r="B196" s="298" t="s">
        <v>17</v>
      </c>
      <c r="C196" s="299" t="s">
        <v>1120</v>
      </c>
      <c r="D196" s="437" t="s">
        <v>1519</v>
      </c>
      <c r="E196" s="413" t="s">
        <v>1520</v>
      </c>
      <c r="F196" s="304" t="s">
        <v>339</v>
      </c>
    </row>
    <row r="197">
      <c r="A197" s="204">
        <v>45171.0</v>
      </c>
      <c r="B197" s="39" t="s">
        <v>17</v>
      </c>
      <c r="C197" s="170" t="s">
        <v>1521</v>
      </c>
      <c r="D197" s="435" t="s">
        <v>1522</v>
      </c>
      <c r="E197" s="425" t="s">
        <v>1523</v>
      </c>
      <c r="F197" s="112" t="s">
        <v>339</v>
      </c>
    </row>
    <row r="198">
      <c r="A198" s="204">
        <v>45173.0</v>
      </c>
      <c r="B198" s="305" t="s">
        <v>11</v>
      </c>
      <c r="C198" s="306" t="s">
        <v>58</v>
      </c>
      <c r="D198" s="438" t="s">
        <v>1245</v>
      </c>
      <c r="E198" s="439" t="s">
        <v>1246</v>
      </c>
      <c r="F198" s="311" t="s">
        <v>339</v>
      </c>
    </row>
    <row r="199">
      <c r="A199" s="38">
        <v>45175.0</v>
      </c>
      <c r="B199" s="39" t="s">
        <v>17</v>
      </c>
      <c r="C199" s="40" t="s">
        <v>1524</v>
      </c>
      <c r="D199" s="107" t="s">
        <v>1525</v>
      </c>
      <c r="E199" s="151" t="s">
        <v>1526</v>
      </c>
      <c r="F199" s="152" t="s">
        <v>339</v>
      </c>
    </row>
    <row r="200">
      <c r="A200" s="38">
        <v>45180.0</v>
      </c>
      <c r="B200" s="45" t="s">
        <v>11</v>
      </c>
      <c r="C200" s="40" t="s">
        <v>58</v>
      </c>
      <c r="D200" s="107" t="s">
        <v>1527</v>
      </c>
      <c r="E200" s="151" t="s">
        <v>1528</v>
      </c>
      <c r="F200" s="152" t="s">
        <v>339</v>
      </c>
    </row>
    <row r="201">
      <c r="A201" s="38">
        <v>45181.0</v>
      </c>
      <c r="B201" s="45" t="s">
        <v>11</v>
      </c>
      <c r="C201" s="40" t="s">
        <v>1222</v>
      </c>
      <c r="D201" s="107" t="s">
        <v>1529</v>
      </c>
      <c r="E201" s="151" t="s">
        <v>1530</v>
      </c>
      <c r="F201" s="152" t="s">
        <v>339</v>
      </c>
    </row>
    <row r="202">
      <c r="A202" s="38">
        <v>45189.0</v>
      </c>
      <c r="B202" s="45" t="s">
        <v>11</v>
      </c>
      <c r="C202" s="40" t="s">
        <v>336</v>
      </c>
      <c r="D202" s="107" t="s">
        <v>1531</v>
      </c>
      <c r="E202" s="151" t="s">
        <v>1532</v>
      </c>
      <c r="F202" s="152" t="s">
        <v>339</v>
      </c>
    </row>
    <row r="203">
      <c r="A203" s="38">
        <v>45189.0</v>
      </c>
      <c r="B203" s="45" t="s">
        <v>11</v>
      </c>
      <c r="C203" s="40" t="s">
        <v>77</v>
      </c>
      <c r="D203" s="107" t="s">
        <v>1533</v>
      </c>
      <c r="E203" s="151" t="s">
        <v>1534</v>
      </c>
      <c r="F203" s="152" t="s">
        <v>339</v>
      </c>
    </row>
    <row r="204">
      <c r="A204" s="38">
        <v>45190.0</v>
      </c>
      <c r="B204" s="312" t="s">
        <v>11</v>
      </c>
      <c r="C204" s="313" t="s">
        <v>58</v>
      </c>
      <c r="D204" s="440" t="s">
        <v>1250</v>
      </c>
      <c r="E204" s="441" t="s">
        <v>1255</v>
      </c>
      <c r="F204" s="318" t="s">
        <v>339</v>
      </c>
    </row>
    <row r="205">
      <c r="A205" s="38">
        <v>45191.0</v>
      </c>
      <c r="B205" s="39" t="s">
        <v>17</v>
      </c>
      <c r="C205" s="40" t="s">
        <v>1535</v>
      </c>
      <c r="D205" s="107" t="s">
        <v>1536</v>
      </c>
      <c r="E205" s="411" t="s">
        <v>1537</v>
      </c>
      <c r="F205" s="152" t="s">
        <v>339</v>
      </c>
    </row>
    <row r="206">
      <c r="A206" s="38">
        <v>45192.0</v>
      </c>
      <c r="B206" s="39" t="s">
        <v>17</v>
      </c>
      <c r="C206" s="40" t="s">
        <v>1538</v>
      </c>
      <c r="D206" s="107" t="s">
        <v>1539</v>
      </c>
      <c r="E206" s="411" t="s">
        <v>1540</v>
      </c>
      <c r="F206" s="152" t="s">
        <v>339</v>
      </c>
    </row>
    <row r="207">
      <c r="A207" s="38">
        <v>45192.0</v>
      </c>
      <c r="B207" s="39" t="s">
        <v>17</v>
      </c>
      <c r="C207" s="40" t="s">
        <v>1541</v>
      </c>
      <c r="D207" s="107" t="s">
        <v>1542</v>
      </c>
      <c r="E207" s="411" t="s">
        <v>1543</v>
      </c>
      <c r="F207" s="152" t="s">
        <v>339</v>
      </c>
    </row>
    <row r="208">
      <c r="A208" s="38">
        <v>45192.0</v>
      </c>
      <c r="B208" s="39" t="s">
        <v>17</v>
      </c>
      <c r="C208" s="40" t="s">
        <v>1544</v>
      </c>
      <c r="D208" s="107" t="s">
        <v>1545</v>
      </c>
      <c r="E208" s="151" t="s">
        <v>1546</v>
      </c>
      <c r="F208" s="152" t="s">
        <v>339</v>
      </c>
    </row>
    <row r="209">
      <c r="A209" s="38">
        <v>45194.0</v>
      </c>
      <c r="B209" s="312" t="s">
        <v>11</v>
      </c>
      <c r="C209" s="313" t="s">
        <v>58</v>
      </c>
      <c r="D209" s="440" t="s">
        <v>1270</v>
      </c>
      <c r="E209" s="441" t="s">
        <v>1271</v>
      </c>
      <c r="F209" s="318" t="s">
        <v>339</v>
      </c>
    </row>
    <row r="210">
      <c r="A210" s="297">
        <v>45194.0</v>
      </c>
      <c r="B210" s="319" t="s">
        <v>17</v>
      </c>
      <c r="C210" s="299" t="s">
        <v>1547</v>
      </c>
      <c r="D210" s="442" t="s">
        <v>1542</v>
      </c>
      <c r="E210" s="443" t="s">
        <v>1548</v>
      </c>
      <c r="F210" s="322" t="s">
        <v>339</v>
      </c>
    </row>
    <row r="211">
      <c r="A211" s="323">
        <v>45201.0</v>
      </c>
      <c r="B211" s="305" t="s">
        <v>11</v>
      </c>
      <c r="C211" s="14" t="s">
        <v>1277</v>
      </c>
      <c r="D211" s="393" t="s">
        <v>1549</v>
      </c>
      <c r="E211" s="104" t="s">
        <v>1550</v>
      </c>
      <c r="F211" s="112" t="s">
        <v>339</v>
      </c>
    </row>
    <row r="212">
      <c r="A212" s="327">
        <v>45201.0</v>
      </c>
      <c r="B212" s="305" t="s">
        <v>11</v>
      </c>
      <c r="C212" s="14" t="s">
        <v>68</v>
      </c>
      <c r="D212" s="393" t="s">
        <v>1551</v>
      </c>
      <c r="E212" s="104" t="s">
        <v>1552</v>
      </c>
      <c r="F212" s="45" t="s">
        <v>339</v>
      </c>
    </row>
    <row r="213">
      <c r="A213" s="327">
        <v>45202.0</v>
      </c>
      <c r="B213" s="45" t="s">
        <v>17</v>
      </c>
      <c r="C213" s="40" t="s">
        <v>1553</v>
      </c>
      <c r="D213" s="393" t="s">
        <v>1554</v>
      </c>
      <c r="E213" s="104" t="s">
        <v>1555</v>
      </c>
      <c r="F213" s="45" t="s">
        <v>339</v>
      </c>
    </row>
    <row r="214">
      <c r="A214" s="327">
        <v>45203.0</v>
      </c>
      <c r="B214" s="305" t="s">
        <v>11</v>
      </c>
      <c r="C214" s="328" t="s">
        <v>58</v>
      </c>
      <c r="D214" s="393" t="s">
        <v>1556</v>
      </c>
      <c r="E214" s="104" t="s">
        <v>1557</v>
      </c>
      <c r="F214" s="45" t="s">
        <v>339</v>
      </c>
    </row>
    <row r="215">
      <c r="A215" s="327">
        <v>45203.0</v>
      </c>
      <c r="B215" s="45" t="s">
        <v>11</v>
      </c>
      <c r="C215" s="40" t="s">
        <v>77</v>
      </c>
      <c r="D215" s="393" t="s">
        <v>1558</v>
      </c>
      <c r="E215" s="104" t="s">
        <v>1559</v>
      </c>
      <c r="F215" s="45" t="s">
        <v>339</v>
      </c>
    </row>
    <row r="216">
      <c r="A216" s="327">
        <v>45204.0</v>
      </c>
      <c r="B216" s="45" t="s">
        <v>11</v>
      </c>
      <c r="C216" s="14" t="s">
        <v>1104</v>
      </c>
      <c r="D216" s="393" t="s">
        <v>1560</v>
      </c>
      <c r="E216" s="104" t="s">
        <v>1561</v>
      </c>
      <c r="F216" s="45" t="s">
        <v>339</v>
      </c>
    </row>
    <row r="217">
      <c r="A217" s="327">
        <v>45205.0</v>
      </c>
      <c r="B217" s="45" t="s">
        <v>11</v>
      </c>
      <c r="C217" s="14" t="s">
        <v>1562</v>
      </c>
      <c r="D217" s="393" t="s">
        <v>1563</v>
      </c>
      <c r="E217" s="151" t="s">
        <v>1564</v>
      </c>
      <c r="F217" s="45" t="s">
        <v>339</v>
      </c>
    </row>
    <row r="218">
      <c r="A218" s="327">
        <v>45206.0</v>
      </c>
      <c r="B218" s="45" t="s">
        <v>11</v>
      </c>
      <c r="C218" s="14" t="s">
        <v>374</v>
      </c>
      <c r="D218" s="393" t="s">
        <v>1565</v>
      </c>
      <c r="E218" s="104" t="s">
        <v>1566</v>
      </c>
      <c r="F218" s="45" t="s">
        <v>339</v>
      </c>
    </row>
    <row r="219">
      <c r="A219" s="327">
        <v>45208.0</v>
      </c>
      <c r="B219" s="305" t="s">
        <v>11</v>
      </c>
      <c r="C219" s="328" t="s">
        <v>58</v>
      </c>
      <c r="D219" s="393" t="s">
        <v>1567</v>
      </c>
      <c r="E219" s="104" t="s">
        <v>1568</v>
      </c>
      <c r="F219" s="45" t="s">
        <v>1472</v>
      </c>
    </row>
    <row r="220">
      <c r="A220" s="327">
        <v>45209.0</v>
      </c>
      <c r="B220" s="305" t="s">
        <v>11</v>
      </c>
      <c r="C220" s="14" t="s">
        <v>1222</v>
      </c>
      <c r="D220" s="393" t="s">
        <v>1569</v>
      </c>
      <c r="E220" s="67" t="s">
        <v>1570</v>
      </c>
      <c r="F220" s="45" t="s">
        <v>339</v>
      </c>
    </row>
    <row r="221">
      <c r="A221" s="327">
        <v>45210.0</v>
      </c>
      <c r="B221" s="305" t="s">
        <v>17</v>
      </c>
      <c r="C221" s="14" t="s">
        <v>1489</v>
      </c>
      <c r="D221" s="393" t="s">
        <v>1571</v>
      </c>
      <c r="E221" s="104" t="s">
        <v>1572</v>
      </c>
      <c r="F221" s="45" t="s">
        <v>339</v>
      </c>
    </row>
    <row r="222">
      <c r="A222" s="327">
        <v>45210.0</v>
      </c>
      <c r="B222" s="305" t="s">
        <v>5</v>
      </c>
      <c r="C222" s="14" t="s">
        <v>1573</v>
      </c>
      <c r="D222" s="393" t="s">
        <v>1574</v>
      </c>
      <c r="E222" s="104" t="s">
        <v>1575</v>
      </c>
      <c r="F222" s="45" t="s">
        <v>1472</v>
      </c>
    </row>
    <row r="223">
      <c r="A223" s="327">
        <v>45210.0</v>
      </c>
      <c r="B223" s="305" t="s">
        <v>11</v>
      </c>
      <c r="C223" s="328" t="s">
        <v>58</v>
      </c>
      <c r="D223" s="393" t="s">
        <v>1576</v>
      </c>
      <c r="E223" s="104" t="s">
        <v>1577</v>
      </c>
      <c r="F223" s="45" t="s">
        <v>339</v>
      </c>
    </row>
    <row r="224">
      <c r="A224" s="327">
        <v>45213.0</v>
      </c>
      <c r="B224" s="45" t="s">
        <v>11</v>
      </c>
      <c r="C224" s="40" t="s">
        <v>77</v>
      </c>
      <c r="D224" s="393" t="s">
        <v>1578</v>
      </c>
      <c r="E224" s="104" t="s">
        <v>1579</v>
      </c>
      <c r="F224" s="22" t="s">
        <v>726</v>
      </c>
    </row>
    <row r="225">
      <c r="A225" s="327">
        <v>45214.0</v>
      </c>
      <c r="B225" s="45" t="s">
        <v>11</v>
      </c>
      <c r="C225" s="14" t="s">
        <v>1104</v>
      </c>
      <c r="D225" s="393" t="s">
        <v>1580</v>
      </c>
      <c r="E225" s="104" t="s">
        <v>1581</v>
      </c>
      <c r="F225" s="45" t="s">
        <v>1472</v>
      </c>
    </row>
    <row r="226">
      <c r="A226" s="327">
        <v>45214.0</v>
      </c>
      <c r="B226" s="305" t="s">
        <v>11</v>
      </c>
      <c r="C226" s="328" t="s">
        <v>58</v>
      </c>
      <c r="D226" s="393" t="s">
        <v>1580</v>
      </c>
      <c r="E226" s="104" t="s">
        <v>1582</v>
      </c>
      <c r="F226" s="45" t="s">
        <v>1472</v>
      </c>
    </row>
    <row r="227">
      <c r="A227" s="327">
        <v>45215.0</v>
      </c>
      <c r="B227" s="305" t="s">
        <v>11</v>
      </c>
      <c r="C227" s="14" t="s">
        <v>1583</v>
      </c>
      <c r="D227" s="393" t="s">
        <v>1584</v>
      </c>
      <c r="E227" s="393" t="s">
        <v>1585</v>
      </c>
      <c r="F227" s="45" t="s">
        <v>339</v>
      </c>
    </row>
    <row r="228">
      <c r="A228" s="327">
        <v>45217.0</v>
      </c>
      <c r="B228" s="305" t="s">
        <v>11</v>
      </c>
      <c r="C228" s="328" t="s">
        <v>58</v>
      </c>
      <c r="D228" s="393" t="s">
        <v>1586</v>
      </c>
      <c r="E228" s="104" t="s">
        <v>1587</v>
      </c>
      <c r="F228" s="45" t="s">
        <v>339</v>
      </c>
    </row>
    <row r="229">
      <c r="A229" s="327">
        <v>45219.0</v>
      </c>
      <c r="B229" s="305" t="s">
        <v>11</v>
      </c>
      <c r="C229" s="14" t="s">
        <v>1143</v>
      </c>
      <c r="D229" s="393" t="s">
        <v>1588</v>
      </c>
      <c r="E229" s="107" t="s">
        <v>1589</v>
      </c>
      <c r="F229" s="45" t="s">
        <v>339</v>
      </c>
    </row>
    <row r="230">
      <c r="A230" s="327">
        <v>45229.0</v>
      </c>
      <c r="B230" s="305" t="s">
        <v>17</v>
      </c>
      <c r="C230" s="14" t="s">
        <v>1590</v>
      </c>
      <c r="D230" s="393" t="s">
        <v>1591</v>
      </c>
      <c r="E230" s="104" t="s">
        <v>1592</v>
      </c>
      <c r="F230" s="45" t="s">
        <v>339</v>
      </c>
    </row>
    <row r="231">
      <c r="A231" s="327">
        <v>45229.0</v>
      </c>
      <c r="B231" s="305" t="s">
        <v>11</v>
      </c>
      <c r="C231" s="328" t="s">
        <v>58</v>
      </c>
      <c r="D231" s="107" t="s">
        <v>1593</v>
      </c>
      <c r="E231" s="151" t="s">
        <v>1594</v>
      </c>
      <c r="F231" s="45" t="s">
        <v>1472</v>
      </c>
    </row>
    <row r="232">
      <c r="A232" s="330">
        <v>45230.0</v>
      </c>
      <c r="B232" s="331" t="s">
        <v>11</v>
      </c>
      <c r="C232" s="299" t="s">
        <v>1104</v>
      </c>
      <c r="D232" s="442" t="s">
        <v>1593</v>
      </c>
      <c r="E232" s="408" t="s">
        <v>1595</v>
      </c>
      <c r="F232" s="298" t="s">
        <v>1472</v>
      </c>
    </row>
    <row r="233">
      <c r="A233" s="323">
        <v>45233.0</v>
      </c>
      <c r="B233" s="305" t="s">
        <v>11</v>
      </c>
      <c r="C233" s="170" t="s">
        <v>1143</v>
      </c>
      <c r="D233" s="444" t="s">
        <v>1596</v>
      </c>
      <c r="E233" s="409" t="s">
        <v>1597</v>
      </c>
      <c r="F233" s="45" t="s">
        <v>339</v>
      </c>
    </row>
    <row r="234">
      <c r="A234" s="323">
        <v>45233.0</v>
      </c>
      <c r="B234" s="305" t="s">
        <v>11</v>
      </c>
      <c r="C234" s="40" t="s">
        <v>949</v>
      </c>
      <c r="D234" s="107" t="s">
        <v>1598</v>
      </c>
      <c r="E234" s="151" t="s">
        <v>1599</v>
      </c>
      <c r="F234" s="45" t="s">
        <v>339</v>
      </c>
    </row>
    <row r="235">
      <c r="A235" s="323">
        <v>45234.0</v>
      </c>
      <c r="B235" s="305" t="s">
        <v>17</v>
      </c>
      <c r="C235" s="40" t="s">
        <v>1600</v>
      </c>
      <c r="D235" s="107" t="s">
        <v>1601</v>
      </c>
      <c r="E235" s="151" t="s">
        <v>1602</v>
      </c>
      <c r="F235" s="45" t="s">
        <v>339</v>
      </c>
    </row>
    <row r="236">
      <c r="A236" s="323">
        <v>45236.0</v>
      </c>
      <c r="B236" s="305" t="s">
        <v>5</v>
      </c>
      <c r="C236" s="40" t="s">
        <v>1603</v>
      </c>
      <c r="D236" s="107" t="s">
        <v>1604</v>
      </c>
      <c r="E236" s="151" t="s">
        <v>1605</v>
      </c>
      <c r="F236" s="45" t="s">
        <v>339</v>
      </c>
    </row>
    <row r="237">
      <c r="A237" s="38">
        <v>45237.0</v>
      </c>
      <c r="B237" s="305" t="s">
        <v>17</v>
      </c>
      <c r="C237" s="335" t="s">
        <v>1606</v>
      </c>
      <c r="D237" s="107" t="s">
        <v>1607</v>
      </c>
      <c r="E237" s="107" t="s">
        <v>1608</v>
      </c>
      <c r="F237" s="45" t="s">
        <v>339</v>
      </c>
    </row>
    <row r="238">
      <c r="A238" s="38">
        <v>45237.0</v>
      </c>
      <c r="B238" s="45" t="s">
        <v>5</v>
      </c>
      <c r="C238" s="40" t="s">
        <v>233</v>
      </c>
      <c r="D238" s="107" t="s">
        <v>1604</v>
      </c>
      <c r="E238" s="107" t="s">
        <v>1609</v>
      </c>
      <c r="F238" s="152" t="s">
        <v>339</v>
      </c>
    </row>
    <row r="239">
      <c r="A239" s="38">
        <v>45237.0</v>
      </c>
      <c r="B239" s="45" t="s">
        <v>5</v>
      </c>
      <c r="C239" s="40" t="s">
        <v>1610</v>
      </c>
      <c r="D239" s="107" t="s">
        <v>1611</v>
      </c>
      <c r="E239" s="107" t="s">
        <v>1612</v>
      </c>
      <c r="F239" s="152" t="s">
        <v>339</v>
      </c>
    </row>
    <row r="240">
      <c r="A240" s="38">
        <v>45237.0</v>
      </c>
      <c r="B240" s="305" t="s">
        <v>17</v>
      </c>
      <c r="C240" s="40" t="s">
        <v>1613</v>
      </c>
      <c r="D240" s="107" t="s">
        <v>1614</v>
      </c>
      <c r="E240" s="107" t="s">
        <v>1615</v>
      </c>
      <c r="F240" s="152" t="s">
        <v>339</v>
      </c>
    </row>
    <row r="241">
      <c r="A241" s="38">
        <v>45240.0</v>
      </c>
      <c r="B241" s="45" t="s">
        <v>5</v>
      </c>
      <c r="C241" s="40" t="s">
        <v>233</v>
      </c>
      <c r="D241" s="107" t="s">
        <v>1616</v>
      </c>
      <c r="E241" s="107" t="s">
        <v>1617</v>
      </c>
      <c r="F241" s="152" t="s">
        <v>339</v>
      </c>
    </row>
    <row r="242">
      <c r="A242" s="38">
        <v>45242.0</v>
      </c>
      <c r="B242" s="305" t="s">
        <v>11</v>
      </c>
      <c r="C242" s="40" t="s">
        <v>58</v>
      </c>
      <c r="D242" s="107" t="s">
        <v>1618</v>
      </c>
      <c r="E242" s="107" t="s">
        <v>1619</v>
      </c>
      <c r="F242" s="152" t="s">
        <v>339</v>
      </c>
    </row>
    <row r="243">
      <c r="A243" s="38">
        <v>45242.0</v>
      </c>
      <c r="B243" s="305" t="s">
        <v>17</v>
      </c>
      <c r="C243" s="40" t="s">
        <v>1620</v>
      </c>
      <c r="D243" s="107" t="s">
        <v>1618</v>
      </c>
      <c r="E243" s="107" t="s">
        <v>1621</v>
      </c>
      <c r="F243" s="152" t="s">
        <v>339</v>
      </c>
    </row>
    <row r="244">
      <c r="A244" s="38">
        <v>45243.0</v>
      </c>
      <c r="B244" s="45" t="s">
        <v>11</v>
      </c>
      <c r="C244" s="40" t="s">
        <v>1104</v>
      </c>
      <c r="D244" s="107" t="s">
        <v>1618</v>
      </c>
      <c r="E244" s="107" t="s">
        <v>1622</v>
      </c>
      <c r="F244" s="152" t="s">
        <v>339</v>
      </c>
    </row>
    <row r="245">
      <c r="A245" s="38">
        <v>45244.0</v>
      </c>
      <c r="B245" s="45" t="s">
        <v>11</v>
      </c>
      <c r="C245" s="14" t="s">
        <v>248</v>
      </c>
      <c r="D245" s="393" t="s">
        <v>1623</v>
      </c>
      <c r="E245" s="393" t="s">
        <v>1624</v>
      </c>
      <c r="F245" s="152" t="s">
        <v>339</v>
      </c>
    </row>
    <row r="246">
      <c r="A246" s="38">
        <v>45244.0</v>
      </c>
      <c r="B246" s="305" t="s">
        <v>17</v>
      </c>
      <c r="C246" s="40" t="s">
        <v>1625</v>
      </c>
      <c r="D246" s="107" t="s">
        <v>1626</v>
      </c>
      <c r="E246" s="151" t="s">
        <v>1627</v>
      </c>
      <c r="F246" s="152" t="s">
        <v>339</v>
      </c>
    </row>
    <row r="247">
      <c r="A247" s="38">
        <v>45244.0</v>
      </c>
      <c r="B247" s="305" t="s">
        <v>17</v>
      </c>
      <c r="C247" s="40" t="s">
        <v>1628</v>
      </c>
      <c r="D247" s="107" t="s">
        <v>1629</v>
      </c>
      <c r="E247" s="107" t="s">
        <v>1630</v>
      </c>
      <c r="F247" s="152" t="s">
        <v>339</v>
      </c>
    </row>
    <row r="248">
      <c r="A248" s="38">
        <v>45245.0</v>
      </c>
      <c r="B248" s="305" t="s">
        <v>17</v>
      </c>
      <c r="C248" s="40" t="s">
        <v>1631</v>
      </c>
      <c r="D248" s="107" t="s">
        <v>1632</v>
      </c>
      <c r="E248" s="107" t="s">
        <v>1633</v>
      </c>
      <c r="F248" s="152" t="s">
        <v>339</v>
      </c>
    </row>
    <row r="249">
      <c r="A249" s="38">
        <v>45245.0</v>
      </c>
      <c r="B249" s="305" t="s">
        <v>17</v>
      </c>
      <c r="C249" s="40" t="s">
        <v>1634</v>
      </c>
      <c r="D249" s="107" t="s">
        <v>1635</v>
      </c>
      <c r="E249" s="107" t="s">
        <v>1636</v>
      </c>
      <c r="F249" s="152" t="s">
        <v>339</v>
      </c>
    </row>
    <row r="250">
      <c r="A250" s="38">
        <v>45246.0</v>
      </c>
      <c r="B250" s="305" t="s">
        <v>17</v>
      </c>
      <c r="C250" s="40" t="s">
        <v>1637</v>
      </c>
      <c r="D250" s="107" t="s">
        <v>1638</v>
      </c>
      <c r="E250" s="151" t="s">
        <v>1639</v>
      </c>
      <c r="F250" s="152" t="s">
        <v>339</v>
      </c>
    </row>
    <row r="251">
      <c r="A251" s="38">
        <v>45246.0</v>
      </c>
      <c r="B251" s="305" t="s">
        <v>17</v>
      </c>
      <c r="C251" s="40" t="s">
        <v>1640</v>
      </c>
      <c r="D251" s="107" t="s">
        <v>1641</v>
      </c>
      <c r="E251" s="107" t="s">
        <v>1642</v>
      </c>
      <c r="F251" s="152" t="s">
        <v>339</v>
      </c>
    </row>
    <row r="252">
      <c r="A252" s="38">
        <v>45247.0</v>
      </c>
      <c r="B252" s="305" t="s">
        <v>11</v>
      </c>
      <c r="C252" s="40" t="s">
        <v>374</v>
      </c>
      <c r="D252" s="107" t="s">
        <v>1643</v>
      </c>
      <c r="E252" s="107" t="s">
        <v>1644</v>
      </c>
      <c r="F252" s="152" t="s">
        <v>339</v>
      </c>
    </row>
    <row r="253">
      <c r="A253" s="38">
        <v>45248.0</v>
      </c>
      <c r="B253" s="45" t="s">
        <v>5</v>
      </c>
      <c r="C253" s="14" t="s">
        <v>1645</v>
      </c>
      <c r="D253" s="393" t="s">
        <v>1646</v>
      </c>
      <c r="E253" s="67" t="s">
        <v>1647</v>
      </c>
      <c r="F253" s="152" t="s">
        <v>339</v>
      </c>
    </row>
    <row r="254">
      <c r="A254" s="38">
        <v>45249.0</v>
      </c>
      <c r="B254" s="305" t="s">
        <v>11</v>
      </c>
      <c r="C254" s="40" t="s">
        <v>1648</v>
      </c>
      <c r="D254" s="107" t="s">
        <v>1618</v>
      </c>
      <c r="E254" s="436" t="s">
        <v>1649</v>
      </c>
      <c r="F254" s="152" t="s">
        <v>339</v>
      </c>
    </row>
    <row r="255">
      <c r="A255" s="38">
        <v>45251.0</v>
      </c>
      <c r="B255" s="305" t="s">
        <v>17</v>
      </c>
      <c r="C255" s="40" t="s">
        <v>1650</v>
      </c>
      <c r="D255" s="107" t="s">
        <v>1651</v>
      </c>
      <c r="E255" s="107" t="s">
        <v>1652</v>
      </c>
      <c r="F255" s="152" t="s">
        <v>339</v>
      </c>
    </row>
    <row r="256">
      <c r="A256" s="38">
        <v>45251.0</v>
      </c>
      <c r="B256" s="305" t="s">
        <v>11</v>
      </c>
      <c r="C256" s="40" t="s">
        <v>77</v>
      </c>
      <c r="D256" s="107" t="s">
        <v>1653</v>
      </c>
      <c r="E256" s="107" t="s">
        <v>1654</v>
      </c>
      <c r="F256" s="152" t="s">
        <v>339</v>
      </c>
    </row>
    <row r="257">
      <c r="A257" s="38">
        <v>45252.0</v>
      </c>
      <c r="B257" s="305" t="s">
        <v>17</v>
      </c>
      <c r="C257" s="40" t="s">
        <v>1631</v>
      </c>
      <c r="D257" s="107" t="s">
        <v>1655</v>
      </c>
      <c r="E257" s="151" t="s">
        <v>1656</v>
      </c>
      <c r="F257" s="152" t="s">
        <v>339</v>
      </c>
    </row>
    <row r="258">
      <c r="A258" s="38">
        <v>45254.0</v>
      </c>
      <c r="B258" s="305" t="s">
        <v>11</v>
      </c>
      <c r="C258" s="40" t="s">
        <v>58</v>
      </c>
      <c r="D258" s="107" t="s">
        <v>1657</v>
      </c>
      <c r="E258" s="151" t="s">
        <v>1658</v>
      </c>
      <c r="F258" s="152" t="s">
        <v>339</v>
      </c>
    </row>
    <row r="259">
      <c r="A259" s="38">
        <v>45254.0</v>
      </c>
      <c r="B259" s="305" t="s">
        <v>11</v>
      </c>
      <c r="C259" s="40" t="s">
        <v>1648</v>
      </c>
      <c r="D259" s="107" t="s">
        <v>1657</v>
      </c>
      <c r="E259" s="151" t="s">
        <v>1659</v>
      </c>
      <c r="F259" s="152" t="s">
        <v>339</v>
      </c>
    </row>
    <row r="260">
      <c r="A260" s="38">
        <v>45254.0</v>
      </c>
      <c r="B260" s="305" t="s">
        <v>11</v>
      </c>
      <c r="C260" s="40" t="s">
        <v>77</v>
      </c>
      <c r="D260" s="107" t="s">
        <v>1660</v>
      </c>
      <c r="E260" s="151" t="s">
        <v>1661</v>
      </c>
      <c r="F260" s="152" t="s">
        <v>339</v>
      </c>
    </row>
    <row r="261">
      <c r="A261" s="38">
        <v>45254.0</v>
      </c>
      <c r="B261" s="305" t="s">
        <v>17</v>
      </c>
      <c r="C261" s="336" t="s">
        <v>1662</v>
      </c>
      <c r="D261" s="107" t="s">
        <v>1663</v>
      </c>
      <c r="E261" s="107" t="s">
        <v>1664</v>
      </c>
      <c r="F261" s="152" t="s">
        <v>339</v>
      </c>
    </row>
    <row r="262">
      <c r="A262" s="38">
        <v>45257.0</v>
      </c>
      <c r="B262" s="45" t="s">
        <v>17</v>
      </c>
      <c r="C262" s="336" t="s">
        <v>1665</v>
      </c>
      <c r="D262" s="107" t="s">
        <v>1601</v>
      </c>
      <c r="E262" s="107" t="s">
        <v>1666</v>
      </c>
      <c r="F262" s="152" t="s">
        <v>339</v>
      </c>
    </row>
    <row r="263">
      <c r="A263" s="38">
        <v>45257.0</v>
      </c>
      <c r="B263" s="45" t="s">
        <v>5</v>
      </c>
      <c r="C263" s="40" t="s">
        <v>233</v>
      </c>
      <c r="D263" s="107" t="s">
        <v>1667</v>
      </c>
      <c r="E263" s="107" t="s">
        <v>1668</v>
      </c>
      <c r="F263" s="152" t="s">
        <v>339</v>
      </c>
    </row>
    <row r="264">
      <c r="A264" s="297">
        <v>45259.0</v>
      </c>
      <c r="B264" s="331" t="s">
        <v>11</v>
      </c>
      <c r="C264" s="299" t="s">
        <v>77</v>
      </c>
      <c r="D264" s="442" t="s">
        <v>1669</v>
      </c>
      <c r="E264" s="408" t="s">
        <v>1670</v>
      </c>
      <c r="F264" s="304" t="s">
        <v>339</v>
      </c>
    </row>
    <row r="265">
      <c r="A265" s="38">
        <v>45265.0</v>
      </c>
      <c r="B265" s="45" t="s">
        <v>17</v>
      </c>
      <c r="C265" s="336" t="s">
        <v>1671</v>
      </c>
      <c r="D265" s="40" t="s">
        <v>1672</v>
      </c>
      <c r="E265" s="107" t="s">
        <v>1673</v>
      </c>
      <c r="F265" s="152" t="s">
        <v>339</v>
      </c>
    </row>
    <row r="266">
      <c r="A266" s="38">
        <v>45266.0</v>
      </c>
      <c r="B266" s="45" t="s">
        <v>17</v>
      </c>
      <c r="C266" s="40" t="s">
        <v>1674</v>
      </c>
      <c r="D266" s="40" t="s">
        <v>1675</v>
      </c>
      <c r="E266" s="151" t="s">
        <v>1676</v>
      </c>
      <c r="F266" s="152" t="s">
        <v>339</v>
      </c>
    </row>
    <row r="267">
      <c r="A267" s="38">
        <v>45270.0</v>
      </c>
      <c r="B267" s="45" t="s">
        <v>11</v>
      </c>
      <c r="C267" s="40" t="s">
        <v>1104</v>
      </c>
      <c r="D267" s="40" t="s">
        <v>1677</v>
      </c>
      <c r="E267" s="107" t="s">
        <v>1678</v>
      </c>
      <c r="F267" s="152" t="s">
        <v>339</v>
      </c>
    </row>
    <row r="268">
      <c r="A268" s="38">
        <v>45270.0</v>
      </c>
      <c r="B268" s="45" t="s">
        <v>17</v>
      </c>
      <c r="C268" s="40" t="s">
        <v>1679</v>
      </c>
      <c r="D268" s="40" t="s">
        <v>1680</v>
      </c>
      <c r="E268" s="107" t="s">
        <v>1681</v>
      </c>
      <c r="F268" s="152" t="s">
        <v>339</v>
      </c>
    </row>
    <row r="269">
      <c r="A269" s="38">
        <v>45271.0</v>
      </c>
      <c r="B269" s="45" t="s">
        <v>11</v>
      </c>
      <c r="C269" s="40" t="s">
        <v>58</v>
      </c>
      <c r="D269" s="40" t="s">
        <v>1682</v>
      </c>
      <c r="E269" s="151" t="s">
        <v>1683</v>
      </c>
      <c r="F269" s="152" t="s">
        <v>339</v>
      </c>
    </row>
    <row r="270">
      <c r="A270" s="38">
        <v>45270.0</v>
      </c>
      <c r="B270" s="45" t="s">
        <v>17</v>
      </c>
      <c r="C270" s="40" t="s">
        <v>1684</v>
      </c>
      <c r="D270" s="40" t="s">
        <v>1685</v>
      </c>
      <c r="E270" s="151" t="s">
        <v>1686</v>
      </c>
      <c r="F270" s="152" t="s">
        <v>339</v>
      </c>
    </row>
    <row r="271">
      <c r="A271" s="38">
        <v>45270.0</v>
      </c>
      <c r="B271" s="45" t="s">
        <v>17</v>
      </c>
      <c r="C271" s="40" t="s">
        <v>1687</v>
      </c>
      <c r="D271" s="40" t="s">
        <v>1688</v>
      </c>
      <c r="E271" s="151" t="s">
        <v>1689</v>
      </c>
      <c r="F271" s="152" t="s">
        <v>339</v>
      </c>
    </row>
    <row r="272">
      <c r="A272" s="38">
        <v>45271.0</v>
      </c>
      <c r="B272" s="45" t="s">
        <v>11</v>
      </c>
      <c r="C272" s="40" t="s">
        <v>77</v>
      </c>
      <c r="D272" s="40" t="s">
        <v>1690</v>
      </c>
      <c r="E272" s="151" t="s">
        <v>1691</v>
      </c>
      <c r="F272" s="152" t="s">
        <v>339</v>
      </c>
    </row>
    <row r="273">
      <c r="A273" s="38">
        <v>45272.0</v>
      </c>
      <c r="B273" s="45" t="s">
        <v>11</v>
      </c>
      <c r="C273" s="40" t="s">
        <v>58</v>
      </c>
      <c r="D273" s="40" t="s">
        <v>1692</v>
      </c>
      <c r="E273" s="107" t="s">
        <v>1693</v>
      </c>
      <c r="F273" s="152" t="s">
        <v>339</v>
      </c>
    </row>
    <row r="274">
      <c r="A274" s="38">
        <v>45272.0</v>
      </c>
      <c r="B274" s="45" t="s">
        <v>17</v>
      </c>
      <c r="C274" s="40" t="s">
        <v>1694</v>
      </c>
      <c r="D274" s="40" t="s">
        <v>1695</v>
      </c>
      <c r="E274" s="107" t="s">
        <v>1696</v>
      </c>
      <c r="F274" s="152" t="s">
        <v>339</v>
      </c>
    </row>
    <row r="275">
      <c r="A275" s="38">
        <v>45273.0</v>
      </c>
      <c r="B275" s="45" t="s">
        <v>17</v>
      </c>
      <c r="C275" s="40" t="s">
        <v>364</v>
      </c>
      <c r="D275" s="54" t="s">
        <v>1697</v>
      </c>
      <c r="E275" s="151" t="s">
        <v>1698</v>
      </c>
      <c r="F275" s="152" t="s">
        <v>339</v>
      </c>
    </row>
    <row r="276">
      <c r="A276" s="38">
        <v>45275.0</v>
      </c>
      <c r="B276" s="45" t="s">
        <v>5</v>
      </c>
      <c r="C276" s="40" t="s">
        <v>233</v>
      </c>
      <c r="D276" s="40" t="s">
        <v>1699</v>
      </c>
      <c r="E276" s="151" t="s">
        <v>1700</v>
      </c>
      <c r="F276" s="152" t="s">
        <v>339</v>
      </c>
    </row>
    <row r="277">
      <c r="A277" s="38">
        <v>45275.0</v>
      </c>
      <c r="B277" s="45" t="s">
        <v>17</v>
      </c>
      <c r="C277" s="40" t="s">
        <v>1600</v>
      </c>
      <c r="D277" s="40" t="s">
        <v>1701</v>
      </c>
      <c r="E277" s="107" t="s">
        <v>1702</v>
      </c>
      <c r="F277" s="152" t="s">
        <v>339</v>
      </c>
    </row>
    <row r="278">
      <c r="A278" s="38">
        <v>45279.0</v>
      </c>
      <c r="B278" s="45" t="s">
        <v>17</v>
      </c>
      <c r="C278" s="107" t="s">
        <v>1703</v>
      </c>
      <c r="D278" s="40" t="s">
        <v>1704</v>
      </c>
      <c r="E278" s="151" t="s">
        <v>1705</v>
      </c>
      <c r="F278" s="152" t="s">
        <v>339</v>
      </c>
    </row>
    <row r="279">
      <c r="A279" s="38">
        <v>45279.0</v>
      </c>
      <c r="B279" s="45" t="s">
        <v>17</v>
      </c>
      <c r="C279" s="40" t="s">
        <v>1553</v>
      </c>
      <c r="D279" s="40" t="s">
        <v>1706</v>
      </c>
      <c r="E279" s="151" t="s">
        <v>1707</v>
      </c>
      <c r="F279" s="152" t="s">
        <v>339</v>
      </c>
    </row>
    <row r="280">
      <c r="A280" s="38">
        <v>45280.0</v>
      </c>
      <c r="B280" s="45" t="s">
        <v>11</v>
      </c>
      <c r="C280" s="40" t="s">
        <v>77</v>
      </c>
      <c r="D280" s="40" t="s">
        <v>1708</v>
      </c>
      <c r="E280" s="107" t="s">
        <v>1709</v>
      </c>
      <c r="F280" s="152" t="s">
        <v>339</v>
      </c>
    </row>
    <row r="281">
      <c r="A281" s="38">
        <v>45280.0</v>
      </c>
      <c r="B281" s="45" t="s">
        <v>11</v>
      </c>
      <c r="C281" s="40" t="s">
        <v>68</v>
      </c>
      <c r="D281" s="40" t="s">
        <v>1710</v>
      </c>
      <c r="E281" s="151" t="s">
        <v>1711</v>
      </c>
      <c r="F281" s="152" t="s">
        <v>339</v>
      </c>
    </row>
    <row r="282">
      <c r="A282" s="38">
        <v>45281.0</v>
      </c>
      <c r="B282" s="45" t="s">
        <v>11</v>
      </c>
      <c r="C282" s="40" t="s">
        <v>77</v>
      </c>
      <c r="D282" s="40" t="s">
        <v>1712</v>
      </c>
      <c r="E282" s="151" t="s">
        <v>1713</v>
      </c>
      <c r="F282" s="152" t="s">
        <v>339</v>
      </c>
    </row>
    <row r="283">
      <c r="A283" s="38">
        <v>45281.0</v>
      </c>
      <c r="B283" s="45" t="s">
        <v>17</v>
      </c>
      <c r="C283" s="107" t="s">
        <v>1714</v>
      </c>
      <c r="D283" s="40" t="s">
        <v>1715</v>
      </c>
      <c r="E283" s="151" t="s">
        <v>1716</v>
      </c>
      <c r="F283" s="152" t="s">
        <v>339</v>
      </c>
    </row>
    <row r="284">
      <c r="A284" s="38">
        <v>45284.0</v>
      </c>
      <c r="B284" s="45" t="s">
        <v>17</v>
      </c>
      <c r="C284" s="107" t="s">
        <v>1717</v>
      </c>
      <c r="D284" s="40" t="s">
        <v>1718</v>
      </c>
      <c r="E284" s="107" t="s">
        <v>1719</v>
      </c>
      <c r="F284" s="152" t="s">
        <v>339</v>
      </c>
    </row>
    <row r="285">
      <c r="A285" s="38">
        <v>45285.0</v>
      </c>
      <c r="B285" s="45" t="s">
        <v>11</v>
      </c>
      <c r="C285" s="40" t="s">
        <v>1104</v>
      </c>
      <c r="D285" s="40" t="s">
        <v>1720</v>
      </c>
      <c r="E285" s="151" t="s">
        <v>1721</v>
      </c>
      <c r="F285" s="152" t="s">
        <v>339</v>
      </c>
    </row>
    <row r="287">
      <c r="A287" s="337"/>
      <c r="B287" s="337"/>
      <c r="C287" s="338"/>
      <c r="D287" s="338"/>
      <c r="E287" s="338"/>
      <c r="F287" s="342"/>
    </row>
    <row r="288">
      <c r="A288" s="337"/>
      <c r="B288" s="337"/>
      <c r="C288" s="338"/>
      <c r="D288" s="338"/>
      <c r="E288" s="338"/>
      <c r="F288" s="342"/>
    </row>
    <row r="289">
      <c r="A289" s="337"/>
      <c r="B289" s="337"/>
      <c r="C289" s="338"/>
      <c r="D289" s="338"/>
      <c r="E289" s="338"/>
      <c r="F289" s="342"/>
    </row>
    <row r="290">
      <c r="A290" s="337"/>
      <c r="B290" s="337"/>
      <c r="C290" s="338"/>
      <c r="D290" s="338"/>
      <c r="E290" s="338"/>
      <c r="F290" s="342"/>
    </row>
    <row r="291">
      <c r="A291" s="337"/>
      <c r="B291" s="337"/>
      <c r="C291" s="338"/>
      <c r="D291" s="338"/>
      <c r="E291" s="338"/>
      <c r="F291" s="342"/>
    </row>
    <row r="292">
      <c r="A292" s="337"/>
      <c r="B292" s="337"/>
      <c r="C292" s="338"/>
      <c r="D292" s="338"/>
      <c r="E292" s="338"/>
      <c r="F292" s="342"/>
    </row>
    <row r="293">
      <c r="A293" s="337"/>
      <c r="B293" s="337"/>
      <c r="C293" s="338"/>
      <c r="D293" s="338"/>
      <c r="E293" s="338"/>
      <c r="F293" s="342"/>
    </row>
    <row r="294">
      <c r="A294" s="337"/>
      <c r="B294" s="337"/>
      <c r="C294" s="338"/>
      <c r="D294" s="338"/>
      <c r="E294" s="338"/>
      <c r="F294" s="342"/>
    </row>
    <row r="295">
      <c r="A295" s="337"/>
      <c r="B295" s="337"/>
      <c r="C295" s="338"/>
      <c r="D295" s="338"/>
      <c r="E295" s="338"/>
      <c r="F295" s="342"/>
    </row>
    <row r="296">
      <c r="A296" s="337"/>
      <c r="B296" s="337"/>
      <c r="C296" s="338"/>
      <c r="D296" s="338"/>
      <c r="E296" s="338"/>
      <c r="F296" s="342"/>
    </row>
    <row r="297">
      <c r="A297" s="337"/>
      <c r="B297" s="337"/>
      <c r="C297" s="338"/>
      <c r="D297" s="338"/>
      <c r="E297" s="338"/>
      <c r="F297" s="342"/>
    </row>
    <row r="298">
      <c r="A298" s="337"/>
      <c r="B298" s="337"/>
      <c r="C298" s="338"/>
      <c r="D298" s="338"/>
      <c r="E298" s="338"/>
      <c r="F298" s="342"/>
    </row>
    <row r="299">
      <c r="A299" s="337"/>
      <c r="B299" s="337"/>
      <c r="C299" s="338"/>
      <c r="D299" s="338"/>
      <c r="E299" s="338"/>
      <c r="F299" s="342"/>
    </row>
    <row r="300">
      <c r="A300" s="337"/>
      <c r="B300" s="337"/>
      <c r="C300" s="338"/>
      <c r="D300" s="338"/>
      <c r="E300" s="338"/>
      <c r="F300" s="342"/>
    </row>
    <row r="301">
      <c r="A301" s="337"/>
      <c r="B301" s="337"/>
      <c r="C301" s="338"/>
      <c r="D301" s="338"/>
      <c r="E301" s="338"/>
      <c r="F301" s="342"/>
    </row>
    <row r="302">
      <c r="A302" s="337"/>
      <c r="B302" s="337"/>
      <c r="C302" s="338"/>
      <c r="D302" s="338"/>
      <c r="E302" s="338"/>
      <c r="F302" s="342"/>
    </row>
    <row r="303">
      <c r="A303" s="337"/>
      <c r="B303" s="337"/>
      <c r="C303" s="338"/>
      <c r="D303" s="338"/>
      <c r="E303" s="338"/>
      <c r="F303" s="342"/>
    </row>
    <row r="304">
      <c r="A304" s="337"/>
      <c r="B304" s="337"/>
      <c r="C304" s="338"/>
      <c r="D304" s="338"/>
      <c r="E304" s="338"/>
      <c r="F304" s="342"/>
    </row>
    <row r="305">
      <c r="A305" s="337"/>
      <c r="B305" s="337"/>
      <c r="C305" s="338"/>
      <c r="D305" s="338"/>
      <c r="E305" s="338"/>
      <c r="F305" s="342"/>
    </row>
    <row r="306">
      <c r="A306" s="337"/>
      <c r="B306" s="337"/>
      <c r="C306" s="338"/>
      <c r="D306" s="338"/>
      <c r="E306" s="338"/>
      <c r="F306" s="342"/>
    </row>
    <row r="307">
      <c r="A307" s="337"/>
      <c r="B307" s="337"/>
      <c r="C307" s="338"/>
      <c r="D307" s="338"/>
      <c r="E307" s="338"/>
      <c r="F307" s="342"/>
    </row>
    <row r="308">
      <c r="A308" s="337"/>
      <c r="B308" s="337"/>
      <c r="C308" s="338"/>
      <c r="D308" s="338"/>
      <c r="E308" s="338"/>
      <c r="F308" s="342"/>
    </row>
    <row r="309">
      <c r="A309" s="337"/>
      <c r="B309" s="337"/>
      <c r="C309" s="338"/>
      <c r="D309" s="338"/>
      <c r="E309" s="338"/>
      <c r="F309" s="342"/>
    </row>
    <row r="310">
      <c r="A310" s="337"/>
      <c r="B310" s="337"/>
      <c r="C310" s="338"/>
      <c r="D310" s="338"/>
      <c r="E310" s="338"/>
      <c r="F310" s="342"/>
    </row>
    <row r="311">
      <c r="A311" s="337"/>
      <c r="B311" s="337"/>
      <c r="C311" s="338"/>
      <c r="D311" s="338"/>
      <c r="E311" s="338"/>
      <c r="F311" s="342"/>
    </row>
    <row r="312">
      <c r="A312" s="337"/>
      <c r="B312" s="337"/>
      <c r="C312" s="338"/>
      <c r="D312" s="338"/>
      <c r="E312" s="338"/>
      <c r="F312" s="342"/>
    </row>
    <row r="313">
      <c r="A313" s="337"/>
      <c r="B313" s="337"/>
      <c r="C313" s="338"/>
      <c r="D313" s="338"/>
      <c r="E313" s="338"/>
      <c r="F313" s="342"/>
    </row>
    <row r="314">
      <c r="A314" s="337"/>
      <c r="B314" s="337"/>
      <c r="C314" s="338"/>
      <c r="D314" s="338"/>
      <c r="E314" s="338"/>
      <c r="F314" s="342"/>
    </row>
    <row r="315">
      <c r="A315" s="337"/>
      <c r="B315" s="337"/>
      <c r="C315" s="338"/>
      <c r="D315" s="338"/>
      <c r="E315" s="338"/>
      <c r="F315" s="342"/>
    </row>
    <row r="316">
      <c r="A316" s="337"/>
      <c r="B316" s="337"/>
      <c r="C316" s="338"/>
      <c r="D316" s="338"/>
      <c r="E316" s="338"/>
      <c r="F316" s="342"/>
    </row>
    <row r="317">
      <c r="A317" s="337"/>
      <c r="B317" s="337"/>
      <c r="C317" s="338"/>
      <c r="D317" s="338"/>
      <c r="E317" s="338"/>
      <c r="F317" s="342"/>
    </row>
    <row r="318">
      <c r="A318" s="337"/>
      <c r="B318" s="337"/>
      <c r="C318" s="338"/>
      <c r="D318" s="338"/>
      <c r="E318" s="338"/>
      <c r="F318" s="342"/>
    </row>
    <row r="319">
      <c r="A319" s="337"/>
      <c r="B319" s="337"/>
      <c r="C319" s="338"/>
      <c r="D319" s="338"/>
      <c r="E319" s="338"/>
      <c r="F319" s="342"/>
    </row>
    <row r="320">
      <c r="A320" s="337"/>
      <c r="B320" s="337"/>
      <c r="C320" s="338"/>
      <c r="D320" s="338"/>
      <c r="E320" s="338"/>
      <c r="F320" s="342"/>
    </row>
    <row r="321">
      <c r="A321" s="337"/>
      <c r="B321" s="337"/>
      <c r="C321" s="338"/>
      <c r="D321" s="338"/>
      <c r="E321" s="338"/>
      <c r="F321" s="342"/>
    </row>
    <row r="322">
      <c r="A322" s="337"/>
      <c r="B322" s="337"/>
      <c r="C322" s="338"/>
      <c r="D322" s="338"/>
      <c r="E322" s="338"/>
      <c r="F322" s="342"/>
    </row>
    <row r="323">
      <c r="A323" s="337"/>
      <c r="B323" s="337"/>
      <c r="C323" s="338"/>
      <c r="D323" s="338"/>
      <c r="E323" s="338"/>
      <c r="F323" s="342"/>
    </row>
    <row r="324">
      <c r="A324" s="337"/>
      <c r="B324" s="337"/>
      <c r="C324" s="338"/>
      <c r="D324" s="338"/>
      <c r="E324" s="338"/>
      <c r="F324" s="342"/>
    </row>
    <row r="325">
      <c r="A325" s="337"/>
      <c r="B325" s="337"/>
      <c r="C325" s="338"/>
      <c r="D325" s="338"/>
      <c r="E325" s="338"/>
      <c r="F325" s="342"/>
    </row>
    <row r="326">
      <c r="A326" s="337"/>
      <c r="B326" s="337"/>
      <c r="C326" s="338"/>
      <c r="D326" s="338"/>
      <c r="E326" s="338"/>
      <c r="F326" s="342"/>
    </row>
    <row r="327">
      <c r="A327" s="337"/>
      <c r="B327" s="337"/>
      <c r="C327" s="338"/>
      <c r="D327" s="338"/>
      <c r="E327" s="338"/>
      <c r="F327" s="342"/>
    </row>
    <row r="328">
      <c r="A328" s="337"/>
      <c r="B328" s="337"/>
      <c r="C328" s="338"/>
      <c r="D328" s="338"/>
      <c r="E328" s="338"/>
      <c r="F328" s="342"/>
    </row>
    <row r="329">
      <c r="A329" s="337"/>
      <c r="B329" s="337"/>
      <c r="C329" s="338"/>
      <c r="D329" s="338"/>
      <c r="E329" s="338"/>
      <c r="F329" s="342"/>
    </row>
    <row r="330">
      <c r="A330" s="337"/>
      <c r="B330" s="337"/>
      <c r="C330" s="338"/>
      <c r="D330" s="338"/>
      <c r="E330" s="338"/>
      <c r="F330" s="342"/>
    </row>
    <row r="331">
      <c r="A331" s="337"/>
      <c r="B331" s="337"/>
      <c r="C331" s="338"/>
      <c r="D331" s="338"/>
      <c r="E331" s="338"/>
      <c r="F331" s="342"/>
    </row>
    <row r="332">
      <c r="A332" s="337"/>
      <c r="B332" s="337"/>
      <c r="C332" s="338"/>
      <c r="D332" s="338"/>
      <c r="E332" s="338"/>
      <c r="F332" s="342"/>
    </row>
    <row r="333">
      <c r="A333" s="337"/>
      <c r="B333" s="337"/>
      <c r="C333" s="338"/>
      <c r="D333" s="338"/>
      <c r="E333" s="338"/>
      <c r="F333" s="342"/>
    </row>
    <row r="334">
      <c r="A334" s="337"/>
      <c r="B334" s="337"/>
      <c r="C334" s="338"/>
      <c r="D334" s="338"/>
      <c r="E334" s="338"/>
      <c r="F334" s="342"/>
    </row>
    <row r="335">
      <c r="A335" s="337"/>
      <c r="B335" s="337"/>
      <c r="C335" s="338"/>
      <c r="D335" s="338"/>
      <c r="E335" s="338"/>
      <c r="F335" s="342"/>
    </row>
    <row r="336">
      <c r="A336" s="337"/>
      <c r="B336" s="337"/>
      <c r="C336" s="338"/>
      <c r="D336" s="338"/>
      <c r="E336" s="338"/>
      <c r="F336" s="342"/>
    </row>
    <row r="337">
      <c r="A337" s="337"/>
      <c r="B337" s="337"/>
      <c r="C337" s="338"/>
      <c r="D337" s="338"/>
      <c r="E337" s="338"/>
      <c r="F337" s="342"/>
    </row>
    <row r="338">
      <c r="A338" s="337"/>
      <c r="B338" s="337"/>
      <c r="C338" s="338"/>
      <c r="D338" s="338"/>
      <c r="E338" s="338"/>
      <c r="F338" s="342"/>
    </row>
    <row r="339">
      <c r="A339" s="337"/>
      <c r="B339" s="337"/>
      <c r="C339" s="338"/>
      <c r="D339" s="338"/>
      <c r="E339" s="338"/>
      <c r="F339" s="342"/>
    </row>
    <row r="340">
      <c r="A340" s="337"/>
      <c r="B340" s="337"/>
      <c r="C340" s="338"/>
      <c r="D340" s="338"/>
      <c r="E340" s="338"/>
      <c r="F340" s="342"/>
    </row>
    <row r="341">
      <c r="A341" s="337"/>
      <c r="B341" s="337"/>
      <c r="C341" s="338"/>
      <c r="D341" s="338"/>
      <c r="E341" s="338"/>
      <c r="F341" s="342"/>
    </row>
    <row r="342">
      <c r="A342" s="337"/>
      <c r="B342" s="337"/>
      <c r="C342" s="338"/>
      <c r="D342" s="338"/>
      <c r="E342" s="338"/>
      <c r="F342" s="342"/>
    </row>
    <row r="343">
      <c r="A343" s="337"/>
      <c r="B343" s="337"/>
      <c r="C343" s="338"/>
      <c r="D343" s="338"/>
      <c r="E343" s="338"/>
      <c r="F343" s="342"/>
    </row>
    <row r="344">
      <c r="A344" s="337"/>
      <c r="B344" s="337"/>
      <c r="C344" s="338"/>
      <c r="D344" s="338"/>
      <c r="E344" s="338"/>
      <c r="F344" s="342"/>
    </row>
    <row r="345">
      <c r="A345" s="337"/>
      <c r="B345" s="337"/>
      <c r="C345" s="338"/>
      <c r="D345" s="338"/>
      <c r="E345" s="338"/>
      <c r="F345" s="342"/>
    </row>
    <row r="346">
      <c r="A346" s="337"/>
      <c r="B346" s="337"/>
      <c r="C346" s="338"/>
      <c r="D346" s="338"/>
      <c r="E346" s="338"/>
      <c r="F346" s="342"/>
    </row>
    <row r="347">
      <c r="A347" s="337"/>
      <c r="B347" s="337"/>
      <c r="C347" s="338"/>
      <c r="D347" s="338"/>
      <c r="E347" s="338"/>
      <c r="F347" s="342"/>
    </row>
    <row r="348">
      <c r="A348" s="337"/>
      <c r="B348" s="337"/>
      <c r="C348" s="338"/>
      <c r="D348" s="338"/>
      <c r="E348" s="338"/>
      <c r="F348" s="342"/>
    </row>
    <row r="349">
      <c r="A349" s="337"/>
      <c r="B349" s="337"/>
      <c r="C349" s="338"/>
      <c r="D349" s="338"/>
      <c r="E349" s="338"/>
      <c r="F349" s="342"/>
    </row>
    <row r="350">
      <c r="A350" s="337"/>
      <c r="B350" s="337"/>
      <c r="C350" s="338"/>
      <c r="D350" s="338"/>
      <c r="E350" s="338"/>
      <c r="F350" s="342"/>
    </row>
    <row r="351">
      <c r="A351" s="337"/>
      <c r="B351" s="337"/>
      <c r="C351" s="338"/>
      <c r="D351" s="338"/>
      <c r="E351" s="338"/>
      <c r="F351" s="342"/>
    </row>
    <row r="352">
      <c r="A352" s="337"/>
      <c r="B352" s="337"/>
      <c r="C352" s="338"/>
      <c r="D352" s="338"/>
      <c r="E352" s="338"/>
      <c r="F352" s="342"/>
    </row>
    <row r="353">
      <c r="A353" s="337"/>
      <c r="B353" s="337"/>
      <c r="C353" s="338"/>
      <c r="D353" s="338"/>
      <c r="E353" s="338"/>
      <c r="F353" s="342"/>
    </row>
    <row r="354">
      <c r="A354" s="337"/>
      <c r="B354" s="337"/>
      <c r="C354" s="338"/>
      <c r="D354" s="338"/>
      <c r="E354" s="338"/>
      <c r="F354" s="342"/>
    </row>
    <row r="355">
      <c r="A355" s="337"/>
      <c r="B355" s="337"/>
      <c r="C355" s="338"/>
      <c r="D355" s="338"/>
      <c r="E355" s="338"/>
      <c r="F355" s="342"/>
    </row>
    <row r="356">
      <c r="A356" s="337"/>
      <c r="B356" s="337"/>
      <c r="C356" s="338"/>
      <c r="D356" s="338"/>
      <c r="E356" s="338"/>
      <c r="F356" s="342"/>
    </row>
    <row r="357">
      <c r="A357" s="337"/>
      <c r="B357" s="337"/>
      <c r="C357" s="338"/>
      <c r="D357" s="338"/>
      <c r="E357" s="338"/>
      <c r="F357" s="342"/>
    </row>
    <row r="358">
      <c r="A358" s="337"/>
      <c r="B358" s="337"/>
      <c r="C358" s="338"/>
      <c r="D358" s="338"/>
      <c r="E358" s="338"/>
      <c r="F358" s="342"/>
    </row>
    <row r="359">
      <c r="A359" s="337"/>
      <c r="B359" s="337"/>
      <c r="C359" s="338"/>
      <c r="D359" s="338"/>
      <c r="E359" s="338"/>
      <c r="F359" s="342"/>
    </row>
    <row r="360">
      <c r="A360" s="337"/>
      <c r="B360" s="337"/>
      <c r="C360" s="338"/>
      <c r="D360" s="338"/>
      <c r="E360" s="338"/>
      <c r="F360" s="342"/>
    </row>
    <row r="361">
      <c r="A361" s="337"/>
      <c r="B361" s="337"/>
      <c r="C361" s="338"/>
      <c r="D361" s="338"/>
      <c r="E361" s="338"/>
      <c r="F361" s="342"/>
    </row>
    <row r="362">
      <c r="A362" s="337"/>
      <c r="B362" s="337"/>
      <c r="C362" s="338"/>
      <c r="D362" s="338"/>
      <c r="E362" s="338"/>
      <c r="F362" s="342"/>
    </row>
    <row r="363">
      <c r="A363" s="337"/>
      <c r="B363" s="337"/>
      <c r="C363" s="338"/>
      <c r="D363" s="338"/>
      <c r="E363" s="338"/>
      <c r="F363" s="342"/>
    </row>
    <row r="364">
      <c r="A364" s="337"/>
      <c r="B364" s="337"/>
      <c r="C364" s="338"/>
      <c r="D364" s="338"/>
      <c r="E364" s="338"/>
      <c r="F364" s="342"/>
    </row>
    <row r="365">
      <c r="A365" s="337"/>
      <c r="B365" s="337"/>
      <c r="C365" s="338"/>
      <c r="D365" s="338"/>
      <c r="E365" s="338"/>
      <c r="F365" s="342"/>
    </row>
    <row r="366">
      <c r="A366" s="337"/>
      <c r="B366" s="337"/>
      <c r="C366" s="338"/>
      <c r="D366" s="338"/>
      <c r="E366" s="338"/>
      <c r="F366" s="342"/>
    </row>
    <row r="367">
      <c r="A367" s="337"/>
      <c r="B367" s="337"/>
      <c r="C367" s="338"/>
      <c r="D367" s="338"/>
      <c r="E367" s="338"/>
      <c r="F367" s="342"/>
    </row>
    <row r="368">
      <c r="A368" s="337"/>
      <c r="B368" s="337"/>
      <c r="C368" s="338"/>
      <c r="D368" s="338"/>
      <c r="E368" s="338"/>
      <c r="F368" s="342"/>
    </row>
    <row r="369">
      <c r="A369" s="337"/>
      <c r="B369" s="337"/>
      <c r="C369" s="338"/>
      <c r="D369" s="338"/>
      <c r="E369" s="338"/>
      <c r="F369" s="342"/>
    </row>
    <row r="370">
      <c r="A370" s="337"/>
      <c r="B370" s="337"/>
      <c r="C370" s="338"/>
      <c r="D370" s="338"/>
      <c r="E370" s="338"/>
      <c r="F370" s="342"/>
    </row>
    <row r="371">
      <c r="A371" s="337"/>
      <c r="B371" s="337"/>
      <c r="C371" s="338"/>
      <c r="D371" s="338"/>
      <c r="E371" s="338"/>
      <c r="F371" s="342"/>
    </row>
    <row r="372">
      <c r="A372" s="337"/>
      <c r="B372" s="337"/>
      <c r="C372" s="338"/>
      <c r="D372" s="338"/>
      <c r="E372" s="338"/>
      <c r="F372" s="342"/>
    </row>
    <row r="373">
      <c r="A373" s="337"/>
      <c r="B373" s="337"/>
      <c r="C373" s="338"/>
      <c r="D373" s="338"/>
      <c r="E373" s="338"/>
      <c r="F373" s="342"/>
    </row>
    <row r="374">
      <c r="A374" s="337"/>
      <c r="B374" s="337"/>
      <c r="C374" s="338"/>
      <c r="D374" s="338"/>
      <c r="E374" s="338"/>
      <c r="F374" s="342"/>
    </row>
    <row r="375">
      <c r="A375" s="337"/>
      <c r="B375" s="337"/>
      <c r="C375" s="338"/>
      <c r="D375" s="338"/>
      <c r="E375" s="338"/>
      <c r="F375" s="342"/>
    </row>
    <row r="376">
      <c r="A376" s="337"/>
      <c r="B376" s="337"/>
      <c r="C376" s="338"/>
      <c r="D376" s="338"/>
      <c r="E376" s="338"/>
      <c r="F376" s="342"/>
    </row>
    <row r="377">
      <c r="A377" s="337"/>
      <c r="B377" s="337"/>
      <c r="C377" s="338"/>
      <c r="D377" s="338"/>
      <c r="E377" s="338"/>
      <c r="F377" s="342"/>
    </row>
    <row r="378">
      <c r="A378" s="337"/>
      <c r="B378" s="337"/>
      <c r="C378" s="338"/>
      <c r="D378" s="338"/>
      <c r="E378" s="338"/>
      <c r="F378" s="342"/>
    </row>
    <row r="379">
      <c r="A379" s="337"/>
      <c r="B379" s="337"/>
      <c r="C379" s="338"/>
      <c r="D379" s="338"/>
      <c r="E379" s="338"/>
      <c r="F379" s="342"/>
    </row>
    <row r="380">
      <c r="A380" s="337"/>
      <c r="B380" s="337"/>
      <c r="C380" s="338"/>
      <c r="D380" s="338"/>
      <c r="E380" s="338"/>
      <c r="F380" s="342"/>
    </row>
    <row r="381">
      <c r="A381" s="337"/>
      <c r="B381" s="337"/>
      <c r="C381" s="338"/>
      <c r="D381" s="338"/>
      <c r="E381" s="338"/>
      <c r="F381" s="342"/>
    </row>
    <row r="382">
      <c r="A382" s="337"/>
      <c r="B382" s="337"/>
      <c r="C382" s="338"/>
      <c r="D382" s="338"/>
      <c r="E382" s="338"/>
      <c r="F382" s="342"/>
    </row>
    <row r="383">
      <c r="A383" s="337"/>
      <c r="B383" s="337"/>
      <c r="C383" s="338"/>
      <c r="D383" s="338"/>
      <c r="E383" s="338"/>
      <c r="F383" s="342"/>
    </row>
    <row r="384">
      <c r="A384" s="337"/>
      <c r="B384" s="337"/>
      <c r="C384" s="338"/>
      <c r="D384" s="338"/>
      <c r="E384" s="338"/>
      <c r="F384" s="342"/>
    </row>
    <row r="385">
      <c r="A385" s="337"/>
      <c r="B385" s="337"/>
      <c r="C385" s="338"/>
      <c r="D385" s="338"/>
      <c r="E385" s="338"/>
      <c r="F385" s="342"/>
    </row>
    <row r="386">
      <c r="A386" s="337"/>
      <c r="B386" s="337"/>
      <c r="C386" s="338"/>
      <c r="D386" s="338"/>
      <c r="E386" s="338"/>
      <c r="F386" s="342"/>
    </row>
    <row r="387">
      <c r="A387" s="337"/>
      <c r="B387" s="337"/>
      <c r="C387" s="338"/>
      <c r="D387" s="338"/>
      <c r="E387" s="338"/>
      <c r="F387" s="342"/>
    </row>
    <row r="388">
      <c r="A388" s="337"/>
      <c r="B388" s="337"/>
      <c r="C388" s="338"/>
      <c r="D388" s="338"/>
      <c r="E388" s="338"/>
      <c r="F388" s="342"/>
    </row>
    <row r="389">
      <c r="A389" s="337"/>
      <c r="B389" s="337"/>
      <c r="C389" s="338"/>
      <c r="D389" s="338"/>
      <c r="E389" s="338"/>
      <c r="F389" s="342"/>
    </row>
    <row r="390">
      <c r="A390" s="337"/>
      <c r="B390" s="337"/>
      <c r="C390" s="338"/>
      <c r="D390" s="338"/>
      <c r="E390" s="338"/>
      <c r="F390" s="342"/>
    </row>
    <row r="391">
      <c r="A391" s="337"/>
      <c r="B391" s="337"/>
      <c r="C391" s="338"/>
      <c r="D391" s="338"/>
      <c r="E391" s="338"/>
      <c r="F391" s="342"/>
    </row>
    <row r="392">
      <c r="A392" s="337"/>
      <c r="B392" s="337"/>
      <c r="C392" s="338"/>
      <c r="D392" s="338"/>
      <c r="E392" s="338"/>
      <c r="F392" s="342"/>
    </row>
    <row r="393">
      <c r="A393" s="337"/>
      <c r="B393" s="337"/>
      <c r="C393" s="338"/>
      <c r="D393" s="338"/>
      <c r="E393" s="338"/>
      <c r="F393" s="342"/>
    </row>
    <row r="394">
      <c r="A394" s="337"/>
      <c r="B394" s="337"/>
      <c r="C394" s="338"/>
      <c r="D394" s="338"/>
      <c r="E394" s="338"/>
      <c r="F394" s="342"/>
    </row>
    <row r="395">
      <c r="A395" s="337"/>
      <c r="B395" s="337"/>
      <c r="C395" s="338"/>
      <c r="D395" s="338"/>
      <c r="E395" s="338"/>
      <c r="F395" s="342"/>
    </row>
    <row r="396">
      <c r="A396" s="337"/>
      <c r="B396" s="337"/>
      <c r="C396" s="338"/>
      <c r="D396" s="338"/>
      <c r="E396" s="338"/>
      <c r="F396" s="342"/>
    </row>
    <row r="397">
      <c r="A397" s="337"/>
      <c r="B397" s="337"/>
      <c r="C397" s="338"/>
      <c r="D397" s="338"/>
      <c r="E397" s="338"/>
      <c r="F397" s="342"/>
    </row>
    <row r="398">
      <c r="A398" s="337"/>
      <c r="B398" s="337"/>
      <c r="C398" s="338"/>
      <c r="D398" s="338"/>
      <c r="E398" s="338"/>
      <c r="F398" s="342"/>
    </row>
    <row r="399">
      <c r="A399" s="337"/>
      <c r="B399" s="337"/>
      <c r="C399" s="338"/>
      <c r="D399" s="338"/>
      <c r="E399" s="338"/>
      <c r="F399" s="342"/>
    </row>
    <row r="400">
      <c r="A400" s="337"/>
      <c r="B400" s="337"/>
      <c r="C400" s="338"/>
      <c r="D400" s="338"/>
      <c r="E400" s="338"/>
      <c r="F400" s="342"/>
    </row>
    <row r="401">
      <c r="A401" s="337"/>
      <c r="B401" s="337"/>
      <c r="C401" s="338"/>
      <c r="D401" s="338"/>
      <c r="E401" s="338"/>
      <c r="F401" s="342"/>
    </row>
    <row r="402">
      <c r="A402" s="337"/>
      <c r="B402" s="337"/>
      <c r="C402" s="338"/>
      <c r="D402" s="338"/>
      <c r="E402" s="338"/>
      <c r="F402" s="342"/>
    </row>
    <row r="403">
      <c r="A403" s="337"/>
      <c r="B403" s="337"/>
      <c r="C403" s="338"/>
      <c r="D403" s="338"/>
      <c r="E403" s="338"/>
      <c r="F403" s="342"/>
    </row>
    <row r="404">
      <c r="A404" s="337"/>
      <c r="B404" s="337"/>
      <c r="C404" s="338"/>
      <c r="D404" s="338"/>
      <c r="E404" s="338"/>
      <c r="F404" s="342"/>
    </row>
    <row r="405">
      <c r="A405" s="337"/>
      <c r="B405" s="337"/>
      <c r="C405" s="338"/>
      <c r="D405" s="338"/>
      <c r="E405" s="338"/>
      <c r="F405" s="342"/>
    </row>
    <row r="406">
      <c r="A406" s="337"/>
      <c r="B406" s="337"/>
      <c r="C406" s="338"/>
      <c r="D406" s="338"/>
      <c r="E406" s="338"/>
      <c r="F406" s="342"/>
    </row>
    <row r="407">
      <c r="A407" s="337"/>
      <c r="B407" s="337"/>
      <c r="C407" s="338"/>
      <c r="D407" s="338"/>
      <c r="E407" s="338"/>
      <c r="F407" s="342"/>
    </row>
    <row r="408">
      <c r="A408" s="337"/>
      <c r="B408" s="337"/>
      <c r="C408" s="338"/>
      <c r="D408" s="338"/>
      <c r="E408" s="338"/>
      <c r="F408" s="342"/>
    </row>
    <row r="409">
      <c r="A409" s="337"/>
      <c r="B409" s="337"/>
      <c r="C409" s="338"/>
      <c r="D409" s="338"/>
      <c r="E409" s="338"/>
      <c r="F409" s="342"/>
    </row>
    <row r="410">
      <c r="A410" s="337"/>
      <c r="B410" s="337"/>
      <c r="C410" s="338"/>
      <c r="D410" s="338"/>
      <c r="E410" s="338"/>
      <c r="F410" s="342"/>
    </row>
    <row r="411">
      <c r="A411" s="337"/>
      <c r="B411" s="337"/>
      <c r="C411" s="338"/>
      <c r="D411" s="338"/>
      <c r="E411" s="338"/>
      <c r="F411" s="342"/>
    </row>
    <row r="412">
      <c r="A412" s="337"/>
      <c r="B412" s="337"/>
      <c r="C412" s="338"/>
      <c r="D412" s="338"/>
      <c r="E412" s="338"/>
      <c r="F412" s="342"/>
    </row>
    <row r="413">
      <c r="A413" s="337"/>
      <c r="B413" s="337"/>
      <c r="C413" s="338"/>
      <c r="D413" s="338"/>
      <c r="E413" s="338"/>
      <c r="F413" s="342"/>
    </row>
    <row r="414">
      <c r="A414" s="337"/>
      <c r="B414" s="337"/>
      <c r="C414" s="338"/>
      <c r="D414" s="338"/>
      <c r="E414" s="338"/>
      <c r="F414" s="342"/>
    </row>
    <row r="415">
      <c r="A415" s="337"/>
      <c r="B415" s="337"/>
      <c r="C415" s="338"/>
      <c r="D415" s="338"/>
      <c r="E415" s="338"/>
      <c r="F415" s="342"/>
    </row>
    <row r="416">
      <c r="A416" s="337"/>
      <c r="B416" s="337"/>
      <c r="C416" s="338"/>
      <c r="D416" s="338"/>
      <c r="E416" s="338"/>
      <c r="F416" s="342"/>
    </row>
    <row r="417">
      <c r="A417" s="337"/>
      <c r="B417" s="337"/>
      <c r="C417" s="338"/>
      <c r="D417" s="338"/>
      <c r="E417" s="338"/>
      <c r="F417" s="342"/>
    </row>
    <row r="418">
      <c r="A418" s="337"/>
      <c r="B418" s="337"/>
      <c r="C418" s="338"/>
      <c r="D418" s="338"/>
      <c r="E418" s="338"/>
      <c r="F418" s="342"/>
    </row>
    <row r="419">
      <c r="A419" s="337"/>
      <c r="B419" s="337"/>
      <c r="C419" s="338"/>
      <c r="D419" s="338"/>
      <c r="E419" s="338"/>
      <c r="F419" s="342"/>
    </row>
    <row r="420">
      <c r="A420" s="337"/>
      <c r="B420" s="337"/>
      <c r="C420" s="338"/>
      <c r="D420" s="338"/>
      <c r="E420" s="338"/>
      <c r="F420" s="342"/>
    </row>
    <row r="421">
      <c r="A421" s="337"/>
      <c r="B421" s="337"/>
      <c r="C421" s="338"/>
      <c r="D421" s="338"/>
      <c r="E421" s="338"/>
      <c r="F421" s="342"/>
    </row>
    <row r="422">
      <c r="A422" s="337"/>
      <c r="B422" s="337"/>
      <c r="C422" s="338"/>
      <c r="D422" s="338"/>
      <c r="E422" s="338"/>
      <c r="F422" s="342"/>
    </row>
    <row r="423">
      <c r="A423" s="337"/>
      <c r="B423" s="337"/>
      <c r="C423" s="338"/>
      <c r="D423" s="338"/>
      <c r="E423" s="338"/>
      <c r="F423" s="342"/>
    </row>
    <row r="424">
      <c r="A424" s="337"/>
      <c r="B424" s="337"/>
      <c r="C424" s="338"/>
      <c r="D424" s="338"/>
      <c r="E424" s="338"/>
      <c r="F424" s="342"/>
    </row>
    <row r="425">
      <c r="A425" s="337"/>
      <c r="B425" s="337"/>
      <c r="C425" s="338"/>
      <c r="D425" s="338"/>
      <c r="E425" s="338"/>
      <c r="F425" s="342"/>
    </row>
    <row r="426">
      <c r="A426" s="337"/>
      <c r="B426" s="337"/>
      <c r="C426" s="338"/>
      <c r="D426" s="338"/>
      <c r="E426" s="338"/>
      <c r="F426" s="342"/>
    </row>
    <row r="427">
      <c r="A427" s="337"/>
      <c r="B427" s="337"/>
      <c r="C427" s="338"/>
      <c r="D427" s="338"/>
      <c r="E427" s="338"/>
      <c r="F427" s="342"/>
    </row>
    <row r="428">
      <c r="A428" s="337"/>
      <c r="B428" s="337"/>
      <c r="C428" s="338"/>
      <c r="D428" s="338"/>
      <c r="E428" s="338"/>
      <c r="F428" s="342"/>
    </row>
    <row r="429">
      <c r="A429" s="337"/>
      <c r="B429" s="337"/>
      <c r="C429" s="338"/>
      <c r="D429" s="338"/>
      <c r="E429" s="338"/>
      <c r="F429" s="342"/>
    </row>
    <row r="430">
      <c r="A430" s="337"/>
      <c r="B430" s="337"/>
      <c r="C430" s="338"/>
      <c r="D430" s="338"/>
      <c r="E430" s="338"/>
      <c r="F430" s="342"/>
    </row>
    <row r="431">
      <c r="A431" s="337"/>
      <c r="B431" s="337"/>
      <c r="C431" s="338"/>
      <c r="D431" s="338"/>
      <c r="E431" s="338"/>
      <c r="F431" s="342"/>
    </row>
    <row r="432">
      <c r="A432" s="337"/>
      <c r="B432" s="337"/>
      <c r="C432" s="338"/>
      <c r="D432" s="338"/>
      <c r="E432" s="338"/>
      <c r="F432" s="342"/>
    </row>
    <row r="433">
      <c r="A433" s="337"/>
      <c r="B433" s="337"/>
      <c r="C433" s="338"/>
      <c r="D433" s="338"/>
      <c r="E433" s="338"/>
      <c r="F433" s="342"/>
    </row>
    <row r="434">
      <c r="A434" s="337"/>
      <c r="B434" s="337"/>
      <c r="C434" s="338"/>
      <c r="D434" s="338"/>
      <c r="E434" s="338"/>
      <c r="F434" s="342"/>
    </row>
    <row r="435">
      <c r="A435" s="337"/>
      <c r="B435" s="337"/>
      <c r="C435" s="338"/>
      <c r="D435" s="338"/>
      <c r="E435" s="338"/>
      <c r="F435" s="342"/>
    </row>
    <row r="436">
      <c r="A436" s="337"/>
      <c r="B436" s="337"/>
      <c r="C436" s="338"/>
      <c r="D436" s="338"/>
      <c r="E436" s="338"/>
      <c r="F436" s="342"/>
    </row>
    <row r="437">
      <c r="A437" s="337"/>
      <c r="B437" s="337"/>
      <c r="C437" s="338"/>
      <c r="D437" s="338"/>
      <c r="E437" s="338"/>
      <c r="F437" s="342"/>
    </row>
    <row r="438">
      <c r="A438" s="337"/>
      <c r="B438" s="337"/>
      <c r="C438" s="338"/>
      <c r="D438" s="338"/>
      <c r="E438" s="338"/>
      <c r="F438" s="342"/>
    </row>
    <row r="439">
      <c r="A439" s="337"/>
      <c r="B439" s="337"/>
      <c r="C439" s="338"/>
      <c r="D439" s="338"/>
      <c r="E439" s="338"/>
      <c r="F439" s="342"/>
    </row>
    <row r="440">
      <c r="A440" s="337"/>
      <c r="B440" s="337"/>
      <c r="C440" s="338"/>
      <c r="D440" s="338"/>
      <c r="E440" s="338"/>
      <c r="F440" s="342"/>
    </row>
    <row r="441">
      <c r="A441" s="337"/>
      <c r="B441" s="337"/>
      <c r="C441" s="338"/>
      <c r="D441" s="338"/>
      <c r="E441" s="338"/>
      <c r="F441" s="342"/>
    </row>
    <row r="442">
      <c r="A442" s="337"/>
      <c r="B442" s="337"/>
      <c r="C442" s="338"/>
      <c r="D442" s="338"/>
      <c r="E442" s="338"/>
      <c r="F442" s="342"/>
    </row>
    <row r="443">
      <c r="A443" s="337"/>
      <c r="B443" s="337"/>
      <c r="C443" s="338"/>
      <c r="D443" s="338"/>
      <c r="E443" s="338"/>
      <c r="F443" s="342"/>
    </row>
    <row r="444">
      <c r="A444" s="337"/>
      <c r="B444" s="337"/>
      <c r="C444" s="338"/>
      <c r="D444" s="338"/>
      <c r="E444" s="338"/>
      <c r="F444" s="342"/>
    </row>
    <row r="445">
      <c r="A445" s="337"/>
      <c r="B445" s="337"/>
      <c r="C445" s="338"/>
      <c r="D445" s="338"/>
      <c r="E445" s="338"/>
      <c r="F445" s="342"/>
    </row>
    <row r="446">
      <c r="A446" s="337"/>
      <c r="B446" s="337"/>
      <c r="C446" s="338"/>
      <c r="D446" s="338"/>
      <c r="E446" s="338"/>
      <c r="F446" s="342"/>
    </row>
    <row r="447">
      <c r="A447" s="337"/>
      <c r="B447" s="337"/>
      <c r="C447" s="338"/>
      <c r="D447" s="338"/>
      <c r="E447" s="338"/>
      <c r="F447" s="342"/>
    </row>
    <row r="448">
      <c r="A448" s="337"/>
      <c r="B448" s="337"/>
      <c r="C448" s="338"/>
      <c r="D448" s="338"/>
      <c r="E448" s="338"/>
      <c r="F448" s="342"/>
    </row>
    <row r="449">
      <c r="A449" s="337"/>
      <c r="B449" s="337"/>
      <c r="C449" s="338"/>
      <c r="D449" s="338"/>
      <c r="E449" s="338"/>
      <c r="F449" s="342"/>
    </row>
    <row r="450">
      <c r="A450" s="337"/>
      <c r="B450" s="337"/>
      <c r="C450" s="338"/>
      <c r="D450" s="338"/>
      <c r="E450" s="338"/>
      <c r="F450" s="342"/>
    </row>
    <row r="451">
      <c r="A451" s="337"/>
      <c r="B451" s="337"/>
      <c r="C451" s="338"/>
      <c r="D451" s="338"/>
      <c r="E451" s="338"/>
      <c r="F451" s="342"/>
    </row>
    <row r="452">
      <c r="A452" s="337"/>
      <c r="B452" s="337"/>
      <c r="C452" s="338"/>
      <c r="D452" s="338"/>
      <c r="E452" s="338"/>
      <c r="F452" s="342"/>
    </row>
    <row r="453">
      <c r="A453" s="337"/>
      <c r="B453" s="337"/>
      <c r="C453" s="338"/>
      <c r="D453" s="338"/>
      <c r="E453" s="338"/>
      <c r="F453" s="342"/>
    </row>
    <row r="454">
      <c r="A454" s="337"/>
      <c r="B454" s="337"/>
      <c r="C454" s="338"/>
      <c r="D454" s="338"/>
      <c r="E454" s="338"/>
      <c r="F454" s="342"/>
    </row>
    <row r="455">
      <c r="A455" s="337"/>
      <c r="B455" s="337"/>
      <c r="C455" s="338"/>
      <c r="D455" s="338"/>
      <c r="E455" s="338"/>
      <c r="F455" s="342"/>
    </row>
    <row r="456">
      <c r="A456" s="337"/>
      <c r="B456" s="337"/>
      <c r="C456" s="338"/>
      <c r="D456" s="338"/>
      <c r="E456" s="338"/>
      <c r="F456" s="342"/>
    </row>
    <row r="457">
      <c r="A457" s="337"/>
      <c r="B457" s="337"/>
      <c r="C457" s="338"/>
      <c r="D457" s="338"/>
      <c r="E457" s="338"/>
      <c r="F457" s="342"/>
    </row>
    <row r="458">
      <c r="A458" s="337"/>
      <c r="B458" s="337"/>
      <c r="C458" s="338"/>
      <c r="D458" s="338"/>
      <c r="E458" s="338"/>
      <c r="F458" s="342"/>
    </row>
    <row r="459">
      <c r="A459" s="337"/>
      <c r="B459" s="337"/>
      <c r="C459" s="338"/>
      <c r="D459" s="338"/>
      <c r="E459" s="338"/>
      <c r="F459" s="342"/>
    </row>
    <row r="460">
      <c r="A460" s="337"/>
      <c r="B460" s="337"/>
      <c r="C460" s="338"/>
      <c r="D460" s="338"/>
      <c r="E460" s="338"/>
      <c r="F460" s="342"/>
    </row>
    <row r="461">
      <c r="A461" s="337"/>
      <c r="B461" s="337"/>
      <c r="C461" s="338"/>
      <c r="D461" s="338"/>
      <c r="E461" s="338"/>
      <c r="F461" s="342"/>
    </row>
    <row r="462">
      <c r="A462" s="337"/>
      <c r="B462" s="337"/>
      <c r="C462" s="338"/>
      <c r="D462" s="338"/>
      <c r="E462" s="338"/>
      <c r="F462" s="342"/>
    </row>
    <row r="463">
      <c r="A463" s="337"/>
      <c r="B463" s="337"/>
      <c r="C463" s="338"/>
      <c r="D463" s="338"/>
      <c r="E463" s="338"/>
      <c r="F463" s="342"/>
    </row>
    <row r="464">
      <c r="A464" s="337"/>
      <c r="B464" s="337"/>
      <c r="C464" s="338"/>
      <c r="D464" s="338"/>
      <c r="E464" s="338"/>
      <c r="F464" s="342"/>
    </row>
    <row r="465">
      <c r="A465" s="337"/>
      <c r="B465" s="337"/>
      <c r="C465" s="338"/>
      <c r="D465" s="338"/>
      <c r="E465" s="338"/>
      <c r="F465" s="342"/>
    </row>
    <row r="466">
      <c r="A466" s="337"/>
      <c r="B466" s="337"/>
      <c r="C466" s="338"/>
      <c r="D466" s="338"/>
      <c r="E466" s="338"/>
      <c r="F466" s="342"/>
    </row>
    <row r="467">
      <c r="A467" s="337"/>
      <c r="B467" s="337"/>
      <c r="C467" s="338"/>
      <c r="D467" s="338"/>
      <c r="E467" s="338"/>
      <c r="F467" s="342"/>
    </row>
    <row r="468">
      <c r="A468" s="337"/>
      <c r="B468" s="337"/>
      <c r="C468" s="338"/>
      <c r="D468" s="338"/>
      <c r="E468" s="338"/>
      <c r="F468" s="342"/>
    </row>
    <row r="469">
      <c r="A469" s="337"/>
      <c r="B469" s="337"/>
      <c r="C469" s="338"/>
      <c r="D469" s="338"/>
      <c r="E469" s="338"/>
      <c r="F469" s="342"/>
    </row>
    <row r="470">
      <c r="A470" s="337"/>
      <c r="B470" s="337"/>
      <c r="C470" s="338"/>
      <c r="D470" s="338"/>
      <c r="E470" s="338"/>
      <c r="F470" s="342"/>
    </row>
    <row r="471">
      <c r="A471" s="337"/>
      <c r="B471" s="45" t="s">
        <v>11</v>
      </c>
      <c r="C471" s="338"/>
      <c r="D471" s="338"/>
      <c r="E471" s="338"/>
      <c r="F471" s="342"/>
    </row>
    <row r="472">
      <c r="A472" s="337"/>
      <c r="B472" s="45" t="s">
        <v>11</v>
      </c>
      <c r="C472" s="338"/>
      <c r="D472" s="338"/>
      <c r="E472" s="338"/>
      <c r="F472" s="342"/>
    </row>
    <row r="473">
      <c r="A473" s="337"/>
      <c r="B473" s="337"/>
      <c r="C473" s="338"/>
      <c r="D473" s="338"/>
      <c r="E473" s="338"/>
      <c r="F473" s="342"/>
    </row>
    <row r="474">
      <c r="A474" s="337"/>
      <c r="B474" s="337"/>
      <c r="C474" s="338"/>
      <c r="D474" s="338"/>
      <c r="E474" s="338"/>
      <c r="F474" s="342"/>
    </row>
    <row r="475">
      <c r="A475" s="337"/>
      <c r="B475" s="337"/>
      <c r="C475" s="338"/>
      <c r="D475" s="338"/>
      <c r="E475" s="338"/>
      <c r="F475" s="342"/>
    </row>
    <row r="476">
      <c r="A476" s="337"/>
      <c r="B476" s="337"/>
      <c r="C476" s="338"/>
      <c r="D476" s="338"/>
      <c r="E476" s="338"/>
      <c r="F476" s="342"/>
    </row>
    <row r="477">
      <c r="A477" s="337"/>
      <c r="B477" s="337"/>
      <c r="C477" s="338"/>
      <c r="D477" s="338"/>
      <c r="E477" s="338"/>
      <c r="F477" s="342"/>
    </row>
    <row r="478">
      <c r="A478" s="337"/>
      <c r="B478" s="337"/>
      <c r="C478" s="338"/>
      <c r="D478" s="338"/>
      <c r="E478" s="338"/>
      <c r="F478" s="342"/>
    </row>
    <row r="479">
      <c r="A479" s="337"/>
      <c r="B479" s="337"/>
      <c r="C479" s="338"/>
      <c r="D479" s="338"/>
      <c r="E479" s="338"/>
      <c r="F479" s="342"/>
    </row>
    <row r="480">
      <c r="A480" s="337"/>
      <c r="B480" s="337"/>
      <c r="C480" s="338"/>
      <c r="D480" s="338"/>
      <c r="E480" s="338"/>
      <c r="F480" s="342"/>
    </row>
    <row r="481">
      <c r="A481" s="337"/>
      <c r="B481" s="337"/>
      <c r="C481" s="338"/>
      <c r="D481" s="338"/>
      <c r="E481" s="338"/>
      <c r="F481" s="342"/>
    </row>
    <row r="482">
      <c r="A482" s="337"/>
      <c r="B482" s="337"/>
      <c r="C482" s="338"/>
      <c r="D482" s="338"/>
      <c r="E482" s="338"/>
      <c r="F482" s="342"/>
    </row>
    <row r="483">
      <c r="A483" s="337"/>
      <c r="B483" s="337"/>
      <c r="C483" s="338"/>
      <c r="D483" s="338"/>
      <c r="E483" s="338"/>
      <c r="F483" s="342"/>
    </row>
    <row r="484">
      <c r="A484" s="337"/>
      <c r="B484" s="337"/>
      <c r="C484" s="338"/>
      <c r="D484" s="338"/>
      <c r="E484" s="338"/>
      <c r="F484" s="342"/>
    </row>
    <row r="485">
      <c r="A485" s="337"/>
      <c r="B485" s="337"/>
      <c r="C485" s="338"/>
      <c r="D485" s="338"/>
      <c r="E485" s="338"/>
      <c r="F485" s="342"/>
    </row>
    <row r="486">
      <c r="A486" s="337"/>
      <c r="B486" s="337"/>
      <c r="C486" s="338"/>
      <c r="D486" s="338"/>
      <c r="E486" s="338"/>
      <c r="F486" s="342"/>
    </row>
    <row r="487">
      <c r="A487" s="337"/>
      <c r="B487" s="337"/>
      <c r="C487" s="338"/>
      <c r="D487" s="338"/>
      <c r="E487" s="338"/>
      <c r="F487" s="342"/>
    </row>
    <row r="488">
      <c r="A488" s="337"/>
      <c r="B488" s="337"/>
      <c r="C488" s="338"/>
      <c r="D488" s="338"/>
      <c r="E488" s="338"/>
      <c r="F488" s="342"/>
    </row>
    <row r="489">
      <c r="A489" s="337"/>
      <c r="B489" s="337"/>
      <c r="C489" s="338"/>
      <c r="D489" s="338"/>
      <c r="E489" s="338"/>
      <c r="F489" s="342"/>
    </row>
    <row r="490">
      <c r="A490" s="337"/>
      <c r="B490" s="337"/>
      <c r="C490" s="338"/>
      <c r="D490" s="338"/>
      <c r="E490" s="338"/>
      <c r="F490" s="342"/>
    </row>
    <row r="491">
      <c r="A491" s="337"/>
      <c r="B491" s="337"/>
      <c r="C491" s="338"/>
      <c r="D491" s="338"/>
      <c r="E491" s="338"/>
      <c r="F491" s="342"/>
    </row>
    <row r="492">
      <c r="A492" s="337"/>
      <c r="B492" s="337"/>
      <c r="C492" s="338"/>
      <c r="D492" s="338"/>
      <c r="E492" s="338"/>
      <c r="F492" s="342"/>
    </row>
    <row r="493">
      <c r="A493" s="337"/>
      <c r="B493" s="337"/>
      <c r="C493" s="338"/>
      <c r="D493" s="338"/>
      <c r="E493" s="338"/>
      <c r="F493" s="342"/>
    </row>
    <row r="494">
      <c r="A494" s="337"/>
      <c r="B494" s="337"/>
      <c r="C494" s="338"/>
      <c r="D494" s="338"/>
      <c r="E494" s="338"/>
      <c r="F494" s="342"/>
    </row>
    <row r="495">
      <c r="A495" s="337"/>
      <c r="B495" s="337"/>
      <c r="C495" s="338"/>
      <c r="D495" s="338"/>
      <c r="E495" s="338"/>
      <c r="F495" s="342"/>
    </row>
    <row r="496">
      <c r="A496" s="337"/>
      <c r="B496" s="337"/>
      <c r="C496" s="338"/>
      <c r="D496" s="338"/>
      <c r="E496" s="338"/>
      <c r="F496" s="342"/>
    </row>
    <row r="497">
      <c r="A497" s="337"/>
      <c r="B497" s="337"/>
      <c r="C497" s="338"/>
      <c r="D497" s="338"/>
      <c r="E497" s="338"/>
      <c r="F497" s="342"/>
    </row>
    <row r="498">
      <c r="A498" s="337"/>
      <c r="B498" s="337"/>
      <c r="C498" s="338"/>
      <c r="D498" s="338"/>
      <c r="E498" s="338"/>
      <c r="F498" s="342"/>
    </row>
    <row r="499">
      <c r="A499" s="337"/>
      <c r="B499" s="337"/>
      <c r="C499" s="338"/>
      <c r="D499" s="338"/>
      <c r="E499" s="338"/>
      <c r="F499" s="342"/>
    </row>
    <row r="500">
      <c r="A500" s="337"/>
      <c r="B500" s="337"/>
      <c r="C500" s="338"/>
      <c r="D500" s="338"/>
      <c r="E500" s="338"/>
      <c r="F500" s="342"/>
    </row>
    <row r="501">
      <c r="A501" s="337"/>
      <c r="B501" s="337"/>
      <c r="C501" s="338"/>
      <c r="D501" s="338"/>
      <c r="E501" s="338"/>
      <c r="F501" s="342"/>
    </row>
    <row r="502">
      <c r="A502" s="337"/>
      <c r="B502" s="337"/>
      <c r="C502" s="338"/>
      <c r="D502" s="338"/>
      <c r="E502" s="338"/>
      <c r="F502" s="342"/>
    </row>
    <row r="503">
      <c r="A503" s="337"/>
      <c r="B503" s="337"/>
      <c r="C503" s="338"/>
      <c r="D503" s="338"/>
      <c r="E503" s="338"/>
      <c r="F503" s="342"/>
    </row>
    <row r="504">
      <c r="A504" s="337"/>
      <c r="B504" s="337"/>
      <c r="C504" s="338"/>
      <c r="D504" s="338"/>
      <c r="E504" s="338"/>
      <c r="F504" s="342"/>
    </row>
    <row r="505">
      <c r="A505" s="337"/>
      <c r="B505" s="337"/>
      <c r="C505" s="338"/>
      <c r="D505" s="338"/>
      <c r="E505" s="338"/>
      <c r="F505" s="342"/>
    </row>
    <row r="506">
      <c r="A506" s="337"/>
      <c r="B506" s="337"/>
      <c r="C506" s="338"/>
      <c r="D506" s="338"/>
      <c r="E506" s="338"/>
      <c r="F506" s="342"/>
    </row>
    <row r="507">
      <c r="A507" s="337"/>
      <c r="B507" s="337"/>
      <c r="C507" s="338"/>
      <c r="D507" s="338"/>
      <c r="E507" s="338"/>
      <c r="F507" s="342"/>
    </row>
    <row r="508">
      <c r="A508" s="337"/>
      <c r="B508" s="337"/>
      <c r="C508" s="338"/>
      <c r="D508" s="338"/>
      <c r="E508" s="338"/>
      <c r="F508" s="342"/>
    </row>
    <row r="509">
      <c r="A509" s="337"/>
      <c r="B509" s="337"/>
      <c r="C509" s="338"/>
      <c r="D509" s="338"/>
      <c r="E509" s="338"/>
      <c r="F509" s="342"/>
    </row>
    <row r="510">
      <c r="A510" s="337"/>
      <c r="B510" s="337"/>
      <c r="C510" s="338"/>
      <c r="D510" s="338"/>
      <c r="E510" s="338"/>
      <c r="F510" s="342"/>
    </row>
    <row r="511">
      <c r="A511" s="337"/>
      <c r="B511" s="337"/>
      <c r="C511" s="338"/>
      <c r="D511" s="338"/>
      <c r="E511" s="338"/>
      <c r="F511" s="342"/>
    </row>
    <row r="512">
      <c r="A512" s="337"/>
      <c r="B512" s="337"/>
      <c r="C512" s="338"/>
      <c r="D512" s="338"/>
      <c r="E512" s="338"/>
      <c r="F512" s="342"/>
    </row>
    <row r="513">
      <c r="A513" s="337"/>
      <c r="B513" s="337"/>
      <c r="C513" s="338"/>
      <c r="D513" s="338"/>
      <c r="E513" s="338"/>
      <c r="F513" s="342"/>
    </row>
    <row r="514">
      <c r="A514" s="337"/>
      <c r="B514" s="337"/>
      <c r="C514" s="338"/>
      <c r="D514" s="338"/>
      <c r="E514" s="338"/>
      <c r="F514" s="342"/>
    </row>
    <row r="515">
      <c r="A515" s="337"/>
      <c r="B515" s="337"/>
      <c r="C515" s="338"/>
      <c r="D515" s="338"/>
      <c r="E515" s="338"/>
      <c r="F515" s="342"/>
    </row>
    <row r="516">
      <c r="A516" s="337"/>
      <c r="B516" s="337"/>
      <c r="C516" s="338"/>
      <c r="D516" s="338"/>
      <c r="E516" s="338"/>
      <c r="F516" s="342"/>
    </row>
    <row r="517">
      <c r="A517" s="337"/>
      <c r="B517" s="337"/>
      <c r="C517" s="338"/>
      <c r="D517" s="338"/>
      <c r="E517" s="338"/>
      <c r="F517" s="342"/>
    </row>
    <row r="518">
      <c r="A518" s="337"/>
      <c r="B518" s="337"/>
      <c r="C518" s="338"/>
      <c r="D518" s="338"/>
      <c r="E518" s="338"/>
      <c r="F518" s="342"/>
    </row>
    <row r="519">
      <c r="A519" s="337"/>
      <c r="B519" s="337"/>
      <c r="C519" s="338"/>
      <c r="D519" s="338"/>
      <c r="E519" s="338"/>
      <c r="F519" s="342"/>
    </row>
    <row r="520">
      <c r="A520" s="337"/>
      <c r="B520" s="337"/>
      <c r="C520" s="338"/>
      <c r="D520" s="338"/>
      <c r="E520" s="338"/>
      <c r="F520" s="342"/>
    </row>
    <row r="521">
      <c r="A521" s="337"/>
      <c r="B521" s="337"/>
      <c r="C521" s="338"/>
      <c r="D521" s="338"/>
      <c r="E521" s="338"/>
      <c r="F521" s="342"/>
    </row>
    <row r="522">
      <c r="A522" s="337"/>
      <c r="B522" s="337"/>
      <c r="C522" s="338"/>
      <c r="D522" s="338"/>
      <c r="E522" s="338"/>
      <c r="F522" s="342"/>
    </row>
    <row r="523">
      <c r="A523" s="337"/>
      <c r="B523" s="337"/>
      <c r="C523" s="338"/>
      <c r="D523" s="338"/>
      <c r="E523" s="338"/>
      <c r="F523" s="342"/>
    </row>
    <row r="524">
      <c r="A524" s="337"/>
      <c r="B524" s="337"/>
      <c r="C524" s="338"/>
      <c r="D524" s="338"/>
      <c r="E524" s="338"/>
      <c r="F524" s="342"/>
    </row>
    <row r="525">
      <c r="A525" s="337"/>
      <c r="B525" s="337"/>
      <c r="C525" s="338"/>
      <c r="D525" s="338"/>
      <c r="E525" s="338"/>
      <c r="F525" s="342"/>
    </row>
    <row r="526">
      <c r="A526" s="337"/>
      <c r="B526" s="337"/>
      <c r="C526" s="338"/>
      <c r="D526" s="338"/>
      <c r="E526" s="338"/>
      <c r="F526" s="342"/>
    </row>
    <row r="527">
      <c r="A527" s="337"/>
      <c r="B527" s="337"/>
      <c r="C527" s="338"/>
      <c r="D527" s="338"/>
      <c r="E527" s="338"/>
      <c r="F527" s="342"/>
    </row>
    <row r="528">
      <c r="A528" s="337"/>
      <c r="B528" s="337"/>
      <c r="C528" s="338"/>
      <c r="D528" s="338"/>
      <c r="E528" s="338"/>
      <c r="F528" s="342"/>
    </row>
    <row r="529">
      <c r="A529" s="337"/>
      <c r="B529" s="337"/>
      <c r="C529" s="338"/>
      <c r="D529" s="338"/>
      <c r="E529" s="338"/>
      <c r="F529" s="342"/>
    </row>
    <row r="530">
      <c r="A530" s="337"/>
      <c r="B530" s="337"/>
      <c r="C530" s="338"/>
      <c r="D530" s="338"/>
      <c r="E530" s="338"/>
      <c r="F530" s="342"/>
    </row>
    <row r="531">
      <c r="A531" s="337"/>
      <c r="B531" s="337"/>
      <c r="C531" s="338"/>
      <c r="D531" s="338"/>
      <c r="E531" s="338"/>
      <c r="F531" s="342"/>
    </row>
    <row r="532">
      <c r="A532" s="337"/>
      <c r="B532" s="337"/>
      <c r="C532" s="338"/>
      <c r="D532" s="338"/>
      <c r="E532" s="338"/>
      <c r="F532" s="342"/>
    </row>
    <row r="533">
      <c r="A533" s="337"/>
      <c r="B533" s="337"/>
      <c r="C533" s="338"/>
      <c r="D533" s="338"/>
      <c r="E533" s="338"/>
      <c r="F533" s="342"/>
    </row>
    <row r="534">
      <c r="A534" s="337"/>
      <c r="B534" s="337"/>
      <c r="C534" s="338"/>
      <c r="D534" s="338"/>
      <c r="E534" s="338"/>
      <c r="F534" s="342"/>
    </row>
    <row r="535">
      <c r="A535" s="337"/>
      <c r="B535" s="337"/>
      <c r="C535" s="338"/>
      <c r="D535" s="338"/>
      <c r="E535" s="338"/>
      <c r="F535" s="342"/>
    </row>
    <row r="536">
      <c r="A536" s="337"/>
      <c r="B536" s="337"/>
      <c r="C536" s="338"/>
      <c r="D536" s="338"/>
      <c r="E536" s="338"/>
      <c r="F536" s="342"/>
    </row>
    <row r="537">
      <c r="A537" s="337"/>
      <c r="B537" s="337"/>
      <c r="C537" s="338"/>
      <c r="D537" s="338"/>
      <c r="E537" s="338"/>
      <c r="F537" s="342"/>
    </row>
    <row r="538">
      <c r="A538" s="337"/>
      <c r="B538" s="337"/>
      <c r="C538" s="338"/>
      <c r="D538" s="338"/>
      <c r="E538" s="338"/>
      <c r="F538" s="342"/>
    </row>
    <row r="539">
      <c r="A539" s="337"/>
      <c r="B539" s="337"/>
      <c r="C539" s="338"/>
      <c r="D539" s="338"/>
      <c r="E539" s="338"/>
      <c r="F539" s="342"/>
    </row>
    <row r="540">
      <c r="A540" s="337"/>
      <c r="B540" s="337"/>
      <c r="C540" s="338"/>
      <c r="D540" s="338"/>
      <c r="E540" s="338"/>
      <c r="F540" s="342"/>
    </row>
    <row r="541">
      <c r="A541" s="337"/>
      <c r="B541" s="337"/>
      <c r="C541" s="338"/>
      <c r="D541" s="338"/>
      <c r="E541" s="338"/>
      <c r="F541" s="342"/>
    </row>
    <row r="542">
      <c r="A542" s="337"/>
      <c r="B542" s="337"/>
      <c r="C542" s="338"/>
      <c r="D542" s="338"/>
      <c r="E542" s="338"/>
      <c r="F542" s="342"/>
    </row>
    <row r="543">
      <c r="A543" s="337"/>
      <c r="B543" s="337"/>
      <c r="C543" s="338"/>
      <c r="D543" s="338"/>
      <c r="E543" s="338"/>
      <c r="F543" s="342"/>
    </row>
    <row r="544">
      <c r="A544" s="337"/>
      <c r="B544" s="337"/>
      <c r="C544" s="338"/>
      <c r="D544" s="338"/>
      <c r="E544" s="338"/>
      <c r="F544" s="342"/>
    </row>
    <row r="545">
      <c r="A545" s="337"/>
      <c r="B545" s="337"/>
      <c r="C545" s="338"/>
      <c r="D545" s="338"/>
      <c r="E545" s="338"/>
      <c r="F545" s="342"/>
    </row>
    <row r="546">
      <c r="A546" s="337"/>
      <c r="B546" s="337"/>
      <c r="C546" s="338"/>
      <c r="D546" s="338"/>
      <c r="E546" s="338"/>
      <c r="F546" s="342"/>
    </row>
    <row r="547">
      <c r="A547" s="337"/>
      <c r="B547" s="337"/>
      <c r="C547" s="338"/>
      <c r="D547" s="338"/>
      <c r="E547" s="338"/>
      <c r="F547" s="342"/>
    </row>
    <row r="548">
      <c r="A548" s="337"/>
      <c r="B548" s="337"/>
      <c r="C548" s="338"/>
      <c r="D548" s="338"/>
      <c r="E548" s="338"/>
      <c r="F548" s="342"/>
    </row>
    <row r="549">
      <c r="A549" s="337"/>
      <c r="B549" s="337"/>
      <c r="C549" s="338"/>
      <c r="D549" s="338"/>
      <c r="E549" s="338"/>
      <c r="F549" s="342"/>
    </row>
    <row r="550">
      <c r="A550" s="337"/>
      <c r="B550" s="337"/>
      <c r="C550" s="338"/>
      <c r="D550" s="338"/>
      <c r="E550" s="338"/>
      <c r="F550" s="342"/>
    </row>
    <row r="551">
      <c r="A551" s="337"/>
      <c r="B551" s="337"/>
      <c r="C551" s="338"/>
      <c r="D551" s="338"/>
      <c r="E551" s="338"/>
      <c r="F551" s="342"/>
    </row>
    <row r="552">
      <c r="A552" s="337"/>
      <c r="B552" s="337"/>
      <c r="C552" s="338"/>
      <c r="D552" s="338"/>
      <c r="E552" s="338"/>
      <c r="F552" s="342"/>
    </row>
    <row r="553">
      <c r="A553" s="337"/>
      <c r="B553" s="337"/>
      <c r="C553" s="338"/>
      <c r="D553" s="338"/>
      <c r="E553" s="338"/>
      <c r="F553" s="342"/>
    </row>
    <row r="554">
      <c r="A554" s="337"/>
      <c r="B554" s="337"/>
      <c r="C554" s="338"/>
      <c r="D554" s="338"/>
      <c r="E554" s="338"/>
      <c r="F554" s="342"/>
    </row>
    <row r="555">
      <c r="A555" s="337"/>
      <c r="B555" s="337"/>
      <c r="C555" s="338"/>
      <c r="D555" s="338"/>
      <c r="E555" s="338"/>
      <c r="F555" s="342"/>
    </row>
    <row r="556">
      <c r="A556" s="337"/>
      <c r="B556" s="337"/>
      <c r="C556" s="338"/>
      <c r="D556" s="338"/>
      <c r="E556" s="338"/>
      <c r="F556" s="342"/>
    </row>
    <row r="557">
      <c r="A557" s="337"/>
      <c r="B557" s="337"/>
      <c r="C557" s="338"/>
      <c r="D557" s="338"/>
      <c r="E557" s="338"/>
      <c r="F557" s="342"/>
    </row>
    <row r="558">
      <c r="A558" s="337"/>
      <c r="B558" s="337"/>
      <c r="C558" s="338"/>
      <c r="D558" s="338"/>
      <c r="E558" s="338"/>
      <c r="F558" s="342"/>
    </row>
    <row r="559">
      <c r="A559" s="337"/>
      <c r="B559" s="337"/>
      <c r="C559" s="338"/>
      <c r="D559" s="338"/>
      <c r="E559" s="338"/>
      <c r="F559" s="342"/>
    </row>
    <row r="560">
      <c r="A560" s="337"/>
      <c r="B560" s="337"/>
      <c r="C560" s="338"/>
      <c r="D560" s="338"/>
      <c r="E560" s="338"/>
      <c r="F560" s="342"/>
    </row>
    <row r="561">
      <c r="A561" s="337"/>
      <c r="B561" s="337"/>
      <c r="C561" s="338"/>
      <c r="D561" s="338"/>
      <c r="E561" s="338"/>
      <c r="F561" s="342"/>
    </row>
    <row r="562">
      <c r="A562" s="337"/>
      <c r="B562" s="337"/>
      <c r="C562" s="338"/>
      <c r="D562" s="338"/>
      <c r="E562" s="338"/>
      <c r="F562" s="342"/>
    </row>
    <row r="563">
      <c r="A563" s="337"/>
      <c r="B563" s="337"/>
      <c r="C563" s="338"/>
      <c r="D563" s="338"/>
      <c r="E563" s="338"/>
      <c r="F563" s="342"/>
    </row>
    <row r="564">
      <c r="A564" s="337"/>
      <c r="B564" s="337"/>
      <c r="C564" s="338"/>
      <c r="D564" s="338"/>
      <c r="E564" s="338"/>
      <c r="F564" s="342"/>
    </row>
    <row r="565">
      <c r="A565" s="337"/>
      <c r="B565" s="337"/>
      <c r="C565" s="338"/>
      <c r="D565" s="338"/>
      <c r="E565" s="338"/>
      <c r="F565" s="342"/>
    </row>
    <row r="566">
      <c r="A566" s="337"/>
      <c r="B566" s="337"/>
      <c r="C566" s="338"/>
      <c r="D566" s="338"/>
      <c r="E566" s="338"/>
      <c r="F566" s="342"/>
    </row>
    <row r="567">
      <c r="A567" s="337"/>
      <c r="B567" s="337"/>
      <c r="C567" s="338"/>
      <c r="D567" s="338"/>
      <c r="E567" s="338"/>
      <c r="F567" s="342"/>
    </row>
    <row r="568">
      <c r="A568" s="337"/>
      <c r="B568" s="337"/>
      <c r="C568" s="338"/>
      <c r="D568" s="338"/>
      <c r="E568" s="338"/>
      <c r="F568" s="342"/>
    </row>
    <row r="569">
      <c r="A569" s="337"/>
      <c r="B569" s="337"/>
      <c r="C569" s="338"/>
      <c r="D569" s="338"/>
      <c r="E569" s="338"/>
      <c r="F569" s="342"/>
    </row>
    <row r="570">
      <c r="A570" s="337"/>
      <c r="B570" s="337"/>
      <c r="C570" s="338"/>
      <c r="D570" s="338"/>
      <c r="E570" s="338"/>
      <c r="F570" s="342"/>
    </row>
    <row r="571">
      <c r="A571" s="337"/>
      <c r="B571" s="337"/>
      <c r="C571" s="338"/>
      <c r="D571" s="338"/>
      <c r="E571" s="338"/>
      <c r="F571" s="342"/>
    </row>
    <row r="572">
      <c r="A572" s="337"/>
      <c r="B572" s="337"/>
      <c r="C572" s="338"/>
      <c r="D572" s="338"/>
      <c r="E572" s="338"/>
      <c r="F572" s="342"/>
    </row>
    <row r="573">
      <c r="A573" s="337"/>
      <c r="B573" s="337"/>
      <c r="C573" s="338"/>
      <c r="D573" s="338"/>
      <c r="E573" s="338"/>
      <c r="F573" s="342"/>
    </row>
    <row r="574">
      <c r="A574" s="337"/>
      <c r="B574" s="337"/>
      <c r="C574" s="338"/>
      <c r="D574" s="338"/>
      <c r="E574" s="338"/>
      <c r="F574" s="342"/>
    </row>
    <row r="575">
      <c r="A575" s="337"/>
      <c r="B575" s="337"/>
      <c r="C575" s="338"/>
      <c r="D575" s="338"/>
      <c r="E575" s="338"/>
      <c r="F575" s="342"/>
    </row>
    <row r="576">
      <c r="A576" s="337"/>
      <c r="B576" s="337"/>
      <c r="C576" s="338"/>
      <c r="D576" s="338"/>
      <c r="E576" s="338"/>
      <c r="F576" s="342"/>
    </row>
    <row r="577">
      <c r="A577" s="337"/>
      <c r="B577" s="337"/>
      <c r="C577" s="338"/>
      <c r="D577" s="338"/>
      <c r="E577" s="338"/>
      <c r="F577" s="342"/>
    </row>
    <row r="578">
      <c r="A578" s="337"/>
      <c r="B578" s="337"/>
      <c r="C578" s="338"/>
      <c r="D578" s="338"/>
      <c r="E578" s="338"/>
      <c r="F578" s="342"/>
    </row>
    <row r="579">
      <c r="A579" s="337"/>
      <c r="B579" s="337"/>
      <c r="C579" s="338"/>
      <c r="D579" s="338"/>
      <c r="E579" s="338"/>
      <c r="F579" s="342"/>
    </row>
    <row r="580">
      <c r="A580" s="337"/>
      <c r="B580" s="337"/>
      <c r="C580" s="338"/>
      <c r="D580" s="338"/>
      <c r="E580" s="338"/>
      <c r="F580" s="342"/>
    </row>
    <row r="581">
      <c r="A581" s="337"/>
      <c r="B581" s="337"/>
      <c r="C581" s="338"/>
      <c r="D581" s="338"/>
      <c r="E581" s="338"/>
      <c r="F581" s="342"/>
    </row>
    <row r="582">
      <c r="A582" s="337"/>
      <c r="B582" s="337"/>
      <c r="C582" s="338"/>
      <c r="D582" s="338"/>
      <c r="E582" s="338"/>
      <c r="F582" s="342"/>
    </row>
    <row r="583">
      <c r="A583" s="337"/>
      <c r="B583" s="337"/>
      <c r="C583" s="338"/>
      <c r="D583" s="338"/>
      <c r="E583" s="338"/>
      <c r="F583" s="342"/>
    </row>
    <row r="584">
      <c r="A584" s="337"/>
      <c r="B584" s="337"/>
      <c r="C584" s="338"/>
      <c r="D584" s="338"/>
      <c r="E584" s="338"/>
      <c r="F584" s="342"/>
    </row>
    <row r="585">
      <c r="A585" s="337"/>
      <c r="B585" s="337"/>
      <c r="C585" s="338"/>
      <c r="D585" s="338"/>
      <c r="E585" s="338"/>
      <c r="F585" s="342"/>
    </row>
    <row r="586">
      <c r="A586" s="337"/>
      <c r="B586" s="337"/>
      <c r="C586" s="338"/>
      <c r="D586" s="338"/>
      <c r="E586" s="338"/>
      <c r="F586" s="342"/>
    </row>
    <row r="587">
      <c r="A587" s="337"/>
      <c r="B587" s="337"/>
      <c r="C587" s="338"/>
      <c r="D587" s="338"/>
      <c r="E587" s="338"/>
      <c r="F587" s="342"/>
    </row>
    <row r="588">
      <c r="A588" s="337"/>
      <c r="B588" s="337"/>
      <c r="C588" s="338"/>
      <c r="D588" s="338"/>
      <c r="E588" s="338"/>
      <c r="F588" s="342"/>
    </row>
    <row r="589">
      <c r="A589" s="337"/>
      <c r="B589" s="337"/>
      <c r="C589" s="338"/>
      <c r="D589" s="338"/>
      <c r="E589" s="338"/>
      <c r="F589" s="342"/>
    </row>
    <row r="590">
      <c r="A590" s="337"/>
      <c r="B590" s="337"/>
      <c r="C590" s="338"/>
      <c r="D590" s="338"/>
      <c r="E590" s="338"/>
      <c r="F590" s="342"/>
    </row>
    <row r="591">
      <c r="A591" s="337"/>
      <c r="B591" s="337"/>
      <c r="C591" s="338"/>
      <c r="D591" s="338"/>
      <c r="E591" s="338"/>
      <c r="F591" s="342"/>
    </row>
    <row r="592">
      <c r="A592" s="337"/>
      <c r="B592" s="337"/>
      <c r="C592" s="338"/>
      <c r="D592" s="338"/>
      <c r="E592" s="338"/>
      <c r="F592" s="342"/>
    </row>
    <row r="593">
      <c r="A593" s="337"/>
      <c r="B593" s="337"/>
      <c r="C593" s="338"/>
      <c r="D593" s="338"/>
      <c r="E593" s="338"/>
      <c r="F593" s="342"/>
    </row>
    <row r="594">
      <c r="A594" s="337"/>
      <c r="B594" s="337"/>
      <c r="C594" s="338"/>
      <c r="D594" s="338"/>
      <c r="E594" s="338"/>
      <c r="F594" s="342"/>
    </row>
    <row r="595">
      <c r="A595" s="337"/>
      <c r="B595" s="337"/>
      <c r="C595" s="338"/>
      <c r="D595" s="338"/>
      <c r="E595" s="338"/>
      <c r="F595" s="342"/>
    </row>
    <row r="596">
      <c r="A596" s="337"/>
      <c r="B596" s="337"/>
      <c r="C596" s="338"/>
      <c r="D596" s="338"/>
      <c r="E596" s="338"/>
      <c r="F596" s="342"/>
    </row>
    <row r="597">
      <c r="A597" s="337"/>
      <c r="B597" s="337"/>
      <c r="C597" s="338"/>
      <c r="D597" s="338"/>
      <c r="E597" s="338"/>
      <c r="F597" s="342"/>
    </row>
    <row r="598">
      <c r="A598" s="337"/>
      <c r="B598" s="337"/>
      <c r="C598" s="338"/>
      <c r="D598" s="338"/>
      <c r="E598" s="338"/>
      <c r="F598" s="342"/>
    </row>
    <row r="599">
      <c r="A599" s="337"/>
      <c r="B599" s="337"/>
      <c r="C599" s="338"/>
      <c r="D599" s="338"/>
      <c r="E599" s="338"/>
      <c r="F599" s="342"/>
    </row>
    <row r="600">
      <c r="A600" s="337"/>
      <c r="B600" s="337"/>
      <c r="C600" s="338"/>
      <c r="D600" s="338"/>
      <c r="E600" s="338"/>
      <c r="F600" s="342"/>
    </row>
    <row r="601">
      <c r="A601" s="337"/>
      <c r="B601" s="337"/>
      <c r="C601" s="338"/>
      <c r="D601" s="338"/>
      <c r="E601" s="338"/>
      <c r="F601" s="342"/>
    </row>
    <row r="602">
      <c r="A602" s="337"/>
      <c r="B602" s="337"/>
      <c r="C602" s="338"/>
      <c r="D602" s="338"/>
      <c r="E602" s="338"/>
      <c r="F602" s="342"/>
    </row>
    <row r="603">
      <c r="A603" s="337"/>
      <c r="B603" s="337"/>
      <c r="C603" s="338"/>
      <c r="D603" s="338"/>
      <c r="E603" s="338"/>
      <c r="F603" s="342"/>
    </row>
    <row r="604">
      <c r="A604" s="337"/>
      <c r="B604" s="337"/>
      <c r="C604" s="338"/>
      <c r="D604" s="338"/>
      <c r="E604" s="338"/>
      <c r="F604" s="342"/>
    </row>
    <row r="605">
      <c r="A605" s="337"/>
      <c r="B605" s="337"/>
      <c r="C605" s="338"/>
      <c r="D605" s="338"/>
      <c r="E605" s="338"/>
      <c r="F605" s="342"/>
    </row>
    <row r="606">
      <c r="A606" s="337"/>
      <c r="B606" s="337"/>
      <c r="C606" s="338"/>
      <c r="D606" s="338"/>
      <c r="E606" s="338"/>
      <c r="F606" s="342"/>
    </row>
    <row r="607">
      <c r="A607" s="337"/>
      <c r="B607" s="337"/>
      <c r="C607" s="338"/>
      <c r="D607" s="338"/>
      <c r="E607" s="338"/>
      <c r="F607" s="342"/>
    </row>
    <row r="608">
      <c r="A608" s="337"/>
      <c r="B608" s="337"/>
      <c r="C608" s="338"/>
      <c r="D608" s="338"/>
      <c r="E608" s="338"/>
      <c r="F608" s="342"/>
    </row>
    <row r="609">
      <c r="A609" s="337"/>
      <c r="B609" s="337"/>
      <c r="C609" s="338"/>
      <c r="D609" s="338"/>
      <c r="E609" s="338"/>
      <c r="F609" s="342"/>
    </row>
    <row r="610">
      <c r="A610" s="337"/>
      <c r="B610" s="337"/>
      <c r="C610" s="338"/>
      <c r="D610" s="338"/>
      <c r="E610" s="338"/>
      <c r="F610" s="342"/>
    </row>
    <row r="611">
      <c r="A611" s="337"/>
      <c r="B611" s="337"/>
      <c r="C611" s="338"/>
      <c r="D611" s="338"/>
      <c r="E611" s="338"/>
      <c r="F611" s="342"/>
    </row>
    <row r="612">
      <c r="A612" s="337"/>
      <c r="B612" s="337"/>
      <c r="C612" s="338"/>
      <c r="D612" s="338"/>
      <c r="E612" s="338"/>
      <c r="F612" s="342"/>
    </row>
    <row r="613">
      <c r="A613" s="337"/>
      <c r="B613" s="337"/>
      <c r="C613" s="338"/>
      <c r="D613" s="338"/>
      <c r="E613" s="338"/>
      <c r="F613" s="342"/>
    </row>
    <row r="614">
      <c r="A614" s="337"/>
      <c r="B614" s="337"/>
      <c r="C614" s="338"/>
      <c r="D614" s="338"/>
      <c r="E614" s="338"/>
      <c r="F614" s="342"/>
    </row>
    <row r="615">
      <c r="A615" s="337"/>
      <c r="B615" s="337"/>
      <c r="C615" s="338"/>
      <c r="D615" s="338"/>
      <c r="E615" s="338"/>
      <c r="F615" s="342"/>
    </row>
    <row r="616">
      <c r="A616" s="337"/>
      <c r="B616" s="337"/>
      <c r="C616" s="338"/>
      <c r="D616" s="338"/>
      <c r="E616" s="338"/>
      <c r="F616" s="342"/>
    </row>
    <row r="617">
      <c r="A617" s="337"/>
      <c r="B617" s="337"/>
      <c r="C617" s="338"/>
      <c r="D617" s="338"/>
      <c r="E617" s="338"/>
      <c r="F617" s="342"/>
    </row>
    <row r="618">
      <c r="A618" s="337"/>
      <c r="B618" s="337"/>
      <c r="C618" s="338"/>
      <c r="D618" s="338"/>
      <c r="E618" s="338"/>
      <c r="F618" s="342"/>
    </row>
    <row r="619">
      <c r="A619" s="337"/>
      <c r="B619" s="337"/>
      <c r="C619" s="338"/>
      <c r="D619" s="338"/>
      <c r="E619" s="338"/>
      <c r="F619" s="342"/>
    </row>
    <row r="620">
      <c r="A620" s="337"/>
      <c r="B620" s="337"/>
      <c r="C620" s="338"/>
      <c r="D620" s="338"/>
      <c r="E620" s="338"/>
      <c r="F620" s="342"/>
    </row>
    <row r="621">
      <c r="A621" s="337"/>
      <c r="B621" s="337"/>
      <c r="C621" s="338"/>
      <c r="D621" s="338"/>
      <c r="E621" s="338"/>
      <c r="F621" s="342"/>
    </row>
    <row r="622">
      <c r="A622" s="337"/>
      <c r="B622" s="337"/>
      <c r="C622" s="338"/>
      <c r="D622" s="338"/>
      <c r="E622" s="338"/>
      <c r="F622" s="342"/>
    </row>
    <row r="623">
      <c r="A623" s="337"/>
      <c r="B623" s="337"/>
      <c r="C623" s="338"/>
      <c r="D623" s="338"/>
      <c r="E623" s="338"/>
      <c r="F623" s="342"/>
    </row>
    <row r="624">
      <c r="A624" s="337"/>
      <c r="B624" s="337"/>
      <c r="C624" s="338"/>
      <c r="D624" s="338"/>
      <c r="E624" s="338"/>
      <c r="F624" s="342"/>
    </row>
    <row r="625">
      <c r="A625" s="337"/>
      <c r="B625" s="337"/>
      <c r="C625" s="338"/>
      <c r="D625" s="338"/>
      <c r="E625" s="338"/>
      <c r="F625" s="342"/>
    </row>
    <row r="626">
      <c r="A626" s="337"/>
      <c r="B626" s="337"/>
      <c r="C626" s="338"/>
      <c r="D626" s="338"/>
      <c r="E626" s="338"/>
      <c r="F626" s="342"/>
    </row>
    <row r="627">
      <c r="A627" s="337"/>
      <c r="B627" s="337"/>
      <c r="C627" s="338"/>
      <c r="D627" s="338"/>
      <c r="E627" s="338"/>
      <c r="F627" s="342"/>
    </row>
    <row r="628">
      <c r="A628" s="337"/>
      <c r="B628" s="337"/>
      <c r="C628" s="338"/>
      <c r="D628" s="338"/>
      <c r="E628" s="338"/>
      <c r="F628" s="342"/>
    </row>
    <row r="629">
      <c r="A629" s="337"/>
      <c r="B629" s="337"/>
      <c r="C629" s="338"/>
      <c r="D629" s="338"/>
      <c r="E629" s="338"/>
      <c r="F629" s="342"/>
    </row>
    <row r="630">
      <c r="A630" s="337"/>
      <c r="B630" s="337"/>
      <c r="C630" s="338"/>
      <c r="D630" s="338"/>
      <c r="E630" s="338"/>
      <c r="F630" s="342"/>
    </row>
    <row r="631">
      <c r="A631" s="337"/>
      <c r="B631" s="337"/>
      <c r="C631" s="338"/>
      <c r="D631" s="338"/>
      <c r="E631" s="338"/>
      <c r="F631" s="342"/>
    </row>
    <row r="632">
      <c r="A632" s="337"/>
      <c r="B632" s="337"/>
      <c r="C632" s="338"/>
      <c r="D632" s="338"/>
      <c r="E632" s="338"/>
      <c r="F632" s="342"/>
    </row>
    <row r="633">
      <c r="A633" s="337"/>
      <c r="B633" s="337"/>
      <c r="C633" s="338"/>
      <c r="D633" s="338"/>
      <c r="E633" s="338"/>
      <c r="F633" s="342"/>
    </row>
    <row r="634">
      <c r="A634" s="337"/>
      <c r="B634" s="337"/>
      <c r="C634" s="338"/>
      <c r="D634" s="338"/>
      <c r="E634" s="338"/>
      <c r="F634" s="342"/>
    </row>
    <row r="635">
      <c r="A635" s="337"/>
      <c r="B635" s="337"/>
      <c r="C635" s="338"/>
      <c r="D635" s="338"/>
      <c r="E635" s="338"/>
      <c r="F635" s="342"/>
    </row>
    <row r="636">
      <c r="A636" s="337"/>
      <c r="B636" s="337"/>
      <c r="C636" s="338"/>
      <c r="D636" s="338"/>
      <c r="E636" s="338"/>
      <c r="F636" s="342"/>
    </row>
    <row r="637">
      <c r="A637" s="337"/>
      <c r="B637" s="337"/>
      <c r="C637" s="338"/>
      <c r="D637" s="338"/>
      <c r="E637" s="338"/>
      <c r="F637" s="342"/>
    </row>
    <row r="638">
      <c r="A638" s="337"/>
      <c r="B638" s="337"/>
      <c r="C638" s="338"/>
      <c r="D638" s="338"/>
      <c r="E638" s="338"/>
      <c r="F638" s="342"/>
    </row>
    <row r="639">
      <c r="A639" s="337"/>
      <c r="B639" s="337"/>
      <c r="C639" s="338"/>
      <c r="D639" s="338"/>
      <c r="E639" s="338"/>
      <c r="F639" s="342"/>
    </row>
    <row r="640">
      <c r="A640" s="337"/>
      <c r="B640" s="337"/>
      <c r="C640" s="338"/>
      <c r="D640" s="338"/>
      <c r="E640" s="338"/>
      <c r="F640" s="342"/>
    </row>
    <row r="641">
      <c r="A641" s="337"/>
      <c r="B641" s="337"/>
      <c r="C641" s="338"/>
      <c r="D641" s="338"/>
      <c r="E641" s="338"/>
      <c r="F641" s="342"/>
    </row>
    <row r="642">
      <c r="A642" s="337"/>
      <c r="B642" s="337"/>
      <c r="C642" s="338"/>
      <c r="D642" s="338"/>
      <c r="E642" s="338"/>
      <c r="F642" s="342"/>
    </row>
    <row r="643">
      <c r="A643" s="337"/>
      <c r="B643" s="337"/>
      <c r="C643" s="338"/>
      <c r="D643" s="338"/>
      <c r="E643" s="338"/>
      <c r="F643" s="342"/>
    </row>
    <row r="644">
      <c r="A644" s="337"/>
      <c r="B644" s="337"/>
      <c r="C644" s="338"/>
      <c r="D644" s="338"/>
      <c r="E644" s="338"/>
      <c r="F644" s="342"/>
    </row>
    <row r="645">
      <c r="A645" s="337"/>
      <c r="B645" s="337"/>
      <c r="C645" s="338"/>
      <c r="D645" s="338"/>
      <c r="E645" s="338"/>
      <c r="F645" s="342"/>
    </row>
    <row r="646">
      <c r="A646" s="337"/>
      <c r="B646" s="337"/>
      <c r="C646" s="338"/>
      <c r="D646" s="338"/>
      <c r="E646" s="338"/>
      <c r="F646" s="342"/>
    </row>
    <row r="647">
      <c r="A647" s="337"/>
      <c r="B647" s="337"/>
      <c r="C647" s="338"/>
      <c r="D647" s="338"/>
      <c r="E647" s="338"/>
      <c r="F647" s="342"/>
    </row>
    <row r="648">
      <c r="A648" s="337"/>
      <c r="B648" s="337"/>
      <c r="C648" s="338"/>
      <c r="D648" s="338"/>
      <c r="E648" s="338"/>
      <c r="F648" s="342"/>
    </row>
    <row r="649">
      <c r="A649" s="337"/>
      <c r="B649" s="337"/>
      <c r="C649" s="338"/>
      <c r="D649" s="338"/>
      <c r="E649" s="338"/>
      <c r="F649" s="342"/>
    </row>
    <row r="650">
      <c r="A650" s="337"/>
      <c r="B650" s="337"/>
      <c r="C650" s="338"/>
      <c r="D650" s="338"/>
      <c r="E650" s="338"/>
      <c r="F650" s="342"/>
    </row>
    <row r="651">
      <c r="A651" s="337"/>
      <c r="B651" s="337"/>
      <c r="C651" s="338"/>
      <c r="D651" s="338"/>
      <c r="E651" s="338"/>
      <c r="F651" s="342"/>
    </row>
    <row r="652">
      <c r="A652" s="337"/>
      <c r="B652" s="337"/>
      <c r="C652" s="338"/>
      <c r="D652" s="338"/>
      <c r="E652" s="338"/>
      <c r="F652" s="342"/>
    </row>
    <row r="653">
      <c r="A653" s="337"/>
      <c r="B653" s="337"/>
      <c r="C653" s="338"/>
      <c r="D653" s="338"/>
      <c r="E653" s="338"/>
      <c r="F653" s="342"/>
    </row>
    <row r="654">
      <c r="A654" s="337"/>
      <c r="B654" s="337"/>
      <c r="C654" s="338"/>
      <c r="D654" s="338"/>
      <c r="E654" s="338"/>
      <c r="F654" s="342"/>
    </row>
    <row r="655">
      <c r="A655" s="337"/>
      <c r="B655" s="337"/>
      <c r="C655" s="338"/>
      <c r="D655" s="338"/>
      <c r="E655" s="338"/>
      <c r="F655" s="342"/>
    </row>
    <row r="656">
      <c r="A656" s="337"/>
      <c r="B656" s="337"/>
      <c r="C656" s="338"/>
      <c r="D656" s="338"/>
      <c r="E656" s="338"/>
      <c r="F656" s="342"/>
    </row>
    <row r="657">
      <c r="A657" s="337"/>
      <c r="B657" s="337"/>
      <c r="C657" s="338"/>
      <c r="D657" s="338"/>
      <c r="E657" s="338"/>
      <c r="F657" s="342"/>
    </row>
    <row r="658">
      <c r="A658" s="337"/>
      <c r="B658" s="337"/>
      <c r="C658" s="338"/>
      <c r="D658" s="338"/>
      <c r="E658" s="338"/>
      <c r="F658" s="342"/>
    </row>
    <row r="659">
      <c r="A659" s="337"/>
      <c r="B659" s="337"/>
      <c r="C659" s="338"/>
      <c r="D659" s="338"/>
      <c r="E659" s="338"/>
      <c r="F659" s="342"/>
    </row>
    <row r="660">
      <c r="A660" s="337"/>
      <c r="B660" s="337"/>
      <c r="C660" s="338"/>
      <c r="D660" s="338"/>
      <c r="E660" s="338"/>
      <c r="F660" s="342"/>
    </row>
    <row r="661">
      <c r="A661" s="337"/>
      <c r="B661" s="337"/>
      <c r="C661" s="338"/>
      <c r="D661" s="338"/>
      <c r="E661" s="338"/>
      <c r="F661" s="342"/>
    </row>
    <row r="662">
      <c r="A662" s="337"/>
      <c r="B662" s="337"/>
      <c r="C662" s="338"/>
      <c r="D662" s="338"/>
      <c r="E662" s="338"/>
      <c r="F662" s="342"/>
    </row>
    <row r="663">
      <c r="A663" s="337"/>
      <c r="B663" s="337"/>
      <c r="C663" s="338"/>
      <c r="D663" s="338"/>
      <c r="E663" s="338"/>
      <c r="F663" s="342"/>
    </row>
    <row r="664">
      <c r="A664" s="337"/>
      <c r="B664" s="337"/>
      <c r="C664" s="338"/>
      <c r="D664" s="338"/>
      <c r="E664" s="338"/>
      <c r="F664" s="342"/>
    </row>
    <row r="665">
      <c r="A665" s="337"/>
      <c r="B665" s="337"/>
      <c r="C665" s="338"/>
      <c r="D665" s="338"/>
      <c r="E665" s="338"/>
      <c r="F665" s="342"/>
    </row>
    <row r="666">
      <c r="A666" s="337"/>
      <c r="B666" s="337"/>
      <c r="C666" s="338"/>
      <c r="D666" s="338"/>
      <c r="E666" s="338"/>
      <c r="F666" s="342"/>
    </row>
    <row r="667">
      <c r="A667" s="337"/>
      <c r="B667" s="337"/>
      <c r="C667" s="338"/>
      <c r="D667" s="338"/>
      <c r="E667" s="338"/>
      <c r="F667" s="342"/>
    </row>
    <row r="668">
      <c r="A668" s="337"/>
      <c r="B668" s="337"/>
      <c r="C668" s="338"/>
      <c r="D668" s="338"/>
      <c r="E668" s="338"/>
      <c r="F668" s="342"/>
    </row>
    <row r="669">
      <c r="A669" s="337"/>
      <c r="B669" s="337"/>
      <c r="C669" s="338"/>
      <c r="D669" s="338"/>
      <c r="E669" s="338"/>
      <c r="F669" s="342"/>
    </row>
    <row r="670">
      <c r="A670" s="337"/>
      <c r="B670" s="337"/>
      <c r="C670" s="338"/>
      <c r="D670" s="338"/>
      <c r="E670" s="338"/>
      <c r="F670" s="342"/>
    </row>
    <row r="671">
      <c r="A671" s="337"/>
      <c r="B671" s="337"/>
      <c r="C671" s="338"/>
      <c r="D671" s="338"/>
      <c r="E671" s="338"/>
      <c r="F671" s="342"/>
    </row>
    <row r="672">
      <c r="A672" s="337"/>
      <c r="B672" s="337"/>
      <c r="C672" s="338"/>
      <c r="D672" s="338"/>
      <c r="E672" s="338"/>
      <c r="F672" s="342"/>
    </row>
    <row r="673">
      <c r="A673" s="337"/>
      <c r="B673" s="337"/>
      <c r="C673" s="338"/>
      <c r="D673" s="338"/>
      <c r="E673" s="338"/>
      <c r="F673" s="342"/>
    </row>
    <row r="674">
      <c r="A674" s="337"/>
      <c r="B674" s="337"/>
      <c r="C674" s="338"/>
      <c r="D674" s="338"/>
      <c r="E674" s="338"/>
      <c r="F674" s="342"/>
    </row>
    <row r="675">
      <c r="A675" s="337"/>
      <c r="B675" s="337"/>
      <c r="C675" s="338"/>
      <c r="D675" s="338"/>
      <c r="E675" s="338"/>
      <c r="F675" s="342"/>
    </row>
    <row r="676">
      <c r="A676" s="337"/>
      <c r="B676" s="337"/>
      <c r="C676" s="338"/>
      <c r="D676" s="338"/>
      <c r="E676" s="338"/>
      <c r="F676" s="342"/>
    </row>
    <row r="677">
      <c r="A677" s="337"/>
      <c r="B677" s="337"/>
      <c r="C677" s="338"/>
      <c r="D677" s="338"/>
      <c r="E677" s="338"/>
      <c r="F677" s="342"/>
    </row>
    <row r="678">
      <c r="A678" s="337"/>
      <c r="B678" s="337"/>
      <c r="C678" s="338"/>
      <c r="D678" s="338"/>
      <c r="E678" s="338"/>
      <c r="F678" s="342"/>
    </row>
    <row r="679">
      <c r="A679" s="337"/>
      <c r="B679" s="337"/>
      <c r="C679" s="338"/>
      <c r="D679" s="338"/>
      <c r="E679" s="338"/>
      <c r="F679" s="342"/>
    </row>
    <row r="680">
      <c r="A680" s="337"/>
      <c r="B680" s="337"/>
      <c r="C680" s="338"/>
      <c r="D680" s="338"/>
      <c r="E680" s="338"/>
      <c r="F680" s="342"/>
    </row>
    <row r="681">
      <c r="A681" s="337"/>
      <c r="B681" s="337"/>
      <c r="C681" s="338"/>
      <c r="D681" s="338"/>
      <c r="E681" s="338"/>
      <c r="F681" s="342"/>
    </row>
    <row r="682">
      <c r="A682" s="337"/>
      <c r="B682" s="337"/>
      <c r="C682" s="338"/>
      <c r="D682" s="338"/>
      <c r="E682" s="338"/>
      <c r="F682" s="342"/>
    </row>
    <row r="683">
      <c r="A683" s="337"/>
      <c r="B683" s="337"/>
      <c r="C683" s="338"/>
      <c r="D683" s="338"/>
      <c r="E683" s="338"/>
      <c r="F683" s="342"/>
    </row>
    <row r="684">
      <c r="A684" s="337"/>
      <c r="B684" s="337"/>
      <c r="C684" s="338"/>
      <c r="D684" s="338"/>
      <c r="E684" s="338"/>
      <c r="F684" s="342"/>
    </row>
    <row r="685">
      <c r="A685" s="337"/>
      <c r="B685" s="337"/>
      <c r="C685" s="338"/>
      <c r="D685" s="338"/>
      <c r="E685" s="338"/>
      <c r="F685" s="342"/>
    </row>
    <row r="686">
      <c r="A686" s="337"/>
      <c r="B686" s="337"/>
      <c r="C686" s="338"/>
      <c r="D686" s="338"/>
      <c r="E686" s="338"/>
      <c r="F686" s="342"/>
    </row>
    <row r="687">
      <c r="A687" s="337"/>
      <c r="B687" s="337"/>
      <c r="C687" s="338"/>
      <c r="D687" s="338"/>
      <c r="E687" s="338"/>
      <c r="F687" s="342"/>
    </row>
    <row r="688">
      <c r="A688" s="337"/>
      <c r="B688" s="337"/>
      <c r="C688" s="338"/>
      <c r="D688" s="338"/>
      <c r="E688" s="338"/>
      <c r="F688" s="342"/>
    </row>
    <row r="689">
      <c r="A689" s="337"/>
      <c r="B689" s="337"/>
      <c r="C689" s="338"/>
      <c r="D689" s="338"/>
      <c r="E689" s="338"/>
      <c r="F689" s="342"/>
    </row>
    <row r="690">
      <c r="A690" s="337"/>
      <c r="B690" s="337"/>
      <c r="C690" s="338"/>
      <c r="D690" s="338"/>
      <c r="E690" s="338"/>
      <c r="F690" s="342"/>
    </row>
    <row r="691">
      <c r="A691" s="337"/>
      <c r="B691" s="337"/>
      <c r="C691" s="338"/>
      <c r="D691" s="338"/>
      <c r="E691" s="338"/>
      <c r="F691" s="342"/>
    </row>
    <row r="692">
      <c r="A692" s="337"/>
      <c r="B692" s="337"/>
      <c r="C692" s="338"/>
      <c r="D692" s="338"/>
      <c r="E692" s="338"/>
      <c r="F692" s="342"/>
    </row>
    <row r="693">
      <c r="A693" s="337"/>
      <c r="B693" s="337"/>
      <c r="C693" s="338"/>
      <c r="D693" s="338"/>
      <c r="E693" s="338"/>
      <c r="F693" s="342"/>
    </row>
    <row r="694">
      <c r="A694" s="337"/>
      <c r="B694" s="337"/>
      <c r="C694" s="338"/>
      <c r="D694" s="338"/>
      <c r="E694" s="338"/>
      <c r="F694" s="342"/>
    </row>
    <row r="695">
      <c r="A695" s="337"/>
      <c r="B695" s="337"/>
      <c r="C695" s="338"/>
      <c r="D695" s="338"/>
      <c r="E695" s="338"/>
      <c r="F695" s="342"/>
    </row>
    <row r="696">
      <c r="A696" s="337"/>
      <c r="B696" s="337"/>
      <c r="C696" s="338"/>
      <c r="D696" s="338"/>
      <c r="E696" s="338"/>
      <c r="F696" s="342"/>
    </row>
    <row r="697">
      <c r="A697" s="337"/>
      <c r="B697" s="337"/>
      <c r="C697" s="338"/>
      <c r="D697" s="338"/>
      <c r="E697" s="338"/>
      <c r="F697" s="342"/>
    </row>
    <row r="698">
      <c r="A698" s="337"/>
      <c r="B698" s="337"/>
      <c r="C698" s="338"/>
      <c r="D698" s="338"/>
      <c r="E698" s="338"/>
      <c r="F698" s="342"/>
    </row>
    <row r="699">
      <c r="A699" s="337"/>
      <c r="B699" s="337"/>
      <c r="C699" s="338"/>
      <c r="D699" s="338"/>
      <c r="E699" s="338"/>
      <c r="F699" s="342"/>
    </row>
    <row r="700">
      <c r="A700" s="337"/>
      <c r="B700" s="337"/>
      <c r="C700" s="338"/>
      <c r="D700" s="338"/>
      <c r="E700" s="338"/>
      <c r="F700" s="342"/>
    </row>
    <row r="701">
      <c r="A701" s="337"/>
      <c r="B701" s="337"/>
      <c r="C701" s="338"/>
      <c r="D701" s="338"/>
      <c r="E701" s="338"/>
      <c r="F701" s="342"/>
    </row>
    <row r="702">
      <c r="A702" s="337"/>
      <c r="B702" s="337"/>
      <c r="C702" s="338"/>
      <c r="D702" s="338"/>
      <c r="E702" s="338"/>
      <c r="F702" s="342"/>
    </row>
    <row r="703">
      <c r="A703" s="337"/>
      <c r="B703" s="337"/>
      <c r="C703" s="338"/>
      <c r="D703" s="338"/>
      <c r="E703" s="338"/>
      <c r="F703" s="342"/>
    </row>
    <row r="704">
      <c r="A704" s="337"/>
      <c r="B704" s="337"/>
      <c r="C704" s="338"/>
      <c r="D704" s="338"/>
      <c r="E704" s="338"/>
      <c r="F704" s="342"/>
    </row>
    <row r="705">
      <c r="A705" s="337"/>
      <c r="B705" s="337"/>
      <c r="C705" s="338"/>
      <c r="D705" s="338"/>
      <c r="E705" s="338"/>
      <c r="F705" s="342"/>
    </row>
    <row r="706">
      <c r="A706" s="337"/>
      <c r="B706" s="337"/>
      <c r="C706" s="338"/>
      <c r="D706" s="338"/>
      <c r="E706" s="338"/>
      <c r="F706" s="342"/>
    </row>
    <row r="707">
      <c r="A707" s="337"/>
      <c r="B707" s="337"/>
      <c r="C707" s="338"/>
      <c r="D707" s="338"/>
      <c r="E707" s="338"/>
      <c r="F707" s="342"/>
    </row>
    <row r="708">
      <c r="A708" s="337"/>
      <c r="B708" s="337"/>
      <c r="C708" s="338"/>
      <c r="D708" s="338"/>
      <c r="E708" s="338"/>
      <c r="F708" s="342"/>
    </row>
    <row r="709">
      <c r="A709" s="337"/>
      <c r="B709" s="337"/>
      <c r="C709" s="338"/>
      <c r="D709" s="338"/>
      <c r="E709" s="338"/>
      <c r="F709" s="342"/>
    </row>
    <row r="710">
      <c r="A710" s="337"/>
      <c r="B710" s="337"/>
      <c r="C710" s="338"/>
      <c r="D710" s="338"/>
      <c r="E710" s="338"/>
      <c r="F710" s="342"/>
    </row>
    <row r="711">
      <c r="A711" s="337"/>
      <c r="B711" s="337"/>
      <c r="C711" s="338"/>
      <c r="D711" s="338"/>
      <c r="E711" s="338"/>
      <c r="F711" s="342"/>
    </row>
    <row r="712">
      <c r="A712" s="337"/>
      <c r="B712" s="337"/>
      <c r="C712" s="338"/>
      <c r="D712" s="338"/>
      <c r="E712" s="338"/>
      <c r="F712" s="342"/>
    </row>
    <row r="713">
      <c r="A713" s="337"/>
      <c r="B713" s="337"/>
      <c r="C713" s="338"/>
      <c r="D713" s="338"/>
      <c r="E713" s="338"/>
      <c r="F713" s="342"/>
    </row>
    <row r="714">
      <c r="A714" s="337"/>
      <c r="B714" s="337"/>
      <c r="C714" s="338"/>
      <c r="D714" s="338"/>
      <c r="E714" s="338"/>
      <c r="F714" s="342"/>
    </row>
    <row r="715">
      <c r="A715" s="337"/>
      <c r="B715" s="337"/>
      <c r="C715" s="338"/>
      <c r="D715" s="338"/>
      <c r="E715" s="338"/>
      <c r="F715" s="342"/>
    </row>
    <row r="716">
      <c r="A716" s="337"/>
      <c r="B716" s="337"/>
      <c r="C716" s="338"/>
      <c r="D716" s="338"/>
      <c r="E716" s="338"/>
      <c r="F716" s="342"/>
    </row>
    <row r="717">
      <c r="A717" s="337"/>
      <c r="B717" s="337"/>
      <c r="C717" s="338"/>
      <c r="D717" s="338"/>
      <c r="E717" s="338"/>
      <c r="F717" s="342"/>
    </row>
    <row r="718">
      <c r="A718" s="337"/>
      <c r="B718" s="337"/>
      <c r="C718" s="338"/>
      <c r="D718" s="338"/>
      <c r="E718" s="338"/>
      <c r="F718" s="342"/>
    </row>
    <row r="719">
      <c r="A719" s="337"/>
      <c r="B719" s="337"/>
      <c r="C719" s="338"/>
      <c r="D719" s="338"/>
      <c r="E719" s="338"/>
      <c r="F719" s="342"/>
    </row>
    <row r="720">
      <c r="A720" s="337"/>
      <c r="B720" s="337"/>
      <c r="C720" s="338"/>
      <c r="D720" s="338"/>
      <c r="E720" s="338"/>
      <c r="F720" s="342"/>
    </row>
    <row r="721">
      <c r="A721" s="337"/>
      <c r="B721" s="337"/>
      <c r="C721" s="338"/>
      <c r="D721" s="338"/>
      <c r="E721" s="338"/>
      <c r="F721" s="342"/>
    </row>
    <row r="722">
      <c r="A722" s="337"/>
      <c r="B722" s="337"/>
      <c r="C722" s="338"/>
      <c r="D722" s="338"/>
      <c r="E722" s="338"/>
      <c r="F722" s="342"/>
    </row>
    <row r="723">
      <c r="A723" s="337"/>
      <c r="B723" s="337"/>
      <c r="C723" s="338"/>
      <c r="D723" s="338"/>
      <c r="E723" s="338"/>
      <c r="F723" s="342"/>
    </row>
    <row r="724">
      <c r="A724" s="337"/>
      <c r="B724" s="337"/>
      <c r="C724" s="338"/>
      <c r="D724" s="338"/>
      <c r="E724" s="338"/>
      <c r="F724" s="342"/>
    </row>
    <row r="725">
      <c r="A725" s="337"/>
      <c r="B725" s="337"/>
      <c r="C725" s="338"/>
      <c r="D725" s="338"/>
      <c r="E725" s="338"/>
      <c r="F725" s="342"/>
    </row>
    <row r="726">
      <c r="A726" s="337"/>
      <c r="B726" s="337"/>
      <c r="C726" s="338"/>
      <c r="D726" s="338"/>
      <c r="E726" s="338"/>
      <c r="F726" s="342"/>
    </row>
    <row r="727">
      <c r="A727" s="337"/>
      <c r="B727" s="337"/>
      <c r="C727" s="338"/>
      <c r="D727" s="338"/>
      <c r="E727" s="338"/>
      <c r="F727" s="342"/>
    </row>
    <row r="728">
      <c r="A728" s="337"/>
      <c r="B728" s="337"/>
      <c r="C728" s="338"/>
      <c r="D728" s="338"/>
      <c r="E728" s="338"/>
      <c r="F728" s="342"/>
    </row>
    <row r="729">
      <c r="A729" s="337"/>
      <c r="B729" s="337"/>
      <c r="C729" s="338"/>
      <c r="D729" s="338"/>
      <c r="E729" s="338"/>
      <c r="F729" s="342"/>
    </row>
    <row r="730">
      <c r="A730" s="337"/>
      <c r="B730" s="337"/>
      <c r="C730" s="338"/>
      <c r="D730" s="338"/>
      <c r="E730" s="338"/>
      <c r="F730" s="342"/>
    </row>
    <row r="731">
      <c r="A731" s="337"/>
      <c r="B731" s="337"/>
      <c r="C731" s="338"/>
      <c r="D731" s="338"/>
      <c r="E731" s="338"/>
      <c r="F731" s="342"/>
    </row>
    <row r="732">
      <c r="A732" s="337"/>
      <c r="B732" s="337"/>
      <c r="C732" s="338"/>
      <c r="D732" s="338"/>
      <c r="E732" s="338"/>
      <c r="F732" s="342"/>
    </row>
    <row r="733">
      <c r="A733" s="337"/>
      <c r="B733" s="337"/>
      <c r="C733" s="338"/>
      <c r="D733" s="338"/>
      <c r="E733" s="338"/>
      <c r="F733" s="342"/>
    </row>
    <row r="734">
      <c r="A734" s="337"/>
      <c r="B734" s="337"/>
      <c r="C734" s="338"/>
      <c r="D734" s="338"/>
      <c r="E734" s="338"/>
      <c r="F734" s="342"/>
    </row>
    <row r="735">
      <c r="A735" s="337"/>
      <c r="B735" s="337"/>
      <c r="C735" s="338"/>
      <c r="D735" s="338"/>
      <c r="E735" s="338"/>
      <c r="F735" s="342"/>
    </row>
    <row r="736">
      <c r="A736" s="337"/>
      <c r="B736" s="337"/>
      <c r="C736" s="338"/>
      <c r="D736" s="338"/>
      <c r="E736" s="338"/>
      <c r="F736" s="342"/>
    </row>
    <row r="737">
      <c r="A737" s="337"/>
      <c r="B737" s="337"/>
      <c r="C737" s="338"/>
      <c r="D737" s="338"/>
      <c r="E737" s="338"/>
      <c r="F737" s="342"/>
    </row>
    <row r="738">
      <c r="A738" s="337"/>
      <c r="B738" s="337"/>
      <c r="C738" s="338"/>
      <c r="D738" s="338"/>
      <c r="E738" s="338"/>
      <c r="F738" s="342"/>
    </row>
    <row r="739">
      <c r="A739" s="337"/>
      <c r="B739" s="337"/>
      <c r="C739" s="338"/>
      <c r="D739" s="338"/>
      <c r="E739" s="338"/>
      <c r="F739" s="342"/>
    </row>
    <row r="740">
      <c r="A740" s="337"/>
      <c r="B740" s="337"/>
      <c r="C740" s="338"/>
      <c r="D740" s="338"/>
      <c r="E740" s="338"/>
      <c r="F740" s="342"/>
    </row>
    <row r="741">
      <c r="A741" s="337"/>
      <c r="B741" s="337"/>
      <c r="C741" s="338"/>
      <c r="D741" s="338"/>
      <c r="E741" s="338"/>
      <c r="F741" s="342"/>
    </row>
    <row r="742">
      <c r="A742" s="337"/>
      <c r="B742" s="337"/>
      <c r="C742" s="338"/>
      <c r="D742" s="338"/>
      <c r="E742" s="338"/>
      <c r="F742" s="342"/>
    </row>
    <row r="743">
      <c r="A743" s="337"/>
      <c r="B743" s="337"/>
      <c r="C743" s="338"/>
      <c r="D743" s="338"/>
      <c r="E743" s="338"/>
      <c r="F743" s="342"/>
    </row>
    <row r="744">
      <c r="A744" s="337"/>
      <c r="B744" s="337"/>
      <c r="C744" s="338"/>
      <c r="D744" s="338"/>
      <c r="E744" s="338"/>
      <c r="F744" s="342"/>
    </row>
    <row r="745">
      <c r="A745" s="337"/>
      <c r="B745" s="337"/>
      <c r="C745" s="338"/>
      <c r="D745" s="338"/>
      <c r="E745" s="338"/>
      <c r="F745" s="342"/>
    </row>
    <row r="746">
      <c r="A746" s="337"/>
      <c r="B746" s="337"/>
      <c r="C746" s="338"/>
      <c r="D746" s="338"/>
      <c r="E746" s="338"/>
      <c r="F746" s="342"/>
    </row>
    <row r="747">
      <c r="A747" s="337"/>
      <c r="B747" s="337"/>
      <c r="C747" s="338"/>
      <c r="D747" s="338"/>
      <c r="E747" s="338"/>
      <c r="F747" s="342"/>
    </row>
    <row r="748">
      <c r="A748" s="337"/>
      <c r="B748" s="337"/>
      <c r="C748" s="338"/>
      <c r="D748" s="338"/>
      <c r="E748" s="338"/>
      <c r="F748" s="342"/>
    </row>
    <row r="749">
      <c r="A749" s="337"/>
      <c r="B749" s="337"/>
      <c r="C749" s="338"/>
      <c r="D749" s="338"/>
      <c r="E749" s="338"/>
      <c r="F749" s="342"/>
    </row>
    <row r="750">
      <c r="A750" s="337"/>
      <c r="B750" s="337"/>
      <c r="C750" s="338"/>
      <c r="D750" s="338"/>
      <c r="E750" s="338"/>
      <c r="F750" s="342"/>
    </row>
    <row r="751">
      <c r="A751" s="337"/>
      <c r="B751" s="337"/>
      <c r="C751" s="338"/>
      <c r="D751" s="338"/>
      <c r="E751" s="338"/>
      <c r="F751" s="342"/>
    </row>
    <row r="752">
      <c r="A752" s="337"/>
      <c r="B752" s="337"/>
      <c r="C752" s="338"/>
      <c r="D752" s="338"/>
      <c r="E752" s="338"/>
      <c r="F752" s="342"/>
    </row>
    <row r="753">
      <c r="A753" s="337"/>
      <c r="B753" s="337"/>
      <c r="C753" s="338"/>
      <c r="D753" s="338"/>
      <c r="E753" s="338"/>
      <c r="F753" s="342"/>
    </row>
    <row r="754">
      <c r="A754" s="337"/>
      <c r="B754" s="337"/>
      <c r="C754" s="338"/>
      <c r="D754" s="338"/>
      <c r="E754" s="338"/>
      <c r="F754" s="342"/>
    </row>
    <row r="755">
      <c r="A755" s="337"/>
      <c r="B755" s="337"/>
      <c r="C755" s="338"/>
      <c r="D755" s="338"/>
      <c r="E755" s="338"/>
      <c r="F755" s="342"/>
    </row>
    <row r="756">
      <c r="A756" s="337"/>
      <c r="B756" s="337"/>
      <c r="C756" s="338"/>
      <c r="D756" s="338"/>
      <c r="E756" s="338"/>
      <c r="F756" s="342"/>
    </row>
    <row r="757">
      <c r="A757" s="337"/>
      <c r="B757" s="337"/>
      <c r="C757" s="338"/>
      <c r="D757" s="338"/>
      <c r="E757" s="338"/>
      <c r="F757" s="342"/>
    </row>
    <row r="758">
      <c r="A758" s="337"/>
      <c r="B758" s="337"/>
      <c r="C758" s="338"/>
      <c r="D758" s="338"/>
      <c r="E758" s="338"/>
      <c r="F758" s="342"/>
    </row>
    <row r="759">
      <c r="A759" s="337"/>
      <c r="B759" s="337"/>
      <c r="C759" s="338"/>
      <c r="D759" s="338"/>
      <c r="E759" s="338"/>
      <c r="F759" s="342"/>
    </row>
    <row r="760">
      <c r="A760" s="337"/>
      <c r="B760" s="337"/>
      <c r="C760" s="338"/>
      <c r="D760" s="338"/>
      <c r="E760" s="338"/>
      <c r="F760" s="342"/>
    </row>
    <row r="761">
      <c r="A761" s="337"/>
      <c r="B761" s="337"/>
      <c r="C761" s="338"/>
      <c r="D761" s="338"/>
      <c r="E761" s="338"/>
      <c r="F761" s="342"/>
    </row>
    <row r="762">
      <c r="A762" s="337"/>
      <c r="B762" s="337"/>
      <c r="C762" s="338"/>
      <c r="D762" s="338"/>
      <c r="E762" s="338"/>
      <c r="F762" s="342"/>
    </row>
    <row r="763">
      <c r="A763" s="337"/>
      <c r="B763" s="337"/>
      <c r="C763" s="338"/>
      <c r="D763" s="338"/>
      <c r="E763" s="338"/>
      <c r="F763" s="342"/>
    </row>
    <row r="764">
      <c r="A764" s="337"/>
      <c r="B764" s="337"/>
      <c r="C764" s="338"/>
      <c r="D764" s="338"/>
      <c r="E764" s="338"/>
      <c r="F764" s="342"/>
    </row>
    <row r="765">
      <c r="A765" s="337"/>
      <c r="B765" s="337"/>
      <c r="C765" s="338"/>
      <c r="D765" s="338"/>
      <c r="E765" s="338"/>
      <c r="F765" s="342"/>
    </row>
    <row r="766">
      <c r="A766" s="337"/>
      <c r="B766" s="337"/>
      <c r="C766" s="338"/>
      <c r="D766" s="338"/>
      <c r="E766" s="338"/>
      <c r="F766" s="342"/>
    </row>
    <row r="767">
      <c r="A767" s="337"/>
      <c r="B767" s="337"/>
      <c r="C767" s="338"/>
      <c r="D767" s="338"/>
      <c r="E767" s="338"/>
      <c r="F767" s="342"/>
    </row>
    <row r="768">
      <c r="A768" s="337"/>
      <c r="B768" s="337"/>
      <c r="C768" s="338"/>
      <c r="D768" s="338"/>
      <c r="E768" s="338"/>
      <c r="F768" s="342"/>
    </row>
    <row r="769">
      <c r="A769" s="337"/>
      <c r="B769" s="337"/>
      <c r="C769" s="338"/>
      <c r="D769" s="338"/>
      <c r="E769" s="338"/>
      <c r="F769" s="342"/>
    </row>
    <row r="770">
      <c r="A770" s="337"/>
      <c r="B770" s="337"/>
      <c r="C770" s="338"/>
      <c r="D770" s="338"/>
      <c r="E770" s="338"/>
      <c r="F770" s="342"/>
    </row>
    <row r="771">
      <c r="A771" s="337"/>
      <c r="B771" s="337"/>
      <c r="C771" s="338"/>
      <c r="D771" s="338"/>
      <c r="E771" s="338"/>
      <c r="F771" s="342"/>
    </row>
    <row r="772">
      <c r="A772" s="337"/>
      <c r="B772" s="337"/>
      <c r="C772" s="338"/>
      <c r="D772" s="338"/>
      <c r="E772" s="338"/>
      <c r="F772" s="342"/>
    </row>
    <row r="773">
      <c r="A773" s="337"/>
      <c r="B773" s="337"/>
      <c r="C773" s="338"/>
      <c r="D773" s="338"/>
      <c r="E773" s="338"/>
      <c r="F773" s="342"/>
    </row>
    <row r="774">
      <c r="A774" s="337"/>
      <c r="B774" s="337"/>
      <c r="C774" s="338"/>
      <c r="D774" s="338"/>
      <c r="E774" s="338"/>
      <c r="F774" s="342"/>
    </row>
    <row r="775">
      <c r="A775" s="337"/>
      <c r="B775" s="337"/>
      <c r="C775" s="338"/>
      <c r="D775" s="338"/>
      <c r="E775" s="338"/>
      <c r="F775" s="342"/>
    </row>
    <row r="776">
      <c r="A776" s="337"/>
      <c r="B776" s="337"/>
      <c r="C776" s="338"/>
      <c r="D776" s="338"/>
      <c r="E776" s="338"/>
      <c r="F776" s="342"/>
    </row>
    <row r="777">
      <c r="A777" s="337"/>
      <c r="B777" s="337"/>
      <c r="C777" s="338"/>
      <c r="D777" s="338"/>
      <c r="E777" s="338"/>
      <c r="F777" s="342"/>
    </row>
    <row r="778">
      <c r="A778" s="337"/>
      <c r="B778" s="337"/>
      <c r="C778" s="338"/>
      <c r="D778" s="338"/>
      <c r="E778" s="338"/>
      <c r="F778" s="342"/>
    </row>
    <row r="779">
      <c r="A779" s="337"/>
      <c r="B779" s="337"/>
      <c r="C779" s="338"/>
      <c r="D779" s="338"/>
      <c r="E779" s="338"/>
      <c r="F779" s="342"/>
    </row>
    <row r="780">
      <c r="A780" s="337"/>
      <c r="B780" s="337"/>
      <c r="C780" s="338"/>
      <c r="D780" s="338"/>
      <c r="E780" s="338"/>
      <c r="F780" s="342"/>
    </row>
    <row r="781">
      <c r="A781" s="337"/>
      <c r="B781" s="337"/>
      <c r="C781" s="338"/>
      <c r="D781" s="338"/>
      <c r="E781" s="338"/>
      <c r="F781" s="342"/>
    </row>
    <row r="782">
      <c r="A782" s="337"/>
      <c r="B782" s="337"/>
      <c r="C782" s="338"/>
      <c r="D782" s="338"/>
      <c r="E782" s="338"/>
      <c r="F782" s="342"/>
    </row>
    <row r="783">
      <c r="A783" s="337"/>
      <c r="B783" s="337"/>
      <c r="C783" s="338"/>
      <c r="D783" s="338"/>
      <c r="E783" s="338"/>
      <c r="F783" s="342"/>
    </row>
    <row r="784">
      <c r="A784" s="337"/>
      <c r="B784" s="337"/>
      <c r="C784" s="338"/>
      <c r="D784" s="338"/>
      <c r="E784" s="338"/>
      <c r="F784" s="342"/>
    </row>
    <row r="785">
      <c r="A785" s="337"/>
      <c r="B785" s="337"/>
      <c r="C785" s="338"/>
      <c r="D785" s="338"/>
      <c r="E785" s="338"/>
      <c r="F785" s="342"/>
    </row>
    <row r="786">
      <c r="A786" s="337"/>
      <c r="B786" s="337"/>
      <c r="C786" s="338"/>
      <c r="D786" s="338"/>
      <c r="E786" s="338"/>
      <c r="F786" s="342"/>
    </row>
    <row r="787">
      <c r="A787" s="337"/>
      <c r="B787" s="337"/>
      <c r="C787" s="338"/>
      <c r="D787" s="338"/>
      <c r="E787" s="338"/>
      <c r="F787" s="342"/>
    </row>
    <row r="788">
      <c r="A788" s="337"/>
      <c r="B788" s="337"/>
      <c r="C788" s="338"/>
      <c r="D788" s="338"/>
      <c r="E788" s="338"/>
      <c r="F788" s="342"/>
    </row>
    <row r="789">
      <c r="A789" s="337"/>
      <c r="B789" s="337"/>
      <c r="C789" s="338"/>
      <c r="D789" s="338"/>
      <c r="E789" s="338"/>
      <c r="F789" s="342"/>
    </row>
    <row r="790">
      <c r="A790" s="337"/>
      <c r="B790" s="337"/>
      <c r="C790" s="338"/>
      <c r="D790" s="338"/>
      <c r="E790" s="338"/>
      <c r="F790" s="342"/>
    </row>
    <row r="791">
      <c r="A791" s="337"/>
      <c r="B791" s="337"/>
      <c r="C791" s="338"/>
      <c r="D791" s="338"/>
      <c r="E791" s="338"/>
      <c r="F791" s="342"/>
    </row>
    <row r="792">
      <c r="A792" s="337"/>
      <c r="B792" s="337"/>
      <c r="C792" s="338"/>
      <c r="D792" s="338"/>
      <c r="E792" s="338"/>
      <c r="F792" s="342"/>
    </row>
    <row r="793">
      <c r="A793" s="337"/>
      <c r="B793" s="337"/>
      <c r="C793" s="338"/>
      <c r="D793" s="338"/>
      <c r="E793" s="338"/>
      <c r="F793" s="342"/>
    </row>
    <row r="794">
      <c r="A794" s="337"/>
      <c r="B794" s="337"/>
      <c r="C794" s="338"/>
      <c r="D794" s="338"/>
      <c r="E794" s="338"/>
      <c r="F794" s="342"/>
    </row>
    <row r="795">
      <c r="A795" s="337"/>
      <c r="B795" s="337"/>
      <c r="C795" s="338"/>
      <c r="D795" s="338"/>
      <c r="E795" s="338"/>
      <c r="F795" s="342"/>
    </row>
    <row r="796">
      <c r="A796" s="337"/>
      <c r="B796" s="337"/>
      <c r="C796" s="338"/>
      <c r="D796" s="338"/>
      <c r="E796" s="338"/>
      <c r="F796" s="342"/>
    </row>
    <row r="797">
      <c r="A797" s="337"/>
      <c r="B797" s="337"/>
      <c r="C797" s="338"/>
      <c r="D797" s="338"/>
      <c r="E797" s="338"/>
      <c r="F797" s="342"/>
    </row>
    <row r="798">
      <c r="A798" s="337"/>
      <c r="B798" s="337"/>
      <c r="C798" s="338"/>
      <c r="D798" s="338"/>
      <c r="E798" s="338"/>
      <c r="F798" s="342"/>
    </row>
    <row r="799">
      <c r="A799" s="337"/>
      <c r="B799" s="337"/>
      <c r="C799" s="338"/>
      <c r="D799" s="338"/>
      <c r="E799" s="338"/>
      <c r="F799" s="342"/>
    </row>
    <row r="800">
      <c r="A800" s="337"/>
      <c r="B800" s="337"/>
      <c r="C800" s="338"/>
      <c r="D800" s="338"/>
      <c r="E800" s="338"/>
      <c r="F800" s="342"/>
    </row>
    <row r="801">
      <c r="A801" s="337"/>
      <c r="B801" s="337"/>
      <c r="C801" s="338"/>
      <c r="D801" s="338"/>
      <c r="E801" s="338"/>
      <c r="F801" s="342"/>
    </row>
    <row r="802">
      <c r="A802" s="337"/>
      <c r="B802" s="337"/>
      <c r="C802" s="338"/>
      <c r="D802" s="338"/>
      <c r="E802" s="338"/>
      <c r="F802" s="342"/>
    </row>
    <row r="803">
      <c r="A803" s="337"/>
      <c r="B803" s="337"/>
      <c r="C803" s="338"/>
      <c r="D803" s="338"/>
      <c r="E803" s="338"/>
      <c r="F803" s="342"/>
    </row>
    <row r="804">
      <c r="A804" s="337"/>
      <c r="B804" s="337"/>
      <c r="C804" s="338"/>
      <c r="D804" s="338"/>
      <c r="E804" s="338"/>
      <c r="F804" s="342"/>
    </row>
    <row r="805">
      <c r="A805" s="337"/>
      <c r="B805" s="337"/>
      <c r="C805" s="338"/>
      <c r="D805" s="338"/>
      <c r="E805" s="338"/>
      <c r="F805" s="342"/>
    </row>
    <row r="806">
      <c r="A806" s="337"/>
      <c r="B806" s="337"/>
      <c r="C806" s="338"/>
      <c r="D806" s="338"/>
      <c r="E806" s="338"/>
      <c r="F806" s="342"/>
    </row>
    <row r="807">
      <c r="A807" s="337"/>
      <c r="B807" s="337"/>
      <c r="C807" s="338"/>
      <c r="D807" s="338"/>
      <c r="E807" s="338"/>
      <c r="F807" s="342"/>
    </row>
    <row r="808">
      <c r="A808" s="337"/>
      <c r="B808" s="337"/>
      <c r="C808" s="338"/>
      <c r="D808" s="338"/>
      <c r="E808" s="338"/>
      <c r="F808" s="342"/>
    </row>
    <row r="809">
      <c r="A809" s="337"/>
      <c r="B809" s="337"/>
      <c r="C809" s="338"/>
      <c r="D809" s="338"/>
      <c r="E809" s="338"/>
      <c r="F809" s="342"/>
    </row>
    <row r="810">
      <c r="A810" s="337"/>
      <c r="B810" s="337"/>
      <c r="C810" s="338"/>
      <c r="D810" s="338"/>
      <c r="E810" s="338"/>
      <c r="F810" s="342"/>
    </row>
    <row r="811">
      <c r="A811" s="337"/>
      <c r="B811" s="337"/>
      <c r="C811" s="338"/>
      <c r="D811" s="338"/>
      <c r="E811" s="338"/>
      <c r="F811" s="342"/>
    </row>
    <row r="812">
      <c r="A812" s="337"/>
      <c r="B812" s="337"/>
      <c r="C812" s="338"/>
      <c r="D812" s="338"/>
      <c r="E812" s="338"/>
      <c r="F812" s="342"/>
    </row>
    <row r="813">
      <c r="A813" s="337"/>
      <c r="B813" s="337"/>
      <c r="C813" s="338"/>
      <c r="D813" s="338"/>
      <c r="E813" s="338"/>
      <c r="F813" s="342"/>
    </row>
    <row r="814">
      <c r="A814" s="337"/>
      <c r="B814" s="337"/>
      <c r="C814" s="338"/>
      <c r="D814" s="338"/>
      <c r="E814" s="338"/>
      <c r="F814" s="342"/>
    </row>
    <row r="815">
      <c r="A815" s="337"/>
      <c r="B815" s="337"/>
      <c r="C815" s="338"/>
      <c r="D815" s="338"/>
      <c r="E815" s="338"/>
      <c r="F815" s="342"/>
    </row>
    <row r="816">
      <c r="A816" s="337"/>
      <c r="B816" s="337"/>
      <c r="C816" s="338"/>
      <c r="D816" s="338"/>
      <c r="E816" s="338"/>
      <c r="F816" s="342"/>
    </row>
    <row r="817">
      <c r="A817" s="337"/>
      <c r="B817" s="337"/>
      <c r="C817" s="338"/>
      <c r="D817" s="338"/>
      <c r="E817" s="338"/>
      <c r="F817" s="342"/>
    </row>
    <row r="818">
      <c r="A818" s="337"/>
      <c r="B818" s="337"/>
      <c r="C818" s="338"/>
      <c r="D818" s="338"/>
      <c r="E818" s="338"/>
      <c r="F818" s="342"/>
    </row>
    <row r="819">
      <c r="A819" s="337"/>
      <c r="B819" s="337"/>
      <c r="C819" s="338"/>
      <c r="D819" s="338"/>
      <c r="E819" s="338"/>
      <c r="F819" s="342"/>
    </row>
    <row r="820">
      <c r="A820" s="337"/>
      <c r="B820" s="337"/>
      <c r="C820" s="338"/>
      <c r="D820" s="338"/>
      <c r="E820" s="338"/>
      <c r="F820" s="342"/>
    </row>
    <row r="821">
      <c r="A821" s="337"/>
      <c r="B821" s="337"/>
      <c r="C821" s="338"/>
      <c r="D821" s="338"/>
      <c r="E821" s="338"/>
      <c r="F821" s="342"/>
    </row>
    <row r="822">
      <c r="A822" s="337"/>
      <c r="B822" s="337"/>
      <c r="C822" s="338"/>
      <c r="D822" s="338"/>
      <c r="E822" s="338"/>
      <c r="F822" s="342"/>
    </row>
    <row r="823">
      <c r="A823" s="337"/>
      <c r="B823" s="337"/>
      <c r="C823" s="338"/>
      <c r="D823" s="338"/>
      <c r="E823" s="338"/>
      <c r="F823" s="342"/>
    </row>
    <row r="824">
      <c r="A824" s="337"/>
      <c r="B824" s="337"/>
      <c r="C824" s="338"/>
      <c r="D824" s="338"/>
      <c r="E824" s="338"/>
      <c r="F824" s="342"/>
    </row>
    <row r="825">
      <c r="A825" s="337"/>
      <c r="B825" s="337"/>
      <c r="C825" s="338"/>
      <c r="D825" s="338"/>
      <c r="E825" s="338"/>
      <c r="F825" s="342"/>
    </row>
    <row r="826">
      <c r="A826" s="337"/>
      <c r="B826" s="337"/>
      <c r="C826" s="338"/>
      <c r="D826" s="338"/>
      <c r="E826" s="338"/>
      <c r="F826" s="342"/>
    </row>
    <row r="827">
      <c r="A827" s="337"/>
      <c r="B827" s="337"/>
      <c r="C827" s="338"/>
      <c r="D827" s="338"/>
      <c r="E827" s="338"/>
      <c r="F827" s="342"/>
    </row>
    <row r="828">
      <c r="A828" s="337"/>
      <c r="B828" s="337"/>
      <c r="C828" s="338"/>
      <c r="D828" s="338"/>
      <c r="E828" s="338"/>
      <c r="F828" s="342"/>
    </row>
    <row r="829">
      <c r="A829" s="337"/>
      <c r="B829" s="337"/>
      <c r="C829" s="338"/>
      <c r="D829" s="338"/>
      <c r="E829" s="338"/>
      <c r="F829" s="342"/>
    </row>
    <row r="830">
      <c r="A830" s="337"/>
      <c r="B830" s="337"/>
      <c r="C830" s="338"/>
      <c r="D830" s="338"/>
      <c r="E830" s="338"/>
      <c r="F830" s="342"/>
    </row>
    <row r="831">
      <c r="A831" s="337"/>
      <c r="B831" s="337"/>
      <c r="C831" s="338"/>
      <c r="D831" s="338"/>
      <c r="E831" s="338"/>
      <c r="F831" s="342"/>
    </row>
    <row r="832">
      <c r="A832" s="337"/>
      <c r="B832" s="337"/>
      <c r="C832" s="338"/>
      <c r="D832" s="338"/>
      <c r="E832" s="338"/>
      <c r="F832" s="342"/>
    </row>
    <row r="833">
      <c r="A833" s="337"/>
      <c r="B833" s="337"/>
      <c r="C833" s="338"/>
      <c r="D833" s="338"/>
      <c r="E833" s="338"/>
      <c r="F833" s="342"/>
    </row>
    <row r="834">
      <c r="A834" s="337"/>
      <c r="B834" s="337"/>
      <c r="C834" s="338"/>
      <c r="D834" s="338"/>
      <c r="E834" s="338"/>
      <c r="F834" s="342"/>
    </row>
    <row r="835">
      <c r="A835" s="337"/>
      <c r="B835" s="337"/>
      <c r="C835" s="338"/>
      <c r="D835" s="338"/>
      <c r="E835" s="338"/>
      <c r="F835" s="342"/>
    </row>
    <row r="836">
      <c r="A836" s="337"/>
      <c r="B836" s="337"/>
      <c r="C836" s="338"/>
      <c r="D836" s="338"/>
      <c r="E836" s="338"/>
      <c r="F836" s="342"/>
    </row>
    <row r="837">
      <c r="A837" s="337"/>
      <c r="B837" s="337"/>
      <c r="C837" s="338"/>
      <c r="D837" s="338"/>
      <c r="E837" s="338"/>
      <c r="F837" s="342"/>
    </row>
    <row r="838">
      <c r="A838" s="337"/>
      <c r="B838" s="337"/>
      <c r="C838" s="338"/>
      <c r="D838" s="338"/>
      <c r="E838" s="338"/>
      <c r="F838" s="342"/>
    </row>
    <row r="839">
      <c r="A839" s="337"/>
      <c r="B839" s="337"/>
      <c r="C839" s="338"/>
      <c r="D839" s="338"/>
      <c r="E839" s="338"/>
      <c r="F839" s="342"/>
    </row>
    <row r="840">
      <c r="A840" s="337"/>
      <c r="B840" s="337"/>
      <c r="C840" s="338"/>
      <c r="D840" s="338"/>
      <c r="E840" s="338"/>
      <c r="F840" s="342"/>
    </row>
    <row r="841">
      <c r="A841" s="337"/>
      <c r="B841" s="337"/>
      <c r="C841" s="338"/>
      <c r="D841" s="338"/>
      <c r="E841" s="338"/>
      <c r="F841" s="342"/>
    </row>
    <row r="842">
      <c r="A842" s="337"/>
      <c r="B842" s="337"/>
      <c r="C842" s="338"/>
      <c r="D842" s="338"/>
      <c r="E842" s="338"/>
      <c r="F842" s="342"/>
    </row>
    <row r="843">
      <c r="A843" s="337"/>
      <c r="B843" s="337"/>
      <c r="C843" s="338"/>
      <c r="D843" s="338"/>
      <c r="E843" s="338"/>
      <c r="F843" s="342"/>
    </row>
    <row r="844">
      <c r="A844" s="337"/>
      <c r="B844" s="337"/>
      <c r="C844" s="338"/>
      <c r="D844" s="338"/>
      <c r="E844" s="338"/>
      <c r="F844" s="342"/>
    </row>
    <row r="845">
      <c r="A845" s="337"/>
      <c r="B845" s="337"/>
      <c r="C845" s="338"/>
      <c r="D845" s="338"/>
      <c r="E845" s="338"/>
      <c r="F845" s="342"/>
    </row>
    <row r="846">
      <c r="A846" s="337"/>
      <c r="B846" s="337"/>
      <c r="C846" s="338"/>
      <c r="D846" s="338"/>
      <c r="E846" s="338"/>
      <c r="F846" s="342"/>
    </row>
    <row r="847">
      <c r="A847" s="337"/>
      <c r="B847" s="337"/>
      <c r="C847" s="338"/>
      <c r="D847" s="338"/>
      <c r="E847" s="338"/>
      <c r="F847" s="342"/>
    </row>
    <row r="848">
      <c r="A848" s="337"/>
      <c r="B848" s="337"/>
      <c r="C848" s="338"/>
      <c r="D848" s="338"/>
      <c r="E848" s="338"/>
      <c r="F848" s="342"/>
    </row>
    <row r="849">
      <c r="A849" s="337"/>
      <c r="B849" s="337"/>
      <c r="C849" s="338"/>
      <c r="D849" s="338"/>
      <c r="E849" s="338"/>
      <c r="F849" s="342"/>
    </row>
    <row r="850">
      <c r="A850" s="337"/>
      <c r="B850" s="337"/>
      <c r="C850" s="338"/>
      <c r="D850" s="338"/>
      <c r="E850" s="338"/>
      <c r="F850" s="342"/>
    </row>
    <row r="851">
      <c r="A851" s="337"/>
      <c r="B851" s="337"/>
      <c r="C851" s="338"/>
      <c r="D851" s="338"/>
      <c r="E851" s="338"/>
      <c r="F851" s="342"/>
    </row>
    <row r="852">
      <c r="A852" s="337"/>
      <c r="B852" s="337"/>
      <c r="C852" s="338"/>
      <c r="D852" s="338"/>
      <c r="E852" s="338"/>
      <c r="F852" s="342"/>
    </row>
    <row r="853">
      <c r="A853" s="337"/>
      <c r="B853" s="337"/>
      <c r="C853" s="338"/>
      <c r="D853" s="338"/>
      <c r="E853" s="338"/>
      <c r="F853" s="342"/>
    </row>
    <row r="854">
      <c r="A854" s="337"/>
      <c r="B854" s="337"/>
      <c r="C854" s="338"/>
      <c r="D854" s="338"/>
      <c r="E854" s="338"/>
      <c r="F854" s="342"/>
    </row>
    <row r="855">
      <c r="A855" s="337"/>
      <c r="B855" s="337"/>
      <c r="C855" s="338"/>
      <c r="D855" s="338"/>
      <c r="E855" s="338"/>
      <c r="F855" s="342"/>
    </row>
    <row r="856">
      <c r="A856" s="337"/>
      <c r="B856" s="337"/>
      <c r="C856" s="338"/>
      <c r="D856" s="338"/>
      <c r="E856" s="338"/>
      <c r="F856" s="342"/>
    </row>
    <row r="857">
      <c r="A857" s="337"/>
      <c r="B857" s="337"/>
      <c r="C857" s="338"/>
      <c r="D857" s="338"/>
      <c r="E857" s="338"/>
      <c r="F857" s="342"/>
    </row>
    <row r="858">
      <c r="A858" s="337"/>
      <c r="B858" s="337"/>
      <c r="C858" s="338"/>
      <c r="D858" s="338"/>
      <c r="E858" s="338"/>
      <c r="F858" s="342"/>
    </row>
    <row r="859">
      <c r="A859" s="337"/>
      <c r="B859" s="337"/>
      <c r="C859" s="338"/>
      <c r="D859" s="338"/>
      <c r="E859" s="338"/>
      <c r="F859" s="342"/>
    </row>
    <row r="860">
      <c r="A860" s="337"/>
      <c r="B860" s="337"/>
      <c r="C860" s="338"/>
      <c r="D860" s="338"/>
      <c r="E860" s="338"/>
      <c r="F860" s="342"/>
    </row>
    <row r="861">
      <c r="A861" s="337"/>
      <c r="B861" s="337"/>
      <c r="C861" s="338"/>
      <c r="D861" s="338"/>
      <c r="E861" s="338"/>
      <c r="F861" s="342"/>
    </row>
    <row r="862">
      <c r="A862" s="337"/>
      <c r="B862" s="337"/>
      <c r="C862" s="338"/>
      <c r="D862" s="338"/>
      <c r="E862" s="338"/>
      <c r="F862" s="342"/>
    </row>
    <row r="863">
      <c r="A863" s="337"/>
      <c r="B863" s="337"/>
      <c r="C863" s="338"/>
      <c r="D863" s="338"/>
      <c r="E863" s="338"/>
      <c r="F863" s="342"/>
    </row>
    <row r="864">
      <c r="A864" s="337"/>
      <c r="B864" s="337"/>
      <c r="C864" s="338"/>
      <c r="D864" s="338"/>
      <c r="E864" s="338"/>
      <c r="F864" s="342"/>
    </row>
    <row r="865">
      <c r="A865" s="337"/>
      <c r="B865" s="337"/>
      <c r="C865" s="338"/>
      <c r="D865" s="338"/>
      <c r="E865" s="338"/>
      <c r="F865" s="342"/>
    </row>
    <row r="866">
      <c r="A866" s="337"/>
      <c r="B866" s="337"/>
      <c r="C866" s="338"/>
      <c r="D866" s="338"/>
      <c r="E866" s="338"/>
      <c r="F866" s="342"/>
    </row>
    <row r="867">
      <c r="A867" s="337"/>
      <c r="B867" s="337"/>
      <c r="C867" s="338"/>
      <c r="D867" s="338"/>
      <c r="E867" s="338"/>
      <c r="F867" s="342"/>
    </row>
    <row r="868">
      <c r="A868" s="337"/>
      <c r="B868" s="337"/>
      <c r="C868" s="338"/>
      <c r="D868" s="338"/>
      <c r="E868" s="338"/>
      <c r="F868" s="342"/>
    </row>
    <row r="869">
      <c r="A869" s="337"/>
      <c r="B869" s="337"/>
      <c r="C869" s="338"/>
      <c r="D869" s="338"/>
      <c r="E869" s="338"/>
      <c r="F869" s="342"/>
    </row>
    <row r="870">
      <c r="A870" s="337"/>
      <c r="B870" s="337"/>
      <c r="C870" s="338"/>
      <c r="D870" s="338"/>
      <c r="E870" s="338"/>
      <c r="F870" s="342"/>
    </row>
    <row r="871">
      <c r="A871" s="337"/>
      <c r="B871" s="337"/>
      <c r="C871" s="338"/>
      <c r="D871" s="338"/>
      <c r="E871" s="338"/>
      <c r="F871" s="342"/>
    </row>
    <row r="872">
      <c r="A872" s="337"/>
      <c r="B872" s="337"/>
      <c r="C872" s="338"/>
      <c r="D872" s="338"/>
      <c r="E872" s="338"/>
      <c r="F872" s="342"/>
    </row>
    <row r="873">
      <c r="A873" s="337"/>
      <c r="B873" s="337"/>
      <c r="C873" s="338"/>
      <c r="D873" s="338"/>
      <c r="E873" s="338"/>
      <c r="F873" s="342"/>
    </row>
    <row r="874">
      <c r="A874" s="337"/>
      <c r="B874" s="337"/>
      <c r="C874" s="338"/>
      <c r="D874" s="338"/>
      <c r="E874" s="338"/>
      <c r="F874" s="342"/>
    </row>
    <row r="875">
      <c r="A875" s="337"/>
      <c r="B875" s="337"/>
      <c r="C875" s="338"/>
      <c r="D875" s="338"/>
      <c r="E875" s="338"/>
      <c r="F875" s="342"/>
    </row>
    <row r="876">
      <c r="A876" s="337"/>
      <c r="B876" s="337"/>
      <c r="C876" s="338"/>
      <c r="D876" s="338"/>
      <c r="E876" s="338"/>
      <c r="F876" s="342"/>
    </row>
    <row r="877">
      <c r="A877" s="337"/>
      <c r="B877" s="337"/>
      <c r="C877" s="338"/>
      <c r="D877" s="338"/>
      <c r="E877" s="338"/>
      <c r="F877" s="342"/>
    </row>
    <row r="878">
      <c r="A878" s="337"/>
      <c r="B878" s="337"/>
      <c r="C878" s="338"/>
      <c r="D878" s="338"/>
      <c r="E878" s="338"/>
      <c r="F878" s="342"/>
    </row>
    <row r="879">
      <c r="A879" s="337"/>
      <c r="B879" s="337"/>
      <c r="C879" s="338"/>
      <c r="D879" s="338"/>
      <c r="E879" s="338"/>
      <c r="F879" s="342"/>
    </row>
    <row r="880">
      <c r="A880" s="337"/>
      <c r="B880" s="337"/>
      <c r="C880" s="338"/>
      <c r="D880" s="338"/>
      <c r="E880" s="338"/>
      <c r="F880" s="342"/>
    </row>
    <row r="881">
      <c r="A881" s="337"/>
      <c r="B881" s="337"/>
      <c r="C881" s="338"/>
      <c r="D881" s="338"/>
      <c r="E881" s="338"/>
      <c r="F881" s="342"/>
    </row>
    <row r="882">
      <c r="A882" s="337"/>
      <c r="B882" s="337"/>
      <c r="C882" s="338"/>
      <c r="D882" s="338"/>
      <c r="E882" s="338"/>
      <c r="F882" s="342"/>
    </row>
    <row r="883">
      <c r="A883" s="337"/>
      <c r="B883" s="337"/>
      <c r="C883" s="338"/>
      <c r="D883" s="338"/>
      <c r="E883" s="338"/>
      <c r="F883" s="342"/>
    </row>
    <row r="884">
      <c r="A884" s="337"/>
      <c r="B884" s="337"/>
      <c r="C884" s="338"/>
      <c r="D884" s="338"/>
      <c r="E884" s="338"/>
      <c r="F884" s="342"/>
    </row>
    <row r="885">
      <c r="A885" s="337"/>
      <c r="B885" s="337"/>
      <c r="C885" s="338"/>
      <c r="D885" s="338"/>
      <c r="E885" s="338"/>
      <c r="F885" s="342"/>
    </row>
    <row r="886">
      <c r="A886" s="337"/>
      <c r="B886" s="337"/>
      <c r="C886" s="338"/>
      <c r="D886" s="338"/>
      <c r="E886" s="338"/>
      <c r="F886" s="342"/>
    </row>
    <row r="887">
      <c r="A887" s="337"/>
      <c r="B887" s="337"/>
      <c r="C887" s="338"/>
      <c r="D887" s="338"/>
      <c r="E887" s="338"/>
      <c r="F887" s="342"/>
    </row>
    <row r="888">
      <c r="A888" s="337"/>
      <c r="B888" s="337"/>
      <c r="C888" s="338"/>
      <c r="D888" s="338"/>
      <c r="E888" s="338"/>
      <c r="F888" s="342"/>
    </row>
    <row r="889">
      <c r="A889" s="337"/>
      <c r="B889" s="337"/>
      <c r="C889" s="338"/>
      <c r="D889" s="338"/>
      <c r="E889" s="338"/>
      <c r="F889" s="342"/>
    </row>
    <row r="890">
      <c r="A890" s="337"/>
      <c r="B890" s="337"/>
      <c r="C890" s="338"/>
      <c r="D890" s="338"/>
      <c r="E890" s="338"/>
      <c r="F890" s="342"/>
    </row>
    <row r="891">
      <c r="A891" s="337"/>
      <c r="B891" s="337"/>
      <c r="C891" s="338"/>
      <c r="D891" s="338"/>
      <c r="E891" s="338"/>
      <c r="F891" s="342"/>
    </row>
    <row r="892">
      <c r="A892" s="337"/>
      <c r="B892" s="337"/>
      <c r="C892" s="338"/>
      <c r="D892" s="338"/>
      <c r="E892" s="338"/>
      <c r="F892" s="342"/>
    </row>
    <row r="893">
      <c r="A893" s="337"/>
      <c r="B893" s="337"/>
      <c r="C893" s="338"/>
      <c r="D893" s="338"/>
      <c r="E893" s="338"/>
      <c r="F893" s="342"/>
    </row>
    <row r="894">
      <c r="A894" s="337"/>
      <c r="B894" s="337"/>
      <c r="C894" s="338"/>
      <c r="D894" s="338"/>
      <c r="E894" s="338"/>
      <c r="F894" s="342"/>
    </row>
    <row r="895">
      <c r="A895" s="337"/>
      <c r="B895" s="337"/>
      <c r="C895" s="338"/>
      <c r="D895" s="338"/>
      <c r="E895" s="338"/>
      <c r="F895" s="342"/>
    </row>
    <row r="896">
      <c r="A896" s="337"/>
      <c r="B896" s="337"/>
      <c r="C896" s="338"/>
      <c r="D896" s="338"/>
      <c r="E896" s="338"/>
      <c r="F896" s="342"/>
    </row>
    <row r="897">
      <c r="A897" s="337"/>
      <c r="B897" s="337"/>
      <c r="C897" s="338"/>
      <c r="D897" s="338"/>
      <c r="E897" s="338"/>
      <c r="F897" s="342"/>
    </row>
    <row r="898">
      <c r="A898" s="337"/>
      <c r="B898" s="337"/>
      <c r="C898" s="338"/>
      <c r="D898" s="338"/>
      <c r="E898" s="338"/>
      <c r="F898" s="342"/>
    </row>
    <row r="899">
      <c r="A899" s="337"/>
      <c r="B899" s="337"/>
      <c r="C899" s="338"/>
      <c r="D899" s="338"/>
      <c r="E899" s="338"/>
      <c r="F899" s="342"/>
    </row>
    <row r="900">
      <c r="A900" s="337"/>
      <c r="B900" s="337"/>
      <c r="C900" s="338"/>
      <c r="D900" s="338"/>
      <c r="E900" s="338"/>
      <c r="F900" s="342"/>
    </row>
    <row r="901">
      <c r="A901" s="337"/>
      <c r="B901" s="337"/>
      <c r="C901" s="338"/>
      <c r="D901" s="338"/>
      <c r="E901" s="338"/>
      <c r="F901" s="342"/>
    </row>
    <row r="902">
      <c r="A902" s="337"/>
      <c r="B902" s="337"/>
      <c r="C902" s="338"/>
      <c r="D902" s="338"/>
      <c r="E902" s="338"/>
      <c r="F902" s="342"/>
    </row>
    <row r="903">
      <c r="A903" s="337"/>
      <c r="B903" s="337"/>
      <c r="C903" s="338"/>
      <c r="D903" s="338"/>
      <c r="E903" s="338"/>
      <c r="F903" s="342"/>
    </row>
    <row r="904">
      <c r="A904" s="337"/>
      <c r="B904" s="337"/>
      <c r="C904" s="338"/>
      <c r="D904" s="338"/>
      <c r="E904" s="338"/>
      <c r="F904" s="342"/>
    </row>
    <row r="905">
      <c r="A905" s="337"/>
      <c r="B905" s="337"/>
      <c r="C905" s="338"/>
      <c r="D905" s="338"/>
      <c r="E905" s="338"/>
      <c r="F905" s="342"/>
    </row>
    <row r="906">
      <c r="A906" s="337"/>
      <c r="B906" s="337"/>
      <c r="C906" s="338"/>
      <c r="D906" s="338"/>
      <c r="E906" s="338"/>
      <c r="F906" s="342"/>
    </row>
    <row r="907">
      <c r="A907" s="337"/>
      <c r="B907" s="337"/>
      <c r="C907" s="338"/>
      <c r="D907" s="338"/>
      <c r="E907" s="338"/>
      <c r="F907" s="342"/>
    </row>
    <row r="908">
      <c r="A908" s="337"/>
      <c r="B908" s="337"/>
      <c r="C908" s="338"/>
      <c r="D908" s="338"/>
      <c r="E908" s="338"/>
      <c r="F908" s="342"/>
    </row>
    <row r="909">
      <c r="A909" s="337"/>
      <c r="B909" s="337"/>
      <c r="C909" s="338"/>
      <c r="D909" s="338"/>
      <c r="E909" s="338"/>
      <c r="F909" s="342"/>
    </row>
    <row r="910">
      <c r="A910" s="337"/>
      <c r="B910" s="337"/>
      <c r="C910" s="338"/>
      <c r="D910" s="338"/>
      <c r="E910" s="338"/>
      <c r="F910" s="342"/>
    </row>
    <row r="911">
      <c r="A911" s="337"/>
      <c r="B911" s="337"/>
      <c r="C911" s="338"/>
      <c r="D911" s="338"/>
      <c r="E911" s="338"/>
      <c r="F911" s="342"/>
    </row>
    <row r="912">
      <c r="A912" s="337"/>
      <c r="B912" s="337"/>
      <c r="C912" s="338"/>
      <c r="D912" s="338"/>
      <c r="E912" s="338"/>
      <c r="F912" s="342"/>
    </row>
    <row r="913">
      <c r="A913" s="337"/>
      <c r="B913" s="337"/>
      <c r="C913" s="338"/>
      <c r="D913" s="338"/>
      <c r="E913" s="338"/>
      <c r="F913" s="342"/>
    </row>
    <row r="914">
      <c r="A914" s="337"/>
      <c r="B914" s="337"/>
      <c r="C914" s="338"/>
      <c r="D914" s="338"/>
      <c r="E914" s="338"/>
      <c r="F914" s="342"/>
    </row>
    <row r="915">
      <c r="A915" s="337"/>
      <c r="B915" s="337"/>
      <c r="C915" s="338"/>
      <c r="D915" s="338"/>
      <c r="E915" s="338"/>
      <c r="F915" s="342"/>
    </row>
    <row r="916">
      <c r="A916" s="337"/>
      <c r="B916" s="337"/>
      <c r="C916" s="338"/>
      <c r="D916" s="338"/>
      <c r="E916" s="338"/>
      <c r="F916" s="342"/>
    </row>
    <row r="917">
      <c r="A917" s="337"/>
      <c r="B917" s="337"/>
      <c r="C917" s="338"/>
      <c r="D917" s="338"/>
      <c r="E917" s="338"/>
      <c r="F917" s="342"/>
    </row>
    <row r="918">
      <c r="A918" s="337"/>
      <c r="B918" s="337"/>
      <c r="C918" s="338"/>
      <c r="D918" s="338"/>
      <c r="E918" s="338"/>
      <c r="F918" s="342"/>
    </row>
    <row r="919">
      <c r="A919" s="337"/>
      <c r="B919" s="337"/>
      <c r="C919" s="338"/>
      <c r="D919" s="338"/>
      <c r="E919" s="338"/>
      <c r="F919" s="342"/>
    </row>
    <row r="920">
      <c r="A920" s="337"/>
      <c r="B920" s="337"/>
      <c r="C920" s="338"/>
      <c r="D920" s="338"/>
      <c r="E920" s="338"/>
      <c r="F920" s="342"/>
    </row>
    <row r="921">
      <c r="A921" s="337"/>
      <c r="B921" s="337"/>
      <c r="C921" s="338"/>
      <c r="D921" s="338"/>
      <c r="E921" s="338"/>
      <c r="F921" s="342"/>
    </row>
    <row r="922">
      <c r="A922" s="337"/>
      <c r="B922" s="337"/>
      <c r="C922" s="338"/>
      <c r="D922" s="338"/>
      <c r="E922" s="338"/>
      <c r="F922" s="342"/>
    </row>
    <row r="923">
      <c r="A923" s="337"/>
      <c r="B923" s="337"/>
      <c r="C923" s="338"/>
      <c r="D923" s="338"/>
      <c r="E923" s="338"/>
      <c r="F923" s="342"/>
    </row>
    <row r="924">
      <c r="A924" s="337"/>
      <c r="B924" s="337"/>
      <c r="C924" s="338"/>
      <c r="D924" s="338"/>
      <c r="E924" s="338"/>
      <c r="F924" s="342"/>
    </row>
    <row r="925">
      <c r="A925" s="337"/>
      <c r="B925" s="337"/>
      <c r="C925" s="338"/>
      <c r="D925" s="338"/>
      <c r="E925" s="338"/>
      <c r="F925" s="342"/>
    </row>
    <row r="926">
      <c r="A926" s="337"/>
      <c r="B926" s="337"/>
      <c r="C926" s="338"/>
      <c r="D926" s="338"/>
      <c r="E926" s="338"/>
      <c r="F926" s="342"/>
    </row>
    <row r="927">
      <c r="A927" s="337"/>
      <c r="B927" s="337"/>
      <c r="C927" s="338"/>
      <c r="D927" s="338"/>
      <c r="E927" s="338"/>
      <c r="F927" s="342"/>
    </row>
    <row r="928">
      <c r="A928" s="337"/>
      <c r="B928" s="337"/>
      <c r="C928" s="338"/>
      <c r="D928" s="338"/>
      <c r="E928" s="338"/>
      <c r="F928" s="342"/>
    </row>
    <row r="929">
      <c r="A929" s="337"/>
      <c r="B929" s="337"/>
      <c r="C929" s="338"/>
      <c r="D929" s="338"/>
      <c r="E929" s="338"/>
      <c r="F929" s="342"/>
    </row>
    <row r="930">
      <c r="A930" s="337"/>
      <c r="B930" s="337"/>
      <c r="C930" s="338"/>
      <c r="D930" s="338"/>
      <c r="E930" s="338"/>
      <c r="F930" s="342"/>
    </row>
    <row r="931">
      <c r="A931" s="337"/>
      <c r="B931" s="337"/>
      <c r="C931" s="338"/>
      <c r="D931" s="338"/>
      <c r="E931" s="338"/>
      <c r="F931" s="342"/>
    </row>
    <row r="932">
      <c r="A932" s="337"/>
      <c r="B932" s="337"/>
      <c r="C932" s="338"/>
      <c r="D932" s="338"/>
      <c r="E932" s="338"/>
      <c r="F932" s="342"/>
    </row>
    <row r="933">
      <c r="A933" s="337"/>
      <c r="B933" s="337"/>
      <c r="C933" s="338"/>
      <c r="D933" s="338"/>
      <c r="E933" s="338"/>
      <c r="F933" s="342"/>
    </row>
    <row r="934">
      <c r="A934" s="337"/>
      <c r="B934" s="337"/>
      <c r="C934" s="338"/>
      <c r="D934" s="338"/>
      <c r="E934" s="338"/>
      <c r="F934" s="342"/>
    </row>
    <row r="935">
      <c r="A935" s="337"/>
      <c r="B935" s="337"/>
      <c r="C935" s="338"/>
      <c r="D935" s="338"/>
      <c r="E935" s="338"/>
      <c r="F935" s="342"/>
    </row>
    <row r="936">
      <c r="A936" s="337"/>
      <c r="B936" s="337"/>
      <c r="C936" s="338"/>
      <c r="D936" s="338"/>
      <c r="E936" s="338"/>
      <c r="F936" s="342"/>
    </row>
    <row r="937">
      <c r="A937" s="337"/>
      <c r="B937" s="337"/>
      <c r="C937" s="338"/>
      <c r="D937" s="338"/>
      <c r="E937" s="338"/>
      <c r="F937" s="342"/>
    </row>
    <row r="938">
      <c r="A938" s="337"/>
      <c r="B938" s="337"/>
      <c r="C938" s="338"/>
      <c r="D938" s="338"/>
      <c r="E938" s="338"/>
      <c r="F938" s="342"/>
    </row>
    <row r="939">
      <c r="A939" s="337"/>
      <c r="B939" s="337"/>
      <c r="C939" s="338"/>
      <c r="D939" s="338"/>
      <c r="E939" s="338"/>
      <c r="F939" s="342"/>
    </row>
    <row r="940">
      <c r="A940" s="337"/>
      <c r="B940" s="337"/>
      <c r="C940" s="338"/>
      <c r="D940" s="338"/>
      <c r="E940" s="338"/>
      <c r="F940" s="342"/>
    </row>
    <row r="941">
      <c r="A941" s="337"/>
      <c r="B941" s="337"/>
      <c r="C941" s="338"/>
      <c r="D941" s="338"/>
      <c r="E941" s="338"/>
      <c r="F941" s="342"/>
    </row>
    <row r="942">
      <c r="A942" s="337"/>
      <c r="B942" s="337"/>
      <c r="C942" s="338"/>
      <c r="D942" s="338"/>
      <c r="E942" s="338"/>
      <c r="F942" s="342"/>
    </row>
    <row r="943">
      <c r="A943" s="337"/>
      <c r="B943" s="337"/>
      <c r="C943" s="338"/>
      <c r="D943" s="338"/>
      <c r="E943" s="338"/>
      <c r="F943" s="342"/>
    </row>
    <row r="944">
      <c r="A944" s="337"/>
      <c r="B944" s="337"/>
      <c r="C944" s="338"/>
      <c r="D944" s="338"/>
      <c r="E944" s="338"/>
      <c r="F944" s="342"/>
    </row>
    <row r="945">
      <c r="A945" s="337"/>
      <c r="B945" s="337"/>
      <c r="C945" s="338"/>
      <c r="D945" s="338"/>
      <c r="E945" s="338"/>
      <c r="F945" s="342"/>
    </row>
  </sheetData>
  <autoFilter ref="$A$1:$F$286"/>
  <customSheetViews>
    <customSheetView guid="{FE01F81F-4FA6-4C2A-B62E-D0BF75DCC44B}" filter="1" showAutoFilter="1">
      <autoFilter ref="$A$1:$F$286"/>
    </customSheetView>
  </customSheetView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location=".Y9j7OXZBy5c"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location="xj4y7vzkg"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location=":~:text=a%20broad%20basis.%E2%80%9D-,More%20Risk,to%20sell%20ahead%20of%20construction."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D184"/>
    <hyperlink r:id="rId184" ref="E184"/>
    <hyperlink r:id="rId185" ref="D185"/>
    <hyperlink r:id="rId186" ref="E185"/>
    <hyperlink r:id="rId187" location=":~:text=Unlike%20off%2Dplan%20investments%2C%20ready,in%20the%20completion%20of%20construction." ref="D186"/>
    <hyperlink r:id="rId188" location=":~:text=Unlike%20off%2Dplan%20investments%2C%20ready,in%20the%20completion%20of%20construction." ref="E186"/>
    <hyperlink r:id="rId189" ref="D187"/>
    <hyperlink r:id="rId190" ref="E187"/>
    <hyperlink r:id="rId191" ref="D188"/>
    <hyperlink r:id="rId192" ref="E188"/>
    <hyperlink r:id="rId193" ref="D189"/>
    <hyperlink r:id="rId194" ref="E189"/>
    <hyperlink r:id="rId195" ref="D190"/>
    <hyperlink r:id="rId196" ref="E190"/>
    <hyperlink r:id="rId197" ref="D191"/>
    <hyperlink r:id="rId198" ref="E191"/>
    <hyperlink r:id="rId199" ref="D192"/>
    <hyperlink r:id="rId200" ref="E192"/>
    <hyperlink r:id="rId201" ref="D193"/>
    <hyperlink r:id="rId202" ref="E193"/>
    <hyperlink r:id="rId203" ref="D194"/>
    <hyperlink r:id="rId204" ref="E194"/>
    <hyperlink r:id="rId205" ref="D195"/>
    <hyperlink r:id="rId206" ref="E195"/>
    <hyperlink r:id="rId207" ref="D196"/>
    <hyperlink r:id="rId208" ref="E196"/>
    <hyperlink r:id="rId209" ref="D197"/>
    <hyperlink r:id="rId210" ref="E197"/>
    <hyperlink r:id="rId211" ref="D198"/>
    <hyperlink r:id="rId212" ref="E198"/>
    <hyperlink r:id="rId213" ref="D199"/>
    <hyperlink r:id="rId214" ref="E199"/>
    <hyperlink r:id="rId215" ref="D200"/>
    <hyperlink r:id="rId216" ref="E200"/>
    <hyperlink r:id="rId217" ref="D201"/>
    <hyperlink r:id="rId218" ref="E201"/>
    <hyperlink r:id="rId219" ref="D202"/>
    <hyperlink r:id="rId220" ref="E202"/>
    <hyperlink r:id="rId221" ref="D203"/>
    <hyperlink r:id="rId222" ref="E203"/>
    <hyperlink r:id="rId223" ref="D204"/>
    <hyperlink r:id="rId224" ref="E204"/>
    <hyperlink r:id="rId225" ref="D205"/>
    <hyperlink r:id="rId226" ref="E205"/>
    <hyperlink r:id="rId227" ref="D206"/>
    <hyperlink r:id="rId228" ref="E206"/>
    <hyperlink r:id="rId229" ref="D207"/>
    <hyperlink r:id="rId230" ref="E207"/>
    <hyperlink r:id="rId231" ref="D208"/>
    <hyperlink r:id="rId232" ref="E208"/>
    <hyperlink r:id="rId233" ref="D209"/>
    <hyperlink r:id="rId234" ref="E209"/>
    <hyperlink r:id="rId235" ref="D210"/>
    <hyperlink r:id="rId236" ref="E210"/>
    <hyperlink r:id="rId237" ref="D211"/>
    <hyperlink r:id="rId238" ref="E211"/>
    <hyperlink r:id="rId239" ref="D212"/>
    <hyperlink r:id="rId240" ref="E212"/>
    <hyperlink r:id="rId241" ref="D213"/>
    <hyperlink r:id="rId242" ref="E213"/>
    <hyperlink r:id="rId243" ref="D214"/>
    <hyperlink r:id="rId244" ref="E214"/>
    <hyperlink r:id="rId245" ref="D215"/>
    <hyperlink r:id="rId246" ref="E215"/>
    <hyperlink r:id="rId247" ref="D216"/>
    <hyperlink r:id="rId248" ref="E216"/>
    <hyperlink r:id="rId249" ref="D217"/>
    <hyperlink r:id="rId250" ref="E217"/>
    <hyperlink r:id="rId251" ref="D218"/>
    <hyperlink r:id="rId252" ref="E218"/>
    <hyperlink r:id="rId253" ref="D219"/>
    <hyperlink r:id="rId254" ref="E219"/>
    <hyperlink r:id="rId255" ref="D220"/>
    <hyperlink r:id="rId256" ref="E220"/>
    <hyperlink r:id="rId257" ref="D221"/>
    <hyperlink r:id="rId258" ref="E221"/>
    <hyperlink r:id="rId259" ref="D222"/>
    <hyperlink r:id="rId260" ref="E222"/>
    <hyperlink r:id="rId261" ref="D223"/>
    <hyperlink r:id="rId262" ref="E223"/>
    <hyperlink r:id="rId263" ref="D224"/>
    <hyperlink r:id="rId264" ref="E224"/>
    <hyperlink r:id="rId265" ref="D225"/>
    <hyperlink r:id="rId266" ref="E225"/>
    <hyperlink r:id="rId267" ref="D226"/>
    <hyperlink r:id="rId268" ref="E226"/>
    <hyperlink r:id="rId269" ref="D227"/>
    <hyperlink r:id="rId270" ref="E227"/>
    <hyperlink r:id="rId271" ref="D228"/>
    <hyperlink r:id="rId272" ref="E228"/>
    <hyperlink r:id="rId273" ref="D229"/>
    <hyperlink r:id="rId274" ref="E229"/>
    <hyperlink r:id="rId275" ref="D230"/>
    <hyperlink r:id="rId276" ref="E230"/>
    <hyperlink r:id="rId277" ref="D231"/>
    <hyperlink r:id="rId278" ref="E231"/>
    <hyperlink r:id="rId279" ref="D232"/>
    <hyperlink r:id="rId280" ref="E232"/>
    <hyperlink r:id="rId281" ref="D233"/>
    <hyperlink r:id="rId282" ref="E233"/>
    <hyperlink r:id="rId283" ref="D234"/>
    <hyperlink r:id="rId284" ref="E234"/>
    <hyperlink r:id="rId285" ref="D235"/>
    <hyperlink r:id="rId286" ref="E235"/>
    <hyperlink r:id="rId287" ref="D236"/>
    <hyperlink r:id="rId288" ref="E236"/>
    <hyperlink r:id="rId289" ref="D237"/>
    <hyperlink r:id="rId290" ref="E237"/>
    <hyperlink r:id="rId291" location="xj4y7vzkg" ref="D238"/>
    <hyperlink r:id="rId292" location="xj4y7vzkg" ref="E238"/>
    <hyperlink r:id="rId293" ref="D239"/>
    <hyperlink r:id="rId294" ref="E239"/>
    <hyperlink r:id="rId295" ref="D240"/>
    <hyperlink r:id="rId296" ref="E240"/>
    <hyperlink r:id="rId297" location="xj4y7vzkg" ref="D241"/>
    <hyperlink r:id="rId298" location="xj4y7vzkg" ref="E241"/>
    <hyperlink r:id="rId299" ref="D242"/>
    <hyperlink r:id="rId300" ref="E242"/>
    <hyperlink r:id="rId301" ref="D243"/>
    <hyperlink r:id="rId302" ref="E243"/>
    <hyperlink r:id="rId303" ref="D244"/>
    <hyperlink r:id="rId304" ref="E244"/>
    <hyperlink r:id="rId305" ref="D245"/>
    <hyperlink r:id="rId306" ref="E245"/>
    <hyperlink r:id="rId307" ref="D246"/>
    <hyperlink r:id="rId308" ref="E246"/>
    <hyperlink r:id="rId309" ref="D247"/>
    <hyperlink r:id="rId310" ref="E247"/>
    <hyperlink r:id="rId311" ref="D248"/>
    <hyperlink r:id="rId312" ref="E248"/>
    <hyperlink r:id="rId313" ref="D249"/>
    <hyperlink r:id="rId314" ref="E249"/>
    <hyperlink r:id="rId315" ref="D250"/>
    <hyperlink r:id="rId316" ref="E250"/>
    <hyperlink r:id="rId317" location="gsc.tab=0" ref="D251"/>
    <hyperlink r:id="rId318" location="gsc.tab=0" ref="E251"/>
    <hyperlink r:id="rId319" ref="D252"/>
    <hyperlink r:id="rId320" ref="E252"/>
    <hyperlink r:id="rId321" ref="D253"/>
    <hyperlink r:id="rId322" ref="E253"/>
    <hyperlink r:id="rId323" ref="D254"/>
    <hyperlink r:id="rId324" ref="E254"/>
    <hyperlink r:id="rId325" ref="D255"/>
    <hyperlink r:id="rId326" ref="E255"/>
    <hyperlink r:id="rId327" ref="D256"/>
    <hyperlink r:id="rId328" ref="E256"/>
    <hyperlink r:id="rId329" ref="D257"/>
    <hyperlink r:id="rId330" ref="E257"/>
    <hyperlink r:id="rId331" ref="D258"/>
    <hyperlink r:id="rId332" ref="E258"/>
    <hyperlink r:id="rId333" ref="D259"/>
    <hyperlink r:id="rId334" ref="E259"/>
    <hyperlink r:id="rId335" ref="D260"/>
    <hyperlink r:id="rId336" ref="E260"/>
    <hyperlink r:id="rId337" ref="D261"/>
    <hyperlink r:id="rId338" ref="E261"/>
    <hyperlink r:id="rId339" ref="D262"/>
    <hyperlink r:id="rId340" ref="E262"/>
    <hyperlink r:id="rId341" ref="D263"/>
    <hyperlink r:id="rId342" ref="E263"/>
    <hyperlink r:id="rId343" ref="D264"/>
    <hyperlink r:id="rId344" ref="E264"/>
    <hyperlink r:id="rId345" ref="E265"/>
    <hyperlink r:id="rId346" ref="E266"/>
    <hyperlink r:id="rId347" ref="E267"/>
    <hyperlink r:id="rId348" ref="E268"/>
    <hyperlink r:id="rId349" ref="E269"/>
    <hyperlink r:id="rId350" ref="E270"/>
    <hyperlink r:id="rId351" ref="E271"/>
    <hyperlink r:id="rId352" ref="E272"/>
    <hyperlink r:id="rId353" ref="E273"/>
    <hyperlink r:id="rId354" ref="E274"/>
    <hyperlink r:id="rId355" location="ixzz8MX201QJz" ref="E275"/>
    <hyperlink r:id="rId356" ref="E276"/>
    <hyperlink r:id="rId357" ref="E277"/>
    <hyperlink r:id="rId358" ref="C278"/>
    <hyperlink r:id="rId359" ref="E278"/>
    <hyperlink r:id="rId360" ref="E279"/>
    <hyperlink r:id="rId361" ref="E280"/>
    <hyperlink r:id="rId362" ref="E281"/>
    <hyperlink r:id="rId363" ref="E282"/>
    <hyperlink r:id="rId364" ref="C283"/>
    <hyperlink r:id="rId365" ref="E283"/>
    <hyperlink r:id="rId366" ref="C284"/>
    <hyperlink r:id="rId367" ref="E284"/>
    <hyperlink r:id="rId368" ref="E285"/>
  </hyperlinks>
  <drawing r:id="rId36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0.13"/>
    <col customWidth="1" min="3" max="3" width="27.75"/>
    <col customWidth="1" min="4" max="4" width="88.88"/>
    <col customWidth="1" min="5" max="5" width="42.63"/>
    <col customWidth="1" min="6" max="6" width="17.25"/>
  </cols>
  <sheetData>
    <row r="1" ht="21.0" customHeight="1">
      <c r="A1" s="445" t="s">
        <v>1047</v>
      </c>
      <c r="B1" s="446" t="s">
        <v>50</v>
      </c>
      <c r="C1" s="446" t="s">
        <v>51</v>
      </c>
      <c r="D1" s="447" t="s">
        <v>54</v>
      </c>
      <c r="E1" s="447" t="s">
        <v>55</v>
      </c>
      <c r="F1" s="445" t="s">
        <v>56</v>
      </c>
      <c r="G1" s="448"/>
      <c r="H1" s="448"/>
      <c r="I1" s="448"/>
      <c r="J1" s="448"/>
      <c r="K1" s="448"/>
      <c r="L1" s="448"/>
      <c r="M1" s="448"/>
      <c r="N1" s="448"/>
      <c r="O1" s="448"/>
      <c r="P1" s="448"/>
      <c r="Q1" s="448"/>
      <c r="R1" s="448"/>
      <c r="S1" s="448"/>
      <c r="T1" s="448"/>
      <c r="U1" s="448"/>
      <c r="V1" s="448"/>
      <c r="W1" s="448"/>
      <c r="X1" s="448"/>
      <c r="Y1" s="448"/>
      <c r="Z1" s="448"/>
      <c r="AA1" s="448"/>
      <c r="AB1" s="448"/>
    </row>
    <row r="2">
      <c r="A2" s="38">
        <v>44586.0</v>
      </c>
      <c r="B2" s="40" t="s">
        <v>11</v>
      </c>
      <c r="C2" s="40" t="s">
        <v>71</v>
      </c>
      <c r="D2" s="40" t="s">
        <v>1722</v>
      </c>
      <c r="E2" s="151" t="s">
        <v>1723</v>
      </c>
      <c r="F2" s="45" t="s">
        <v>726</v>
      </c>
      <c r="G2" s="449"/>
      <c r="H2" s="449"/>
      <c r="I2" s="449"/>
      <c r="J2" s="449"/>
      <c r="K2" s="449"/>
      <c r="L2" s="449"/>
      <c r="M2" s="449"/>
      <c r="N2" s="449"/>
      <c r="O2" s="449"/>
      <c r="P2" s="449"/>
      <c r="Q2" s="449"/>
      <c r="R2" s="449"/>
      <c r="S2" s="449"/>
      <c r="T2" s="449"/>
      <c r="U2" s="449"/>
      <c r="V2" s="449"/>
      <c r="W2" s="449"/>
      <c r="X2" s="449"/>
      <c r="Y2" s="449"/>
      <c r="Z2" s="449"/>
      <c r="AA2" s="449"/>
      <c r="AB2" s="449"/>
    </row>
    <row r="3" ht="16.5" customHeight="1">
      <c r="A3" s="38">
        <v>44587.0</v>
      </c>
      <c r="B3" s="40" t="s">
        <v>11</v>
      </c>
      <c r="C3" s="40" t="s">
        <v>1724</v>
      </c>
      <c r="D3" s="40" t="s">
        <v>1725</v>
      </c>
      <c r="E3" s="151" t="s">
        <v>1726</v>
      </c>
      <c r="F3" s="45" t="s">
        <v>339</v>
      </c>
      <c r="G3" s="449"/>
      <c r="H3" s="449"/>
      <c r="I3" s="449"/>
      <c r="J3" s="449"/>
      <c r="K3" s="449"/>
      <c r="L3" s="449"/>
      <c r="M3" s="449"/>
      <c r="N3" s="449"/>
      <c r="O3" s="449"/>
      <c r="P3" s="449"/>
      <c r="Q3" s="449"/>
      <c r="R3" s="449"/>
      <c r="S3" s="449"/>
      <c r="T3" s="449"/>
      <c r="U3" s="449"/>
      <c r="V3" s="449"/>
      <c r="W3" s="449"/>
      <c r="X3" s="449"/>
      <c r="Y3" s="449"/>
      <c r="Z3" s="449"/>
      <c r="AA3" s="449"/>
      <c r="AB3" s="449"/>
    </row>
    <row r="4">
      <c r="A4" s="38">
        <v>44588.0</v>
      </c>
      <c r="B4" s="40" t="s">
        <v>11</v>
      </c>
      <c r="C4" s="226" t="s">
        <v>58</v>
      </c>
      <c r="D4" s="226" t="s">
        <v>1727</v>
      </c>
      <c r="E4" s="406" t="s">
        <v>1728</v>
      </c>
      <c r="F4" s="47" t="s">
        <v>339</v>
      </c>
      <c r="G4" s="449"/>
      <c r="H4" s="449"/>
      <c r="I4" s="449"/>
      <c r="J4" s="449"/>
      <c r="K4" s="449"/>
      <c r="L4" s="449"/>
      <c r="M4" s="449"/>
      <c r="N4" s="449"/>
      <c r="O4" s="449"/>
      <c r="P4" s="449"/>
      <c r="Q4" s="449"/>
      <c r="R4" s="449"/>
      <c r="S4" s="449"/>
      <c r="T4" s="449"/>
      <c r="U4" s="449"/>
      <c r="V4" s="449"/>
      <c r="W4" s="449"/>
      <c r="X4" s="449"/>
      <c r="Y4" s="449"/>
      <c r="Z4" s="449"/>
      <c r="AA4" s="449"/>
      <c r="AB4" s="449"/>
    </row>
    <row r="5">
      <c r="A5" s="38">
        <v>44598.0</v>
      </c>
      <c r="B5" s="450" t="s">
        <v>11</v>
      </c>
      <c r="C5" s="451" t="s">
        <v>1729</v>
      </c>
      <c r="D5" s="450" t="s">
        <v>1730</v>
      </c>
      <c r="E5" s="452" t="s">
        <v>1731</v>
      </c>
      <c r="F5" s="453" t="s">
        <v>726</v>
      </c>
      <c r="G5" s="449"/>
      <c r="H5" s="449"/>
      <c r="I5" s="449"/>
      <c r="J5" s="449"/>
      <c r="K5" s="449"/>
      <c r="L5" s="449"/>
      <c r="M5" s="449"/>
      <c r="N5" s="449"/>
      <c r="O5" s="449"/>
      <c r="P5" s="449"/>
      <c r="Q5" s="449"/>
      <c r="R5" s="449"/>
      <c r="S5" s="449"/>
      <c r="T5" s="449"/>
      <c r="U5" s="449"/>
      <c r="V5" s="449"/>
      <c r="W5" s="449"/>
      <c r="X5" s="449"/>
      <c r="Y5" s="449"/>
      <c r="Z5" s="449"/>
      <c r="AA5" s="449"/>
      <c r="AB5" s="449"/>
    </row>
    <row r="6">
      <c r="A6" s="38">
        <v>44638.0</v>
      </c>
      <c r="B6" s="454" t="s">
        <v>11</v>
      </c>
      <c r="C6" s="454" t="s">
        <v>1732</v>
      </c>
      <c r="D6" s="454" t="s">
        <v>1733</v>
      </c>
      <c r="E6" s="455" t="s">
        <v>1734</v>
      </c>
      <c r="F6" s="456" t="s">
        <v>339</v>
      </c>
      <c r="G6" s="449"/>
      <c r="H6" s="449"/>
      <c r="I6" s="449"/>
      <c r="J6" s="449"/>
      <c r="K6" s="449"/>
      <c r="L6" s="449"/>
      <c r="M6" s="449"/>
      <c r="N6" s="449"/>
      <c r="O6" s="449"/>
      <c r="P6" s="449"/>
      <c r="Q6" s="449"/>
      <c r="R6" s="449"/>
      <c r="S6" s="449"/>
      <c r="T6" s="449"/>
      <c r="U6" s="449"/>
      <c r="V6" s="449"/>
      <c r="W6" s="449"/>
      <c r="X6" s="449"/>
      <c r="Y6" s="449"/>
      <c r="Z6" s="449"/>
      <c r="AA6" s="449"/>
      <c r="AB6" s="449"/>
    </row>
    <row r="7">
      <c r="A7" s="38">
        <v>44669.0</v>
      </c>
      <c r="B7" s="70" t="s">
        <v>11</v>
      </c>
      <c r="C7" s="70" t="s">
        <v>71</v>
      </c>
      <c r="D7" s="70" t="s">
        <v>1735</v>
      </c>
      <c r="E7" s="457" t="s">
        <v>1736</v>
      </c>
      <c r="F7" s="458" t="s">
        <v>339</v>
      </c>
      <c r="G7" s="449"/>
      <c r="H7" s="449"/>
      <c r="I7" s="449"/>
      <c r="J7" s="449"/>
      <c r="K7" s="449"/>
      <c r="L7" s="449"/>
      <c r="M7" s="449"/>
      <c r="N7" s="449"/>
      <c r="O7" s="449"/>
      <c r="P7" s="449"/>
      <c r="Q7" s="449"/>
      <c r="R7" s="449"/>
      <c r="S7" s="449"/>
      <c r="T7" s="449"/>
      <c r="U7" s="449"/>
      <c r="V7" s="449"/>
      <c r="W7" s="449"/>
      <c r="X7" s="449"/>
      <c r="Y7" s="449"/>
      <c r="Z7" s="449"/>
      <c r="AA7" s="449"/>
      <c r="AB7" s="449"/>
    </row>
    <row r="8">
      <c r="A8" s="38">
        <v>44670.0</v>
      </c>
      <c r="B8" s="40" t="s">
        <v>11</v>
      </c>
      <c r="C8" s="40" t="s">
        <v>374</v>
      </c>
      <c r="D8" s="40" t="s">
        <v>1737</v>
      </c>
      <c r="E8" s="151" t="s">
        <v>1738</v>
      </c>
      <c r="F8" s="459" t="s">
        <v>339</v>
      </c>
      <c r="G8" s="449"/>
      <c r="H8" s="449"/>
      <c r="I8" s="449"/>
      <c r="J8" s="449"/>
      <c r="K8" s="449"/>
      <c r="L8" s="449"/>
      <c r="M8" s="449"/>
      <c r="N8" s="449"/>
      <c r="O8" s="449"/>
      <c r="P8" s="449"/>
      <c r="Q8" s="449"/>
      <c r="R8" s="449"/>
      <c r="S8" s="449"/>
      <c r="T8" s="449"/>
      <c r="U8" s="449"/>
      <c r="V8" s="449"/>
      <c r="W8" s="449"/>
      <c r="X8" s="449"/>
      <c r="Y8" s="449"/>
      <c r="Z8" s="449"/>
      <c r="AA8" s="449"/>
      <c r="AB8" s="449"/>
    </row>
    <row r="9">
      <c r="A9" s="38">
        <v>44670.0</v>
      </c>
      <c r="B9" s="40" t="s">
        <v>5</v>
      </c>
      <c r="C9" s="40" t="s">
        <v>233</v>
      </c>
      <c r="D9" s="40" t="s">
        <v>1739</v>
      </c>
      <c r="E9" s="151" t="s">
        <v>1740</v>
      </c>
      <c r="F9" s="459" t="s">
        <v>339</v>
      </c>
      <c r="G9" s="449"/>
      <c r="H9" s="449"/>
      <c r="I9" s="449"/>
      <c r="J9" s="449"/>
      <c r="K9" s="449"/>
      <c r="L9" s="449"/>
      <c r="M9" s="449"/>
      <c r="N9" s="449"/>
      <c r="O9" s="449"/>
      <c r="P9" s="449"/>
      <c r="Q9" s="449"/>
      <c r="R9" s="449"/>
      <c r="S9" s="449"/>
      <c r="T9" s="449"/>
      <c r="U9" s="449"/>
      <c r="V9" s="449"/>
      <c r="W9" s="449"/>
      <c r="X9" s="449"/>
      <c r="Y9" s="449"/>
      <c r="Z9" s="449"/>
      <c r="AA9" s="449"/>
      <c r="AB9" s="449"/>
    </row>
    <row r="10">
      <c r="A10" s="38">
        <v>44671.0</v>
      </c>
      <c r="B10" s="40" t="s">
        <v>11</v>
      </c>
      <c r="C10" s="40" t="s">
        <v>1729</v>
      </c>
      <c r="D10" s="40" t="s">
        <v>1741</v>
      </c>
      <c r="E10" s="151" t="s">
        <v>1742</v>
      </c>
      <c r="F10" s="45" t="s">
        <v>726</v>
      </c>
      <c r="G10" s="449"/>
      <c r="H10" s="449"/>
      <c r="I10" s="449"/>
      <c r="J10" s="449"/>
      <c r="K10" s="449"/>
      <c r="L10" s="449"/>
      <c r="M10" s="449"/>
      <c r="N10" s="449"/>
      <c r="O10" s="449"/>
      <c r="P10" s="449"/>
      <c r="Q10" s="449"/>
      <c r="R10" s="449"/>
      <c r="S10" s="449"/>
      <c r="T10" s="449"/>
      <c r="U10" s="449"/>
      <c r="V10" s="449"/>
      <c r="W10" s="449"/>
      <c r="X10" s="449"/>
      <c r="Y10" s="449"/>
      <c r="Z10" s="449"/>
      <c r="AA10" s="449"/>
      <c r="AB10" s="449"/>
    </row>
    <row r="11">
      <c r="A11" s="38">
        <v>44673.0</v>
      </c>
      <c r="B11" s="40" t="s">
        <v>11</v>
      </c>
      <c r="C11" s="40" t="s">
        <v>1732</v>
      </c>
      <c r="D11" s="40" t="s">
        <v>1743</v>
      </c>
      <c r="E11" s="151" t="s">
        <v>1744</v>
      </c>
      <c r="F11" s="459" t="s">
        <v>339</v>
      </c>
      <c r="G11" s="449"/>
      <c r="H11" s="449"/>
      <c r="I11" s="449"/>
      <c r="J11" s="449"/>
      <c r="K11" s="449"/>
      <c r="L11" s="449"/>
      <c r="M11" s="449"/>
      <c r="N11" s="449"/>
      <c r="O11" s="449"/>
      <c r="P11" s="449"/>
      <c r="Q11" s="449"/>
      <c r="R11" s="449"/>
      <c r="S11" s="449"/>
      <c r="T11" s="449"/>
      <c r="U11" s="449"/>
      <c r="V11" s="449"/>
      <c r="W11" s="449"/>
      <c r="X11" s="449"/>
      <c r="Y11" s="449"/>
      <c r="Z11" s="449"/>
      <c r="AA11" s="449"/>
      <c r="AB11" s="449"/>
    </row>
    <row r="12">
      <c r="A12" s="38">
        <v>44676.0</v>
      </c>
      <c r="B12" s="40" t="s">
        <v>11</v>
      </c>
      <c r="C12" s="40" t="s">
        <v>1745</v>
      </c>
      <c r="D12" s="40" t="s">
        <v>1746</v>
      </c>
      <c r="E12" s="151" t="s">
        <v>1747</v>
      </c>
      <c r="F12" s="459" t="s">
        <v>339</v>
      </c>
      <c r="G12" s="449"/>
      <c r="H12" s="449"/>
      <c r="I12" s="449"/>
      <c r="J12" s="449"/>
      <c r="K12" s="449"/>
      <c r="L12" s="449"/>
      <c r="M12" s="449"/>
      <c r="N12" s="449"/>
      <c r="O12" s="449"/>
      <c r="P12" s="449"/>
      <c r="Q12" s="449"/>
      <c r="R12" s="449"/>
      <c r="S12" s="449"/>
      <c r="T12" s="449"/>
      <c r="U12" s="449"/>
      <c r="V12" s="449"/>
      <c r="W12" s="449"/>
      <c r="X12" s="449"/>
      <c r="Y12" s="449"/>
      <c r="Z12" s="449"/>
      <c r="AA12" s="449"/>
      <c r="AB12" s="449"/>
    </row>
    <row r="13">
      <c r="A13" s="38">
        <v>44676.0</v>
      </c>
      <c r="B13" s="226" t="s">
        <v>5</v>
      </c>
      <c r="C13" s="226" t="s">
        <v>233</v>
      </c>
      <c r="D13" s="226" t="s">
        <v>1748</v>
      </c>
      <c r="E13" s="406" t="s">
        <v>1749</v>
      </c>
      <c r="F13" s="47" t="s">
        <v>339</v>
      </c>
      <c r="G13" s="449"/>
      <c r="H13" s="449"/>
      <c r="I13" s="449"/>
      <c r="J13" s="449"/>
      <c r="K13" s="449"/>
      <c r="L13" s="449"/>
      <c r="M13" s="449"/>
      <c r="N13" s="449"/>
      <c r="O13" s="449"/>
      <c r="P13" s="449"/>
      <c r="Q13" s="449"/>
      <c r="R13" s="449"/>
      <c r="S13" s="449"/>
      <c r="T13" s="449"/>
      <c r="U13" s="449"/>
      <c r="V13" s="449"/>
      <c r="W13" s="449"/>
      <c r="X13" s="449"/>
      <c r="Y13" s="449"/>
      <c r="Z13" s="449"/>
      <c r="AA13" s="449"/>
      <c r="AB13" s="449"/>
    </row>
    <row r="14">
      <c r="A14" s="38">
        <v>44686.0</v>
      </c>
      <c r="B14" s="70" t="s">
        <v>5</v>
      </c>
      <c r="C14" s="70" t="s">
        <v>1750</v>
      </c>
      <c r="D14" s="70" t="s">
        <v>1751</v>
      </c>
      <c r="E14" s="457" t="s">
        <v>1752</v>
      </c>
      <c r="F14" s="458" t="s">
        <v>339</v>
      </c>
      <c r="G14" s="449"/>
      <c r="H14" s="449"/>
      <c r="I14" s="449"/>
      <c r="J14" s="449"/>
      <c r="K14" s="449"/>
      <c r="L14" s="449"/>
      <c r="M14" s="449"/>
      <c r="N14" s="449"/>
      <c r="O14" s="449"/>
      <c r="P14" s="449"/>
      <c r="Q14" s="449"/>
      <c r="R14" s="449"/>
      <c r="S14" s="449"/>
      <c r="T14" s="449"/>
      <c r="U14" s="449"/>
      <c r="V14" s="449"/>
      <c r="W14" s="449"/>
      <c r="X14" s="449"/>
      <c r="Y14" s="449"/>
      <c r="Z14" s="449"/>
      <c r="AA14" s="449"/>
      <c r="AB14" s="449"/>
    </row>
    <row r="15">
      <c r="A15" s="38">
        <v>44686.0</v>
      </c>
      <c r="B15" s="40" t="s">
        <v>11</v>
      </c>
      <c r="C15" s="40" t="s">
        <v>1753</v>
      </c>
      <c r="D15" s="40" t="s">
        <v>1754</v>
      </c>
      <c r="E15" s="151" t="s">
        <v>1755</v>
      </c>
      <c r="F15" s="459" t="s">
        <v>339</v>
      </c>
      <c r="G15" s="449"/>
      <c r="H15" s="449"/>
      <c r="I15" s="449"/>
      <c r="J15" s="449"/>
      <c r="K15" s="449"/>
      <c r="L15" s="449"/>
      <c r="M15" s="449"/>
      <c r="N15" s="449"/>
      <c r="O15" s="449"/>
      <c r="P15" s="449"/>
      <c r="Q15" s="449"/>
      <c r="R15" s="449"/>
      <c r="S15" s="449"/>
      <c r="T15" s="449"/>
      <c r="U15" s="449"/>
      <c r="V15" s="449"/>
      <c r="W15" s="449"/>
      <c r="X15" s="449"/>
      <c r="Y15" s="449"/>
      <c r="Z15" s="449"/>
      <c r="AA15" s="449"/>
      <c r="AB15" s="449"/>
    </row>
    <row r="16">
      <c r="A16" s="38">
        <v>44687.0</v>
      </c>
      <c r="B16" s="40" t="s">
        <v>17</v>
      </c>
      <c r="C16" s="40" t="s">
        <v>1756</v>
      </c>
      <c r="D16" s="40" t="s">
        <v>1757</v>
      </c>
      <c r="E16" s="151" t="s">
        <v>1758</v>
      </c>
      <c r="F16" s="459" t="s">
        <v>339</v>
      </c>
      <c r="G16" s="449"/>
      <c r="H16" s="449"/>
      <c r="I16" s="449"/>
      <c r="J16" s="449"/>
      <c r="K16" s="449"/>
      <c r="L16" s="449"/>
      <c r="M16" s="449"/>
      <c r="N16" s="449"/>
      <c r="O16" s="449"/>
      <c r="P16" s="449"/>
      <c r="Q16" s="449"/>
      <c r="R16" s="449"/>
      <c r="S16" s="449"/>
      <c r="T16" s="449"/>
      <c r="U16" s="449"/>
      <c r="V16" s="449"/>
      <c r="W16" s="449"/>
      <c r="X16" s="449"/>
      <c r="Y16" s="449"/>
      <c r="Z16" s="449"/>
      <c r="AA16" s="449"/>
      <c r="AB16" s="449"/>
    </row>
    <row r="17">
      <c r="A17" s="38">
        <v>44687.0</v>
      </c>
      <c r="B17" s="40" t="s">
        <v>17</v>
      </c>
      <c r="C17" s="40" t="s">
        <v>1759</v>
      </c>
      <c r="D17" s="40" t="s">
        <v>1760</v>
      </c>
      <c r="E17" s="151" t="s">
        <v>1761</v>
      </c>
      <c r="F17" s="459" t="s">
        <v>339</v>
      </c>
      <c r="G17" s="449"/>
      <c r="H17" s="449"/>
      <c r="I17" s="449"/>
      <c r="J17" s="449"/>
      <c r="K17" s="449"/>
      <c r="L17" s="449"/>
      <c r="M17" s="449"/>
      <c r="N17" s="449"/>
      <c r="O17" s="449"/>
      <c r="P17" s="449"/>
      <c r="Q17" s="449"/>
      <c r="R17" s="449"/>
      <c r="S17" s="449"/>
      <c r="T17" s="449"/>
      <c r="U17" s="449"/>
      <c r="V17" s="449"/>
      <c r="W17" s="449"/>
      <c r="X17" s="449"/>
      <c r="Y17" s="449"/>
      <c r="Z17" s="449"/>
      <c r="AA17" s="449"/>
      <c r="AB17" s="449"/>
    </row>
    <row r="18">
      <c r="A18" s="38">
        <v>44687.0</v>
      </c>
      <c r="B18" s="40" t="s">
        <v>11</v>
      </c>
      <c r="C18" s="40" t="s">
        <v>1745</v>
      </c>
      <c r="D18" s="40" t="s">
        <v>1762</v>
      </c>
      <c r="E18" s="151" t="s">
        <v>1763</v>
      </c>
      <c r="F18" s="459" t="s">
        <v>339</v>
      </c>
      <c r="G18" s="449"/>
      <c r="H18" s="449"/>
      <c r="I18" s="449"/>
      <c r="J18" s="449"/>
      <c r="K18" s="449"/>
      <c r="L18" s="449"/>
      <c r="M18" s="449"/>
      <c r="N18" s="449"/>
      <c r="O18" s="449"/>
      <c r="P18" s="449"/>
      <c r="Q18" s="449"/>
      <c r="R18" s="449"/>
      <c r="S18" s="449"/>
      <c r="T18" s="449"/>
      <c r="U18" s="449"/>
      <c r="V18" s="449"/>
      <c r="W18" s="449"/>
      <c r="X18" s="449"/>
      <c r="Y18" s="449"/>
      <c r="Z18" s="449"/>
      <c r="AA18" s="449"/>
      <c r="AB18" s="449"/>
    </row>
    <row r="19">
      <c r="A19" s="38">
        <v>44693.0</v>
      </c>
      <c r="B19" s="40" t="s">
        <v>17</v>
      </c>
      <c r="C19" s="40" t="s">
        <v>1764</v>
      </c>
      <c r="D19" s="40" t="s">
        <v>1765</v>
      </c>
      <c r="E19" s="151" t="s">
        <v>1766</v>
      </c>
      <c r="F19" s="45" t="s">
        <v>726</v>
      </c>
      <c r="G19" s="449"/>
      <c r="H19" s="449"/>
      <c r="I19" s="449"/>
      <c r="J19" s="449"/>
      <c r="K19" s="449"/>
      <c r="L19" s="449"/>
      <c r="M19" s="449"/>
      <c r="N19" s="449"/>
      <c r="O19" s="449"/>
      <c r="P19" s="449"/>
      <c r="Q19" s="449"/>
      <c r="R19" s="449"/>
      <c r="S19" s="449"/>
      <c r="T19" s="449"/>
      <c r="U19" s="449"/>
      <c r="V19" s="449"/>
      <c r="W19" s="449"/>
      <c r="X19" s="449"/>
      <c r="Y19" s="449"/>
      <c r="Z19" s="449"/>
      <c r="AA19" s="449"/>
      <c r="AB19" s="449"/>
    </row>
    <row r="20">
      <c r="A20" s="38">
        <v>44694.0</v>
      </c>
      <c r="B20" s="40" t="s">
        <v>17</v>
      </c>
      <c r="C20" s="40" t="s">
        <v>1767</v>
      </c>
      <c r="D20" s="40" t="s">
        <v>1765</v>
      </c>
      <c r="E20" s="407" t="s">
        <v>1768</v>
      </c>
      <c r="F20" s="45" t="s">
        <v>726</v>
      </c>
      <c r="G20" s="449"/>
      <c r="H20" s="449"/>
      <c r="I20" s="449"/>
      <c r="J20" s="449"/>
      <c r="K20" s="449"/>
      <c r="L20" s="449"/>
      <c r="M20" s="449"/>
      <c r="N20" s="449"/>
      <c r="O20" s="449"/>
      <c r="P20" s="449"/>
      <c r="Q20" s="449"/>
      <c r="R20" s="449"/>
      <c r="S20" s="449"/>
      <c r="T20" s="449"/>
      <c r="U20" s="449"/>
      <c r="V20" s="449"/>
      <c r="W20" s="449"/>
      <c r="X20" s="449"/>
      <c r="Y20" s="449"/>
      <c r="Z20" s="449"/>
      <c r="AA20" s="449"/>
      <c r="AB20" s="449"/>
    </row>
    <row r="21">
      <c r="A21" s="38">
        <v>44700.0</v>
      </c>
      <c r="B21" s="40" t="s">
        <v>11</v>
      </c>
      <c r="C21" s="40" t="s">
        <v>71</v>
      </c>
      <c r="D21" s="40" t="s">
        <v>1769</v>
      </c>
      <c r="E21" s="151" t="s">
        <v>1770</v>
      </c>
      <c r="F21" s="45" t="s">
        <v>726</v>
      </c>
      <c r="G21" s="449"/>
      <c r="H21" s="449"/>
      <c r="I21" s="449"/>
      <c r="J21" s="449"/>
      <c r="K21" s="449"/>
      <c r="L21" s="449"/>
      <c r="M21" s="449"/>
      <c r="N21" s="449"/>
      <c r="O21" s="449"/>
      <c r="P21" s="449"/>
      <c r="Q21" s="449"/>
      <c r="R21" s="449"/>
      <c r="S21" s="449"/>
      <c r="T21" s="449"/>
      <c r="U21" s="449"/>
      <c r="V21" s="449"/>
      <c r="W21" s="449"/>
      <c r="X21" s="449"/>
      <c r="Y21" s="449"/>
      <c r="Z21" s="449"/>
      <c r="AA21" s="449"/>
      <c r="AB21" s="449"/>
    </row>
    <row r="22">
      <c r="A22" s="38">
        <v>44700.0</v>
      </c>
      <c r="B22" s="40" t="s">
        <v>17</v>
      </c>
      <c r="C22" s="40" t="s">
        <v>1771</v>
      </c>
      <c r="D22" s="40" t="s">
        <v>1772</v>
      </c>
      <c r="E22" s="151" t="s">
        <v>1773</v>
      </c>
      <c r="F22" s="45" t="s">
        <v>339</v>
      </c>
      <c r="G22" s="449"/>
      <c r="H22" s="449"/>
      <c r="I22" s="449"/>
      <c r="J22" s="449"/>
      <c r="K22" s="449"/>
      <c r="L22" s="449"/>
      <c r="M22" s="449"/>
      <c r="N22" s="449"/>
      <c r="O22" s="449"/>
      <c r="P22" s="449"/>
      <c r="Q22" s="449"/>
      <c r="R22" s="449"/>
      <c r="S22" s="449"/>
      <c r="T22" s="449"/>
      <c r="U22" s="449"/>
      <c r="V22" s="449"/>
      <c r="W22" s="449"/>
      <c r="X22" s="449"/>
      <c r="Y22" s="449"/>
      <c r="Z22" s="449"/>
      <c r="AA22" s="449"/>
      <c r="AB22" s="449"/>
    </row>
    <row r="23">
      <c r="A23" s="38">
        <v>44704.0</v>
      </c>
      <c r="B23" s="40" t="s">
        <v>17</v>
      </c>
      <c r="C23" s="40" t="s">
        <v>1774</v>
      </c>
      <c r="D23" s="40" t="s">
        <v>1775</v>
      </c>
      <c r="E23" s="151" t="s">
        <v>1776</v>
      </c>
      <c r="F23" s="45" t="s">
        <v>339</v>
      </c>
      <c r="G23" s="449"/>
      <c r="H23" s="449"/>
      <c r="I23" s="449"/>
      <c r="J23" s="449"/>
      <c r="K23" s="449"/>
      <c r="L23" s="449"/>
      <c r="M23" s="449"/>
      <c r="N23" s="449"/>
      <c r="O23" s="449"/>
      <c r="P23" s="449"/>
      <c r="Q23" s="449"/>
      <c r="R23" s="449"/>
      <c r="S23" s="449"/>
      <c r="T23" s="449"/>
      <c r="U23" s="449"/>
      <c r="V23" s="449"/>
      <c r="W23" s="449"/>
      <c r="X23" s="449"/>
      <c r="Y23" s="449"/>
      <c r="Z23" s="449"/>
      <c r="AA23" s="449"/>
      <c r="AB23" s="449"/>
    </row>
    <row r="24">
      <c r="A24" s="38">
        <v>44708.0</v>
      </c>
      <c r="B24" s="40" t="s">
        <v>11</v>
      </c>
      <c r="C24" s="40" t="s">
        <v>1732</v>
      </c>
      <c r="D24" s="40" t="s">
        <v>1777</v>
      </c>
      <c r="E24" s="151" t="s">
        <v>1778</v>
      </c>
      <c r="F24" s="45" t="s">
        <v>339</v>
      </c>
      <c r="G24" s="449"/>
      <c r="H24" s="449"/>
      <c r="I24" s="449"/>
      <c r="J24" s="449"/>
      <c r="K24" s="449"/>
      <c r="L24" s="449"/>
      <c r="M24" s="449"/>
      <c r="N24" s="449"/>
      <c r="O24" s="449"/>
      <c r="P24" s="449"/>
      <c r="Q24" s="449"/>
      <c r="R24" s="449"/>
      <c r="S24" s="449"/>
      <c r="T24" s="449"/>
      <c r="U24" s="449"/>
      <c r="V24" s="449"/>
      <c r="W24" s="449"/>
      <c r="X24" s="449"/>
      <c r="Y24" s="449"/>
      <c r="Z24" s="449"/>
      <c r="AA24" s="449"/>
      <c r="AB24" s="449"/>
    </row>
    <row r="25">
      <c r="A25" s="38">
        <v>44710.0</v>
      </c>
      <c r="B25" s="40" t="s">
        <v>11</v>
      </c>
      <c r="C25" s="40" t="s">
        <v>1732</v>
      </c>
      <c r="D25" s="40" t="s">
        <v>1779</v>
      </c>
      <c r="E25" s="151" t="s">
        <v>1780</v>
      </c>
      <c r="F25" s="45" t="s">
        <v>1781</v>
      </c>
      <c r="G25" s="449"/>
      <c r="H25" s="449"/>
      <c r="I25" s="449"/>
      <c r="J25" s="449"/>
      <c r="K25" s="449"/>
      <c r="L25" s="449"/>
      <c r="M25" s="449"/>
      <c r="N25" s="449"/>
      <c r="O25" s="449"/>
      <c r="P25" s="449"/>
      <c r="Q25" s="449"/>
      <c r="R25" s="449"/>
      <c r="S25" s="449"/>
      <c r="T25" s="449"/>
      <c r="U25" s="449"/>
      <c r="V25" s="449"/>
      <c r="W25" s="449"/>
      <c r="X25" s="449"/>
      <c r="Y25" s="449"/>
      <c r="Z25" s="449"/>
      <c r="AA25" s="449"/>
      <c r="AB25" s="449"/>
    </row>
    <row r="26">
      <c r="A26" s="38">
        <v>44711.0</v>
      </c>
      <c r="B26" s="40" t="s">
        <v>11</v>
      </c>
      <c r="C26" s="40" t="s">
        <v>58</v>
      </c>
      <c r="D26" s="40" t="s">
        <v>1782</v>
      </c>
      <c r="E26" s="151" t="s">
        <v>1783</v>
      </c>
      <c r="F26" s="45" t="s">
        <v>339</v>
      </c>
      <c r="G26" s="449"/>
      <c r="H26" s="449"/>
      <c r="I26" s="449"/>
      <c r="J26" s="449"/>
      <c r="K26" s="449"/>
      <c r="L26" s="449"/>
      <c r="M26" s="449"/>
      <c r="N26" s="449"/>
      <c r="O26" s="449"/>
      <c r="P26" s="449"/>
      <c r="Q26" s="449"/>
      <c r="R26" s="449"/>
      <c r="S26" s="449"/>
      <c r="T26" s="449"/>
      <c r="U26" s="449"/>
      <c r="V26" s="449"/>
      <c r="W26" s="449"/>
      <c r="X26" s="449"/>
      <c r="Y26" s="449"/>
      <c r="Z26" s="449"/>
      <c r="AA26" s="449"/>
      <c r="AB26" s="449"/>
    </row>
    <row r="27">
      <c r="A27" s="38">
        <v>44711.0</v>
      </c>
      <c r="B27" s="40" t="s">
        <v>11</v>
      </c>
      <c r="C27" s="40" t="s">
        <v>1729</v>
      </c>
      <c r="D27" s="40" t="s">
        <v>1784</v>
      </c>
      <c r="E27" s="151" t="s">
        <v>1785</v>
      </c>
      <c r="F27" s="45" t="s">
        <v>1781</v>
      </c>
      <c r="G27" s="449"/>
      <c r="H27" s="449"/>
      <c r="I27" s="449"/>
      <c r="J27" s="449"/>
      <c r="K27" s="449"/>
      <c r="L27" s="449"/>
      <c r="M27" s="449"/>
      <c r="N27" s="449"/>
      <c r="O27" s="449"/>
      <c r="P27" s="449"/>
      <c r="Q27" s="449"/>
      <c r="R27" s="449"/>
      <c r="S27" s="449"/>
      <c r="T27" s="449"/>
      <c r="U27" s="449"/>
      <c r="V27" s="449"/>
      <c r="W27" s="449"/>
      <c r="X27" s="449"/>
      <c r="Y27" s="449"/>
      <c r="Z27" s="449"/>
      <c r="AA27" s="449"/>
      <c r="AB27" s="449"/>
    </row>
    <row r="28">
      <c r="A28" s="38">
        <v>44711.0</v>
      </c>
      <c r="B28" s="40" t="s">
        <v>17</v>
      </c>
      <c r="C28" s="40" t="s">
        <v>1786</v>
      </c>
      <c r="D28" s="40" t="s">
        <v>1787</v>
      </c>
      <c r="E28" s="151" t="s">
        <v>1788</v>
      </c>
      <c r="F28" s="45" t="s">
        <v>339</v>
      </c>
      <c r="G28" s="449"/>
      <c r="H28" s="449"/>
      <c r="I28" s="449"/>
      <c r="J28" s="449"/>
      <c r="K28" s="449"/>
      <c r="L28" s="449"/>
      <c r="M28" s="449"/>
      <c r="N28" s="449"/>
      <c r="O28" s="449"/>
      <c r="P28" s="449"/>
      <c r="Q28" s="449"/>
      <c r="R28" s="449"/>
      <c r="S28" s="449"/>
      <c r="T28" s="449"/>
      <c r="U28" s="449"/>
      <c r="V28" s="449"/>
      <c r="W28" s="449"/>
      <c r="X28" s="449"/>
      <c r="Y28" s="449"/>
      <c r="Z28" s="449"/>
      <c r="AA28" s="449"/>
      <c r="AB28" s="449"/>
    </row>
    <row r="29">
      <c r="A29" s="38">
        <v>44712.0</v>
      </c>
      <c r="B29" s="40" t="s">
        <v>17</v>
      </c>
      <c r="C29" s="40" t="s">
        <v>1789</v>
      </c>
      <c r="D29" s="40" t="s">
        <v>1790</v>
      </c>
      <c r="E29" s="151" t="s">
        <v>1791</v>
      </c>
      <c r="F29" s="45" t="s">
        <v>339</v>
      </c>
      <c r="G29" s="449"/>
      <c r="H29" s="449"/>
      <c r="I29" s="449"/>
      <c r="J29" s="449"/>
      <c r="K29" s="449"/>
      <c r="L29" s="449"/>
      <c r="M29" s="449"/>
      <c r="N29" s="449"/>
      <c r="O29" s="449"/>
      <c r="P29" s="449"/>
      <c r="Q29" s="449"/>
      <c r="R29" s="449"/>
      <c r="S29" s="449"/>
      <c r="T29" s="449"/>
      <c r="U29" s="449"/>
      <c r="V29" s="449"/>
      <c r="W29" s="449"/>
      <c r="X29" s="449"/>
      <c r="Y29" s="449"/>
      <c r="Z29" s="449"/>
      <c r="AA29" s="449"/>
      <c r="AB29" s="449"/>
    </row>
    <row r="30">
      <c r="A30" s="38">
        <v>44712.0</v>
      </c>
      <c r="B30" s="226" t="s">
        <v>11</v>
      </c>
      <c r="C30" s="226" t="s">
        <v>1792</v>
      </c>
      <c r="D30" s="226" t="s">
        <v>1793</v>
      </c>
      <c r="E30" s="406" t="s">
        <v>1794</v>
      </c>
      <c r="F30" s="47" t="s">
        <v>339</v>
      </c>
      <c r="G30" s="449"/>
      <c r="H30" s="449"/>
      <c r="I30" s="449"/>
      <c r="J30" s="449"/>
      <c r="K30" s="449"/>
      <c r="L30" s="449"/>
      <c r="M30" s="449"/>
      <c r="N30" s="449"/>
      <c r="O30" s="449"/>
      <c r="P30" s="449"/>
      <c r="Q30" s="449"/>
      <c r="R30" s="449"/>
      <c r="S30" s="449"/>
      <c r="T30" s="449"/>
      <c r="U30" s="449"/>
      <c r="V30" s="449"/>
      <c r="W30" s="449"/>
      <c r="X30" s="449"/>
      <c r="Y30" s="449"/>
      <c r="Z30" s="449"/>
      <c r="AA30" s="449"/>
      <c r="AB30" s="449"/>
    </row>
    <row r="31">
      <c r="A31" s="38">
        <v>44713.0</v>
      </c>
      <c r="B31" s="70" t="s">
        <v>17</v>
      </c>
      <c r="C31" s="70" t="s">
        <v>1795</v>
      </c>
      <c r="D31" s="70" t="s">
        <v>1796</v>
      </c>
      <c r="E31" s="460" t="s">
        <v>1797</v>
      </c>
      <c r="F31" s="69" t="s">
        <v>339</v>
      </c>
      <c r="G31" s="449"/>
      <c r="H31" s="449"/>
      <c r="I31" s="449"/>
      <c r="J31" s="449"/>
      <c r="K31" s="449"/>
      <c r="L31" s="449"/>
      <c r="M31" s="449"/>
      <c r="N31" s="449"/>
      <c r="O31" s="449"/>
      <c r="P31" s="449"/>
      <c r="Q31" s="449"/>
      <c r="R31" s="449"/>
      <c r="S31" s="449"/>
      <c r="T31" s="449"/>
      <c r="U31" s="449"/>
      <c r="V31" s="449"/>
      <c r="W31" s="449"/>
      <c r="X31" s="449"/>
      <c r="Y31" s="449"/>
      <c r="Z31" s="449"/>
      <c r="AA31" s="449"/>
      <c r="AB31" s="449"/>
    </row>
    <row r="32">
      <c r="A32" s="38">
        <v>44714.0</v>
      </c>
      <c r="B32" s="40" t="s">
        <v>11</v>
      </c>
      <c r="C32" s="40" t="s">
        <v>1792</v>
      </c>
      <c r="D32" s="40" t="s">
        <v>1798</v>
      </c>
      <c r="E32" s="407" t="s">
        <v>1799</v>
      </c>
      <c r="F32" s="45" t="s">
        <v>339</v>
      </c>
      <c r="G32" s="449"/>
      <c r="H32" s="449"/>
      <c r="I32" s="449"/>
      <c r="J32" s="449"/>
      <c r="K32" s="449"/>
      <c r="L32" s="449"/>
      <c r="M32" s="449"/>
      <c r="N32" s="449"/>
      <c r="O32" s="449"/>
      <c r="P32" s="449"/>
      <c r="Q32" s="449"/>
      <c r="R32" s="449"/>
      <c r="S32" s="449"/>
      <c r="T32" s="449"/>
      <c r="U32" s="449"/>
      <c r="V32" s="449"/>
      <c r="W32" s="449"/>
      <c r="X32" s="449"/>
      <c r="Y32" s="449"/>
      <c r="Z32" s="449"/>
      <c r="AA32" s="449"/>
      <c r="AB32" s="449"/>
    </row>
    <row r="33">
      <c r="A33" s="38">
        <v>44721.0</v>
      </c>
      <c r="B33" s="40" t="s">
        <v>11</v>
      </c>
      <c r="C33" s="40" t="s">
        <v>71</v>
      </c>
      <c r="D33" s="40" t="s">
        <v>1800</v>
      </c>
      <c r="E33" s="407" t="s">
        <v>1801</v>
      </c>
      <c r="F33" s="45" t="s">
        <v>726</v>
      </c>
      <c r="G33" s="449"/>
      <c r="H33" s="449"/>
      <c r="I33" s="449"/>
      <c r="J33" s="449"/>
      <c r="K33" s="449"/>
      <c r="L33" s="449"/>
      <c r="M33" s="449"/>
      <c r="N33" s="449"/>
      <c r="O33" s="449"/>
      <c r="P33" s="449"/>
      <c r="Q33" s="449"/>
      <c r="R33" s="449"/>
      <c r="S33" s="449"/>
      <c r="T33" s="449"/>
      <c r="U33" s="449"/>
      <c r="V33" s="449"/>
      <c r="W33" s="449"/>
      <c r="X33" s="449"/>
      <c r="Y33" s="449"/>
      <c r="Z33" s="449"/>
      <c r="AA33" s="449"/>
      <c r="AB33" s="449"/>
    </row>
    <row r="34">
      <c r="A34" s="38">
        <v>44721.0</v>
      </c>
      <c r="B34" s="40" t="s">
        <v>11</v>
      </c>
      <c r="C34" s="40" t="s">
        <v>1802</v>
      </c>
      <c r="D34" s="40" t="s">
        <v>1803</v>
      </c>
      <c r="E34" s="407" t="s">
        <v>1804</v>
      </c>
      <c r="F34" s="45" t="s">
        <v>726</v>
      </c>
      <c r="G34" s="449"/>
      <c r="H34" s="449"/>
      <c r="I34" s="449"/>
      <c r="J34" s="449"/>
      <c r="K34" s="449"/>
      <c r="L34" s="449"/>
      <c r="M34" s="449"/>
      <c r="N34" s="449"/>
      <c r="O34" s="449"/>
      <c r="P34" s="449"/>
      <c r="Q34" s="449"/>
      <c r="R34" s="449"/>
      <c r="S34" s="449"/>
      <c r="T34" s="449"/>
      <c r="U34" s="449"/>
      <c r="V34" s="449"/>
      <c r="W34" s="449"/>
      <c r="X34" s="449"/>
      <c r="Y34" s="449"/>
      <c r="Z34" s="449"/>
      <c r="AA34" s="449"/>
      <c r="AB34" s="449"/>
    </row>
    <row r="35">
      <c r="A35" s="38">
        <v>44724.0</v>
      </c>
      <c r="B35" s="40" t="s">
        <v>11</v>
      </c>
      <c r="C35" s="40" t="s">
        <v>419</v>
      </c>
      <c r="D35" s="40" t="s">
        <v>1805</v>
      </c>
      <c r="E35" s="407" t="s">
        <v>1806</v>
      </c>
      <c r="F35" s="45" t="s">
        <v>339</v>
      </c>
      <c r="G35" s="449"/>
      <c r="H35" s="449"/>
      <c r="I35" s="449"/>
      <c r="J35" s="449"/>
      <c r="K35" s="449"/>
      <c r="L35" s="449"/>
      <c r="M35" s="449"/>
      <c r="N35" s="449"/>
      <c r="O35" s="449"/>
      <c r="P35" s="449"/>
      <c r="Q35" s="449"/>
      <c r="R35" s="449"/>
      <c r="S35" s="449"/>
      <c r="T35" s="449"/>
      <c r="U35" s="449"/>
      <c r="V35" s="449"/>
      <c r="W35" s="449"/>
      <c r="X35" s="449"/>
      <c r="Y35" s="449"/>
      <c r="Z35" s="449"/>
      <c r="AA35" s="449"/>
      <c r="AB35" s="449"/>
    </row>
    <row r="36">
      <c r="A36" s="38">
        <v>44724.0</v>
      </c>
      <c r="B36" s="40" t="s">
        <v>17</v>
      </c>
      <c r="C36" s="40" t="s">
        <v>1807</v>
      </c>
      <c r="D36" s="40" t="s">
        <v>1808</v>
      </c>
      <c r="E36" s="407" t="s">
        <v>1809</v>
      </c>
      <c r="F36" s="45" t="s">
        <v>339</v>
      </c>
      <c r="G36" s="449"/>
      <c r="H36" s="449"/>
      <c r="I36" s="449"/>
      <c r="J36" s="449"/>
      <c r="K36" s="449"/>
      <c r="L36" s="449"/>
      <c r="M36" s="449"/>
      <c r="N36" s="449"/>
      <c r="O36" s="449"/>
      <c r="P36" s="449"/>
      <c r="Q36" s="449"/>
      <c r="R36" s="449"/>
      <c r="S36" s="449"/>
      <c r="T36" s="449"/>
      <c r="U36" s="449"/>
      <c r="V36" s="449"/>
      <c r="W36" s="449"/>
      <c r="X36" s="449"/>
      <c r="Y36" s="449"/>
      <c r="Z36" s="449"/>
      <c r="AA36" s="449"/>
      <c r="AB36" s="449"/>
    </row>
    <row r="37">
      <c r="A37" s="38">
        <v>44727.0</v>
      </c>
      <c r="B37" s="40" t="s">
        <v>17</v>
      </c>
      <c r="C37" s="40" t="s">
        <v>1810</v>
      </c>
      <c r="D37" s="40" t="s">
        <v>1811</v>
      </c>
      <c r="E37" s="407" t="s">
        <v>1812</v>
      </c>
      <c r="F37" s="45" t="s">
        <v>339</v>
      </c>
      <c r="G37" s="449"/>
      <c r="H37" s="449"/>
      <c r="I37" s="449"/>
      <c r="J37" s="449"/>
      <c r="K37" s="449"/>
      <c r="L37" s="449"/>
      <c r="M37" s="449"/>
      <c r="N37" s="449"/>
      <c r="O37" s="449"/>
      <c r="P37" s="449"/>
      <c r="Q37" s="449"/>
      <c r="R37" s="449"/>
      <c r="S37" s="449"/>
      <c r="T37" s="449"/>
      <c r="U37" s="449"/>
      <c r="V37" s="449"/>
      <c r="W37" s="449"/>
      <c r="X37" s="449"/>
      <c r="Y37" s="449"/>
      <c r="Z37" s="449"/>
      <c r="AA37" s="449"/>
      <c r="AB37" s="449"/>
    </row>
    <row r="38">
      <c r="A38" s="38">
        <v>44732.0</v>
      </c>
      <c r="B38" s="40" t="s">
        <v>11</v>
      </c>
      <c r="C38" s="40" t="s">
        <v>71</v>
      </c>
      <c r="D38" s="40" t="s">
        <v>1813</v>
      </c>
      <c r="E38" s="407" t="s">
        <v>1814</v>
      </c>
      <c r="F38" s="45" t="s">
        <v>339</v>
      </c>
      <c r="G38" s="449"/>
      <c r="H38" s="449"/>
      <c r="I38" s="449"/>
      <c r="J38" s="449"/>
      <c r="K38" s="449"/>
      <c r="L38" s="449"/>
      <c r="M38" s="449"/>
      <c r="N38" s="449"/>
      <c r="O38" s="449"/>
      <c r="P38" s="449"/>
      <c r="Q38" s="449"/>
      <c r="R38" s="449"/>
      <c r="S38" s="449"/>
      <c r="T38" s="449"/>
      <c r="U38" s="449"/>
      <c r="V38" s="449"/>
      <c r="W38" s="449"/>
      <c r="X38" s="449"/>
      <c r="Y38" s="449"/>
      <c r="Z38" s="449"/>
      <c r="AA38" s="449"/>
      <c r="AB38" s="449"/>
    </row>
    <row r="39">
      <c r="A39" s="38">
        <v>44732.0</v>
      </c>
      <c r="B39" s="40" t="s">
        <v>11</v>
      </c>
      <c r="C39" s="40" t="s">
        <v>374</v>
      </c>
      <c r="D39" s="40" t="s">
        <v>1815</v>
      </c>
      <c r="E39" s="407" t="s">
        <v>1816</v>
      </c>
      <c r="F39" s="45" t="s">
        <v>1817</v>
      </c>
      <c r="G39" s="449"/>
      <c r="H39" s="449"/>
      <c r="I39" s="449"/>
      <c r="J39" s="449"/>
      <c r="K39" s="449"/>
      <c r="L39" s="449"/>
      <c r="M39" s="449"/>
      <c r="N39" s="449"/>
      <c r="O39" s="449"/>
      <c r="P39" s="449"/>
      <c r="Q39" s="449"/>
      <c r="R39" s="449"/>
      <c r="S39" s="449"/>
      <c r="T39" s="449"/>
      <c r="U39" s="449"/>
      <c r="V39" s="449"/>
      <c r="W39" s="449"/>
      <c r="X39" s="449"/>
      <c r="Y39" s="449"/>
      <c r="Z39" s="449"/>
      <c r="AA39" s="449"/>
      <c r="AB39" s="449"/>
    </row>
    <row r="40">
      <c r="A40" s="38">
        <v>44733.0</v>
      </c>
      <c r="B40" s="40" t="s">
        <v>11</v>
      </c>
      <c r="C40" s="40" t="s">
        <v>1143</v>
      </c>
      <c r="D40" s="40" t="s">
        <v>1818</v>
      </c>
      <c r="E40" s="407" t="s">
        <v>1819</v>
      </c>
      <c r="F40" s="45" t="s">
        <v>339</v>
      </c>
      <c r="G40" s="449"/>
      <c r="H40" s="449"/>
      <c r="I40" s="449"/>
      <c r="J40" s="449"/>
      <c r="K40" s="449"/>
      <c r="L40" s="449"/>
      <c r="M40" s="449"/>
      <c r="N40" s="449"/>
      <c r="O40" s="449"/>
      <c r="P40" s="449"/>
      <c r="Q40" s="449"/>
      <c r="R40" s="449"/>
      <c r="S40" s="449"/>
      <c r="T40" s="449"/>
      <c r="U40" s="449"/>
      <c r="V40" s="449"/>
      <c r="W40" s="449"/>
      <c r="X40" s="449"/>
      <c r="Y40" s="449"/>
      <c r="Z40" s="449"/>
      <c r="AA40" s="449"/>
      <c r="AB40" s="449"/>
    </row>
    <row r="41">
      <c r="A41" s="38">
        <v>44735.0</v>
      </c>
      <c r="B41" s="40" t="s">
        <v>11</v>
      </c>
      <c r="C41" s="40" t="s">
        <v>71</v>
      </c>
      <c r="D41" s="40" t="s">
        <v>1820</v>
      </c>
      <c r="E41" s="407" t="s">
        <v>1821</v>
      </c>
      <c r="F41" s="45" t="s">
        <v>339</v>
      </c>
      <c r="G41" s="449"/>
      <c r="H41" s="449"/>
      <c r="I41" s="449"/>
      <c r="J41" s="449"/>
      <c r="K41" s="449"/>
      <c r="L41" s="449"/>
      <c r="M41" s="449"/>
      <c r="N41" s="449"/>
      <c r="O41" s="449"/>
      <c r="P41" s="449"/>
      <c r="Q41" s="449"/>
      <c r="R41" s="449"/>
      <c r="S41" s="449"/>
      <c r="T41" s="449"/>
      <c r="U41" s="449"/>
      <c r="V41" s="449"/>
      <c r="W41" s="449"/>
      <c r="X41" s="449"/>
      <c r="Y41" s="449"/>
      <c r="Z41" s="449"/>
      <c r="AA41" s="449"/>
      <c r="AB41" s="449"/>
    </row>
    <row r="42">
      <c r="A42" s="38">
        <v>44740.0</v>
      </c>
      <c r="B42" s="226" t="s">
        <v>11</v>
      </c>
      <c r="C42" s="226" t="s">
        <v>1143</v>
      </c>
      <c r="D42" s="226" t="s">
        <v>1822</v>
      </c>
      <c r="E42" s="406" t="s">
        <v>1823</v>
      </c>
      <c r="F42" s="47" t="s">
        <v>339</v>
      </c>
      <c r="G42" s="449"/>
      <c r="H42" s="449"/>
      <c r="I42" s="449"/>
      <c r="J42" s="449"/>
      <c r="K42" s="449"/>
      <c r="L42" s="449"/>
      <c r="M42" s="449"/>
      <c r="N42" s="449"/>
      <c r="O42" s="449"/>
      <c r="P42" s="449"/>
      <c r="Q42" s="449"/>
      <c r="R42" s="449"/>
      <c r="S42" s="449"/>
      <c r="T42" s="449"/>
      <c r="U42" s="449"/>
      <c r="V42" s="449"/>
      <c r="W42" s="449"/>
      <c r="X42" s="449"/>
      <c r="Y42" s="449"/>
      <c r="Z42" s="449"/>
      <c r="AA42" s="449"/>
      <c r="AB42" s="449"/>
    </row>
    <row r="43">
      <c r="A43" s="38">
        <v>44749.0</v>
      </c>
      <c r="B43" s="70" t="s">
        <v>11</v>
      </c>
      <c r="C43" s="70" t="s">
        <v>71</v>
      </c>
      <c r="D43" s="70" t="s">
        <v>1824</v>
      </c>
      <c r="E43" s="457" t="s">
        <v>1825</v>
      </c>
      <c r="F43" s="69" t="s">
        <v>339</v>
      </c>
      <c r="G43" s="449"/>
      <c r="H43" s="449"/>
      <c r="I43" s="449"/>
      <c r="J43" s="449"/>
      <c r="K43" s="449"/>
      <c r="L43" s="449"/>
      <c r="M43" s="449"/>
      <c r="N43" s="449"/>
      <c r="O43" s="449"/>
      <c r="P43" s="449"/>
      <c r="Q43" s="449"/>
      <c r="R43" s="449"/>
      <c r="S43" s="449"/>
      <c r="T43" s="449"/>
      <c r="U43" s="449"/>
      <c r="V43" s="449"/>
      <c r="W43" s="449"/>
      <c r="X43" s="449"/>
      <c r="Y43" s="449"/>
      <c r="Z43" s="449"/>
      <c r="AA43" s="449"/>
      <c r="AB43" s="449"/>
    </row>
    <row r="44">
      <c r="A44" s="38">
        <v>44750.0</v>
      </c>
      <c r="B44" s="40" t="s">
        <v>5</v>
      </c>
      <c r="C44" s="40" t="s">
        <v>1826</v>
      </c>
      <c r="D44" s="40" t="s">
        <v>1827</v>
      </c>
      <c r="E44" s="151" t="s">
        <v>1828</v>
      </c>
      <c r="F44" s="45" t="s">
        <v>339</v>
      </c>
      <c r="G44" s="449"/>
      <c r="H44" s="449"/>
      <c r="I44" s="449"/>
      <c r="J44" s="449"/>
      <c r="K44" s="449"/>
      <c r="L44" s="449"/>
      <c r="M44" s="449"/>
      <c r="N44" s="449"/>
      <c r="O44" s="449"/>
      <c r="P44" s="449"/>
      <c r="Q44" s="449"/>
      <c r="R44" s="449"/>
      <c r="S44" s="449"/>
      <c r="T44" s="449"/>
      <c r="U44" s="449"/>
      <c r="V44" s="449"/>
      <c r="W44" s="449"/>
      <c r="X44" s="449"/>
      <c r="Y44" s="449"/>
      <c r="Z44" s="449"/>
      <c r="AA44" s="449"/>
      <c r="AB44" s="449"/>
    </row>
    <row r="45">
      <c r="A45" s="38">
        <v>44750.0</v>
      </c>
      <c r="B45" s="40" t="s">
        <v>11</v>
      </c>
      <c r="C45" s="40" t="s">
        <v>1143</v>
      </c>
      <c r="D45" s="40" t="s">
        <v>1829</v>
      </c>
      <c r="E45" s="151" t="s">
        <v>1830</v>
      </c>
      <c r="F45" s="45" t="s">
        <v>339</v>
      </c>
      <c r="G45" s="449"/>
      <c r="H45" s="449"/>
      <c r="I45" s="449"/>
      <c r="J45" s="449"/>
      <c r="K45" s="449"/>
      <c r="L45" s="449"/>
      <c r="M45" s="449"/>
      <c r="N45" s="449"/>
      <c r="O45" s="449"/>
      <c r="P45" s="449"/>
      <c r="Q45" s="449"/>
      <c r="R45" s="449"/>
      <c r="S45" s="449"/>
      <c r="T45" s="449"/>
      <c r="U45" s="449"/>
      <c r="V45" s="449"/>
      <c r="W45" s="449"/>
      <c r="X45" s="449"/>
      <c r="Y45" s="449"/>
      <c r="Z45" s="449"/>
      <c r="AA45" s="449"/>
      <c r="AB45" s="449"/>
    </row>
    <row r="46">
      <c r="A46" s="38">
        <v>44750.0</v>
      </c>
      <c r="B46" s="40" t="s">
        <v>17</v>
      </c>
      <c r="C46" s="40" t="s">
        <v>1831</v>
      </c>
      <c r="D46" s="40" t="s">
        <v>1827</v>
      </c>
      <c r="E46" s="151" t="s">
        <v>1832</v>
      </c>
      <c r="F46" s="45" t="s">
        <v>339</v>
      </c>
      <c r="G46" s="449"/>
      <c r="H46" s="449"/>
      <c r="I46" s="449"/>
      <c r="J46" s="449"/>
      <c r="K46" s="449"/>
      <c r="L46" s="449"/>
      <c r="M46" s="449"/>
      <c r="N46" s="449"/>
      <c r="O46" s="449"/>
      <c r="P46" s="449"/>
      <c r="Q46" s="449"/>
      <c r="R46" s="449"/>
      <c r="S46" s="449"/>
      <c r="T46" s="449"/>
      <c r="U46" s="449"/>
      <c r="V46" s="449"/>
      <c r="W46" s="449"/>
      <c r="X46" s="449"/>
      <c r="Y46" s="449"/>
      <c r="Z46" s="449"/>
      <c r="AA46" s="449"/>
      <c r="AB46" s="449"/>
    </row>
    <row r="47">
      <c r="A47" s="38">
        <v>44755.0</v>
      </c>
      <c r="B47" s="40" t="s">
        <v>11</v>
      </c>
      <c r="C47" s="40" t="s">
        <v>374</v>
      </c>
      <c r="D47" s="40" t="s">
        <v>1833</v>
      </c>
      <c r="E47" s="151" t="s">
        <v>1834</v>
      </c>
      <c r="F47" s="45" t="s">
        <v>339</v>
      </c>
      <c r="G47" s="449"/>
      <c r="H47" s="449"/>
      <c r="I47" s="449"/>
      <c r="J47" s="449"/>
      <c r="K47" s="449"/>
      <c r="L47" s="449"/>
      <c r="M47" s="449"/>
      <c r="N47" s="449"/>
      <c r="O47" s="449"/>
      <c r="P47" s="449"/>
      <c r="Q47" s="449"/>
      <c r="R47" s="449"/>
      <c r="S47" s="449"/>
      <c r="T47" s="449"/>
      <c r="U47" s="449"/>
      <c r="V47" s="449"/>
      <c r="W47" s="449"/>
      <c r="X47" s="449"/>
      <c r="Y47" s="449"/>
      <c r="Z47" s="449"/>
      <c r="AA47" s="449"/>
      <c r="AB47" s="449"/>
    </row>
    <row r="48">
      <c r="A48" s="38">
        <v>44760.0</v>
      </c>
      <c r="B48" s="40" t="s">
        <v>11</v>
      </c>
      <c r="C48" s="40" t="s">
        <v>1729</v>
      </c>
      <c r="D48" s="40" t="s">
        <v>1835</v>
      </c>
      <c r="E48" s="151" t="s">
        <v>1836</v>
      </c>
      <c r="F48" s="45" t="s">
        <v>726</v>
      </c>
      <c r="G48" s="449"/>
      <c r="H48" s="449"/>
      <c r="I48" s="449"/>
      <c r="J48" s="449"/>
      <c r="K48" s="449"/>
      <c r="L48" s="449"/>
      <c r="M48" s="449"/>
      <c r="N48" s="449"/>
      <c r="O48" s="449"/>
      <c r="P48" s="449"/>
      <c r="Q48" s="449"/>
      <c r="R48" s="449"/>
      <c r="S48" s="449"/>
      <c r="T48" s="449"/>
      <c r="U48" s="449"/>
      <c r="V48" s="449"/>
      <c r="W48" s="449"/>
      <c r="X48" s="449"/>
      <c r="Y48" s="449"/>
      <c r="Z48" s="449"/>
      <c r="AA48" s="449"/>
      <c r="AB48" s="449"/>
    </row>
    <row r="49">
      <c r="A49" s="38">
        <v>44761.0</v>
      </c>
      <c r="B49" s="40" t="s">
        <v>11</v>
      </c>
      <c r="C49" s="40" t="s">
        <v>71</v>
      </c>
      <c r="D49" s="40" t="s">
        <v>1837</v>
      </c>
      <c r="E49" s="151" t="s">
        <v>1838</v>
      </c>
      <c r="F49" s="45" t="s">
        <v>726</v>
      </c>
      <c r="G49" s="449"/>
      <c r="H49" s="449"/>
      <c r="I49" s="449"/>
      <c r="J49" s="449"/>
      <c r="K49" s="449"/>
      <c r="L49" s="449"/>
      <c r="M49" s="449"/>
      <c r="N49" s="449"/>
      <c r="O49" s="449"/>
      <c r="P49" s="449"/>
      <c r="Q49" s="449"/>
      <c r="R49" s="449"/>
      <c r="S49" s="449"/>
      <c r="T49" s="449"/>
      <c r="U49" s="449"/>
      <c r="V49" s="449"/>
      <c r="W49" s="449"/>
      <c r="X49" s="449"/>
      <c r="Y49" s="449"/>
      <c r="Z49" s="449"/>
      <c r="AA49" s="449"/>
      <c r="AB49" s="449"/>
    </row>
    <row r="50">
      <c r="A50" s="38">
        <v>44762.0</v>
      </c>
      <c r="B50" s="40" t="s">
        <v>11</v>
      </c>
      <c r="C50" s="40" t="s">
        <v>1839</v>
      </c>
      <c r="D50" s="40" t="s">
        <v>1840</v>
      </c>
      <c r="E50" s="151" t="s">
        <v>1841</v>
      </c>
      <c r="F50" s="45" t="s">
        <v>726</v>
      </c>
      <c r="G50" s="449"/>
      <c r="H50" s="449"/>
      <c r="I50" s="449"/>
      <c r="J50" s="449"/>
      <c r="K50" s="449"/>
      <c r="L50" s="449"/>
      <c r="M50" s="449"/>
      <c r="N50" s="449"/>
      <c r="O50" s="449"/>
      <c r="P50" s="449"/>
      <c r="Q50" s="449"/>
      <c r="R50" s="449"/>
      <c r="S50" s="449"/>
      <c r="T50" s="449"/>
      <c r="U50" s="449"/>
      <c r="V50" s="449"/>
      <c r="W50" s="449"/>
      <c r="X50" s="449"/>
      <c r="Y50" s="449"/>
      <c r="Z50" s="449"/>
      <c r="AA50" s="449"/>
      <c r="AB50" s="449"/>
    </row>
    <row r="51">
      <c r="A51" s="38">
        <v>44768.0</v>
      </c>
      <c r="B51" s="40" t="s">
        <v>11</v>
      </c>
      <c r="C51" s="40" t="s">
        <v>374</v>
      </c>
      <c r="D51" s="40" t="s">
        <v>1842</v>
      </c>
      <c r="E51" s="407" t="s">
        <v>1843</v>
      </c>
      <c r="F51" s="53" t="s">
        <v>339</v>
      </c>
      <c r="G51" s="449"/>
      <c r="H51" s="449"/>
      <c r="I51" s="449"/>
      <c r="J51" s="449"/>
      <c r="K51" s="449"/>
      <c r="L51" s="449"/>
      <c r="M51" s="449"/>
      <c r="N51" s="449"/>
      <c r="O51" s="449"/>
      <c r="P51" s="449"/>
      <c r="Q51" s="449"/>
      <c r="R51" s="449"/>
      <c r="S51" s="449"/>
      <c r="T51" s="449"/>
      <c r="U51" s="449"/>
      <c r="V51" s="449"/>
      <c r="W51" s="449"/>
      <c r="X51" s="449"/>
      <c r="Y51" s="449"/>
      <c r="Z51" s="449"/>
      <c r="AA51" s="449"/>
      <c r="AB51" s="449"/>
    </row>
    <row r="52">
      <c r="A52" s="38">
        <v>44769.0</v>
      </c>
      <c r="B52" s="40" t="s">
        <v>11</v>
      </c>
      <c r="C52" s="40" t="s">
        <v>1844</v>
      </c>
      <c r="D52" s="40" t="s">
        <v>1840</v>
      </c>
      <c r="E52" s="151" t="s">
        <v>1845</v>
      </c>
      <c r="F52" s="45" t="s">
        <v>339</v>
      </c>
      <c r="G52" s="449"/>
      <c r="H52" s="449"/>
      <c r="I52" s="449"/>
      <c r="J52" s="449"/>
      <c r="K52" s="449"/>
      <c r="L52" s="449"/>
      <c r="M52" s="449"/>
      <c r="N52" s="449"/>
      <c r="O52" s="449"/>
      <c r="P52" s="449"/>
      <c r="Q52" s="449"/>
      <c r="R52" s="449"/>
      <c r="S52" s="449"/>
      <c r="T52" s="449"/>
      <c r="U52" s="449"/>
      <c r="V52" s="449"/>
      <c r="W52" s="449"/>
      <c r="X52" s="449"/>
      <c r="Y52" s="449"/>
      <c r="Z52" s="449"/>
      <c r="AA52" s="449"/>
      <c r="AB52" s="449"/>
    </row>
    <row r="53">
      <c r="A53" s="38">
        <v>44770.0</v>
      </c>
      <c r="B53" s="40" t="s">
        <v>11</v>
      </c>
      <c r="C53" s="40" t="s">
        <v>58</v>
      </c>
      <c r="D53" s="40" t="s">
        <v>1846</v>
      </c>
      <c r="E53" s="151" t="s">
        <v>1847</v>
      </c>
      <c r="F53" s="45" t="s">
        <v>339</v>
      </c>
      <c r="G53" s="449"/>
      <c r="H53" s="449"/>
      <c r="I53" s="449"/>
      <c r="J53" s="449"/>
      <c r="K53" s="449"/>
      <c r="L53" s="449"/>
      <c r="M53" s="449"/>
      <c r="N53" s="449"/>
      <c r="O53" s="449"/>
      <c r="P53" s="449"/>
      <c r="Q53" s="449"/>
      <c r="R53" s="449"/>
      <c r="S53" s="449"/>
      <c r="T53" s="449"/>
      <c r="U53" s="449"/>
      <c r="V53" s="449"/>
      <c r="W53" s="449"/>
      <c r="X53" s="449"/>
      <c r="Y53" s="449"/>
      <c r="Z53" s="449"/>
      <c r="AA53" s="449"/>
      <c r="AB53" s="449"/>
    </row>
    <row r="54">
      <c r="A54" s="38">
        <v>44770.0</v>
      </c>
      <c r="B54" s="40" t="s">
        <v>11</v>
      </c>
      <c r="C54" s="40" t="s">
        <v>71</v>
      </c>
      <c r="D54" s="40" t="s">
        <v>1846</v>
      </c>
      <c r="E54" s="151" t="s">
        <v>1848</v>
      </c>
      <c r="F54" s="45" t="s">
        <v>339</v>
      </c>
      <c r="G54" s="449"/>
      <c r="H54" s="449"/>
      <c r="I54" s="449"/>
      <c r="J54" s="449"/>
      <c r="K54" s="449"/>
      <c r="L54" s="449"/>
      <c r="M54" s="449"/>
      <c r="N54" s="449"/>
      <c r="O54" s="449"/>
      <c r="P54" s="449"/>
      <c r="Q54" s="449"/>
      <c r="R54" s="449"/>
      <c r="S54" s="449"/>
      <c r="T54" s="449"/>
      <c r="U54" s="449"/>
      <c r="V54" s="449"/>
      <c r="W54" s="449"/>
      <c r="X54" s="449"/>
      <c r="Y54" s="449"/>
      <c r="Z54" s="449"/>
      <c r="AA54" s="449"/>
      <c r="AB54" s="449"/>
    </row>
    <row r="55">
      <c r="A55" s="38">
        <v>44770.0</v>
      </c>
      <c r="B55" s="40" t="s">
        <v>11</v>
      </c>
      <c r="C55" s="40" t="s">
        <v>71</v>
      </c>
      <c r="D55" s="40" t="s">
        <v>1849</v>
      </c>
      <c r="E55" s="151" t="s">
        <v>1850</v>
      </c>
      <c r="F55" s="45" t="s">
        <v>339</v>
      </c>
      <c r="G55" s="449"/>
      <c r="H55" s="449"/>
      <c r="I55" s="449"/>
      <c r="J55" s="449"/>
      <c r="K55" s="449"/>
      <c r="L55" s="449"/>
      <c r="M55" s="449"/>
      <c r="N55" s="449"/>
      <c r="O55" s="449"/>
      <c r="P55" s="449"/>
      <c r="Q55" s="449"/>
      <c r="R55" s="449"/>
      <c r="S55" s="449"/>
      <c r="T55" s="449"/>
      <c r="U55" s="449"/>
      <c r="V55" s="449"/>
      <c r="W55" s="449"/>
      <c r="X55" s="449"/>
      <c r="Y55" s="449"/>
      <c r="Z55" s="449"/>
      <c r="AA55" s="449"/>
      <c r="AB55" s="449"/>
    </row>
    <row r="56">
      <c r="A56" s="38">
        <v>44771.0</v>
      </c>
      <c r="B56" s="40" t="s">
        <v>5</v>
      </c>
      <c r="C56" s="40" t="s">
        <v>884</v>
      </c>
      <c r="D56" s="40" t="s">
        <v>1851</v>
      </c>
      <c r="E56" s="407" t="s">
        <v>1852</v>
      </c>
      <c r="F56" s="45" t="s">
        <v>339</v>
      </c>
      <c r="G56" s="449"/>
      <c r="H56" s="449"/>
      <c r="I56" s="449"/>
      <c r="J56" s="449"/>
      <c r="K56" s="449"/>
      <c r="L56" s="449"/>
      <c r="M56" s="449"/>
      <c r="N56" s="449"/>
      <c r="O56" s="449"/>
      <c r="P56" s="449"/>
      <c r="Q56" s="449"/>
      <c r="R56" s="449"/>
      <c r="S56" s="449"/>
      <c r="T56" s="449"/>
      <c r="U56" s="449"/>
      <c r="V56" s="449"/>
      <c r="W56" s="449"/>
      <c r="X56" s="449"/>
      <c r="Y56" s="449"/>
      <c r="Z56" s="449"/>
      <c r="AA56" s="449"/>
      <c r="AB56" s="449"/>
    </row>
    <row r="57">
      <c r="A57" s="38">
        <v>44771.0</v>
      </c>
      <c r="B57" s="40" t="s">
        <v>11</v>
      </c>
      <c r="C57" s="40" t="s">
        <v>68</v>
      </c>
      <c r="D57" s="40" t="s">
        <v>1853</v>
      </c>
      <c r="E57" s="151" t="s">
        <v>1854</v>
      </c>
      <c r="F57" s="45" t="s">
        <v>339</v>
      </c>
      <c r="G57" s="449"/>
      <c r="H57" s="449"/>
      <c r="I57" s="449"/>
      <c r="J57" s="449"/>
      <c r="K57" s="449"/>
      <c r="L57" s="449"/>
      <c r="M57" s="449"/>
      <c r="N57" s="449"/>
      <c r="O57" s="449"/>
      <c r="P57" s="449"/>
      <c r="Q57" s="449"/>
      <c r="R57" s="449"/>
      <c r="S57" s="449"/>
      <c r="T57" s="449"/>
      <c r="U57" s="449"/>
      <c r="V57" s="449"/>
      <c r="W57" s="449"/>
      <c r="X57" s="449"/>
      <c r="Y57" s="449"/>
      <c r="Z57" s="449"/>
      <c r="AA57" s="449"/>
      <c r="AB57" s="449"/>
    </row>
    <row r="58">
      <c r="A58" s="38">
        <v>44771.0</v>
      </c>
      <c r="B58" s="40" t="s">
        <v>17</v>
      </c>
      <c r="C58" s="40" t="s">
        <v>90</v>
      </c>
      <c r="D58" s="40" t="s">
        <v>1851</v>
      </c>
      <c r="E58" s="151" t="s">
        <v>1855</v>
      </c>
      <c r="F58" s="45" t="s">
        <v>339</v>
      </c>
      <c r="G58" s="449"/>
      <c r="H58" s="449"/>
      <c r="I58" s="449"/>
      <c r="J58" s="449"/>
      <c r="K58" s="449"/>
      <c r="L58" s="449"/>
      <c r="M58" s="449"/>
      <c r="N58" s="449"/>
      <c r="O58" s="449"/>
      <c r="P58" s="449"/>
      <c r="Q58" s="449"/>
      <c r="R58" s="449"/>
      <c r="S58" s="449"/>
      <c r="T58" s="449"/>
      <c r="U58" s="449"/>
      <c r="V58" s="449"/>
      <c r="W58" s="449"/>
      <c r="X58" s="449"/>
      <c r="Y58" s="449"/>
      <c r="Z58" s="449"/>
      <c r="AA58" s="449"/>
      <c r="AB58" s="449"/>
    </row>
    <row r="59">
      <c r="A59" s="38">
        <v>44771.0</v>
      </c>
      <c r="B59" s="226" t="s">
        <v>17</v>
      </c>
      <c r="C59" s="226" t="s">
        <v>1200</v>
      </c>
      <c r="D59" s="226" t="s">
        <v>1851</v>
      </c>
      <c r="E59" s="406" t="s">
        <v>1856</v>
      </c>
      <c r="F59" s="45" t="s">
        <v>339</v>
      </c>
      <c r="G59" s="449"/>
      <c r="H59" s="449"/>
      <c r="I59" s="449"/>
      <c r="J59" s="449"/>
      <c r="K59" s="449"/>
      <c r="L59" s="449"/>
      <c r="M59" s="449"/>
      <c r="N59" s="449"/>
      <c r="O59" s="449"/>
      <c r="P59" s="449"/>
      <c r="Q59" s="449"/>
      <c r="R59" s="449"/>
      <c r="S59" s="449"/>
      <c r="T59" s="449"/>
      <c r="U59" s="449"/>
      <c r="V59" s="449"/>
      <c r="W59" s="449"/>
      <c r="X59" s="449"/>
      <c r="Y59" s="449"/>
      <c r="Z59" s="449"/>
      <c r="AA59" s="449"/>
      <c r="AB59" s="449"/>
    </row>
    <row r="60">
      <c r="A60" s="38">
        <v>44772.0</v>
      </c>
      <c r="B60" s="40" t="s">
        <v>17</v>
      </c>
      <c r="C60" s="40" t="s">
        <v>1857</v>
      </c>
      <c r="D60" s="40" t="s">
        <v>1858</v>
      </c>
      <c r="E60" s="151" t="s">
        <v>1859</v>
      </c>
      <c r="F60" s="45" t="s">
        <v>339</v>
      </c>
      <c r="G60" s="449"/>
      <c r="H60" s="449"/>
      <c r="I60" s="449"/>
      <c r="J60" s="449"/>
      <c r="K60" s="449"/>
      <c r="L60" s="449"/>
      <c r="M60" s="449"/>
      <c r="N60" s="449"/>
      <c r="O60" s="449"/>
      <c r="P60" s="449"/>
      <c r="Q60" s="449"/>
      <c r="R60" s="449"/>
      <c r="S60" s="449"/>
      <c r="T60" s="449"/>
      <c r="U60" s="449"/>
      <c r="V60" s="449"/>
      <c r="W60" s="449"/>
      <c r="X60" s="449"/>
      <c r="Y60" s="449"/>
      <c r="Z60" s="449"/>
      <c r="AA60" s="449"/>
      <c r="AB60" s="449"/>
    </row>
    <row r="61">
      <c r="A61" s="38">
        <v>44772.0</v>
      </c>
      <c r="B61" s="242" t="s">
        <v>11</v>
      </c>
      <c r="C61" s="242" t="s">
        <v>1860</v>
      </c>
      <c r="D61" s="242" t="s">
        <v>1861</v>
      </c>
      <c r="E61" s="410" t="s">
        <v>1862</v>
      </c>
      <c r="F61" s="45" t="s">
        <v>339</v>
      </c>
      <c r="G61" s="449"/>
      <c r="H61" s="449"/>
      <c r="I61" s="449"/>
      <c r="J61" s="449"/>
      <c r="K61" s="449"/>
      <c r="L61" s="449"/>
      <c r="M61" s="449"/>
      <c r="N61" s="449"/>
      <c r="O61" s="449"/>
      <c r="P61" s="449"/>
      <c r="Q61" s="449"/>
      <c r="R61" s="449"/>
      <c r="S61" s="449"/>
      <c r="T61" s="449"/>
      <c r="U61" s="449"/>
      <c r="V61" s="449"/>
      <c r="W61" s="449"/>
      <c r="X61" s="449"/>
      <c r="Y61" s="449"/>
      <c r="Z61" s="449"/>
      <c r="AA61" s="449"/>
      <c r="AB61" s="449"/>
    </row>
    <row r="62">
      <c r="A62" s="38">
        <v>44772.0</v>
      </c>
      <c r="B62" s="242" t="s">
        <v>17</v>
      </c>
      <c r="C62" s="242" t="s">
        <v>1863</v>
      </c>
      <c r="D62" s="242" t="s">
        <v>1864</v>
      </c>
      <c r="E62" s="410" t="s">
        <v>1865</v>
      </c>
      <c r="F62" s="45" t="s">
        <v>339</v>
      </c>
      <c r="G62" s="449"/>
      <c r="H62" s="449"/>
      <c r="I62" s="449"/>
      <c r="J62" s="449"/>
      <c r="K62" s="449"/>
      <c r="L62" s="449"/>
      <c r="M62" s="449"/>
      <c r="N62" s="449"/>
      <c r="O62" s="449"/>
      <c r="P62" s="449"/>
      <c r="Q62" s="449"/>
      <c r="R62" s="449"/>
      <c r="S62" s="449"/>
      <c r="T62" s="449"/>
      <c r="U62" s="449"/>
      <c r="V62" s="449"/>
      <c r="W62" s="449"/>
      <c r="X62" s="449"/>
      <c r="Y62" s="449"/>
      <c r="Z62" s="449"/>
      <c r="AA62" s="449"/>
      <c r="AB62" s="449"/>
    </row>
    <row r="63">
      <c r="A63" s="38">
        <v>44772.0</v>
      </c>
      <c r="B63" s="242" t="s">
        <v>17</v>
      </c>
      <c r="C63" s="242" t="s">
        <v>1866</v>
      </c>
      <c r="D63" s="242" t="s">
        <v>1867</v>
      </c>
      <c r="E63" s="410" t="s">
        <v>1868</v>
      </c>
      <c r="F63" s="45" t="s">
        <v>339</v>
      </c>
      <c r="G63" s="449"/>
      <c r="H63" s="449"/>
      <c r="I63" s="449"/>
      <c r="J63" s="449"/>
      <c r="K63" s="449"/>
      <c r="L63" s="449"/>
      <c r="M63" s="449"/>
      <c r="N63" s="449"/>
      <c r="O63" s="449"/>
      <c r="P63" s="449"/>
      <c r="Q63" s="449"/>
      <c r="R63" s="449"/>
      <c r="S63" s="449"/>
      <c r="T63" s="449"/>
      <c r="U63" s="449"/>
      <c r="V63" s="449"/>
      <c r="W63" s="449"/>
      <c r="X63" s="449"/>
      <c r="Y63" s="449"/>
      <c r="Z63" s="449"/>
      <c r="AA63" s="449"/>
      <c r="AB63" s="449"/>
    </row>
    <row r="64">
      <c r="A64" s="38">
        <v>44772.0</v>
      </c>
      <c r="B64" s="242" t="s">
        <v>17</v>
      </c>
      <c r="C64" s="242" t="s">
        <v>1869</v>
      </c>
      <c r="D64" s="242" t="s">
        <v>1870</v>
      </c>
      <c r="E64" s="410" t="s">
        <v>1871</v>
      </c>
      <c r="F64" s="45" t="s">
        <v>339</v>
      </c>
      <c r="G64" s="449"/>
      <c r="H64" s="449"/>
      <c r="I64" s="449"/>
      <c r="J64" s="449"/>
      <c r="K64" s="449"/>
      <c r="L64" s="449"/>
      <c r="M64" s="449"/>
      <c r="N64" s="449"/>
      <c r="O64" s="449"/>
      <c r="P64" s="449"/>
      <c r="Q64" s="449"/>
      <c r="R64" s="449"/>
      <c r="S64" s="449"/>
      <c r="T64" s="449"/>
      <c r="U64" s="449"/>
      <c r="V64" s="449"/>
      <c r="W64" s="449"/>
      <c r="X64" s="449"/>
      <c r="Y64" s="449"/>
      <c r="Z64" s="449"/>
      <c r="AA64" s="449"/>
      <c r="AB64" s="449"/>
    </row>
    <row r="65">
      <c r="A65" s="38">
        <v>44772.0</v>
      </c>
      <c r="B65" s="242" t="s">
        <v>17</v>
      </c>
      <c r="C65" s="242" t="s">
        <v>1872</v>
      </c>
      <c r="D65" s="242" t="s">
        <v>1873</v>
      </c>
      <c r="E65" s="410" t="s">
        <v>1874</v>
      </c>
      <c r="F65" s="45" t="s">
        <v>339</v>
      </c>
      <c r="G65" s="449"/>
      <c r="H65" s="449"/>
      <c r="I65" s="449"/>
      <c r="J65" s="449"/>
      <c r="K65" s="449"/>
      <c r="L65" s="449"/>
      <c r="M65" s="449"/>
      <c r="N65" s="449"/>
      <c r="O65" s="449"/>
      <c r="P65" s="449"/>
      <c r="Q65" s="449"/>
      <c r="R65" s="449"/>
      <c r="S65" s="449"/>
      <c r="T65" s="449"/>
      <c r="U65" s="449"/>
      <c r="V65" s="449"/>
      <c r="W65" s="449"/>
      <c r="X65" s="449"/>
      <c r="Y65" s="449"/>
      <c r="Z65" s="449"/>
      <c r="AA65" s="449"/>
      <c r="AB65" s="449"/>
    </row>
    <row r="66">
      <c r="A66" s="38">
        <v>44772.0</v>
      </c>
      <c r="B66" s="242" t="s">
        <v>17</v>
      </c>
      <c r="C66" s="242" t="s">
        <v>1875</v>
      </c>
      <c r="D66" s="242" t="s">
        <v>1876</v>
      </c>
      <c r="E66" s="410" t="s">
        <v>1877</v>
      </c>
      <c r="F66" s="45" t="s">
        <v>339</v>
      </c>
      <c r="G66" s="449"/>
      <c r="H66" s="449"/>
      <c r="I66" s="449"/>
      <c r="J66" s="449"/>
      <c r="K66" s="449"/>
      <c r="L66" s="449"/>
      <c r="M66" s="449"/>
      <c r="N66" s="449"/>
      <c r="O66" s="449"/>
      <c r="P66" s="449"/>
      <c r="Q66" s="449"/>
      <c r="R66" s="449"/>
      <c r="S66" s="449"/>
      <c r="T66" s="449"/>
      <c r="U66" s="449"/>
      <c r="V66" s="449"/>
      <c r="W66" s="449"/>
      <c r="X66" s="449"/>
      <c r="Y66" s="449"/>
      <c r="Z66" s="449"/>
      <c r="AA66" s="449"/>
      <c r="AB66" s="449"/>
    </row>
    <row r="67">
      <c r="A67" s="38">
        <v>44772.0</v>
      </c>
      <c r="B67" s="461" t="s">
        <v>11</v>
      </c>
      <c r="C67" s="461" t="s">
        <v>451</v>
      </c>
      <c r="D67" s="461" t="s">
        <v>1878</v>
      </c>
      <c r="E67" s="462" t="s">
        <v>1879</v>
      </c>
      <c r="F67" s="47" t="s">
        <v>339</v>
      </c>
      <c r="G67" s="449"/>
      <c r="H67" s="449"/>
      <c r="I67" s="449"/>
      <c r="J67" s="449"/>
      <c r="K67" s="449"/>
      <c r="L67" s="449"/>
      <c r="M67" s="449"/>
      <c r="N67" s="449"/>
      <c r="O67" s="449"/>
      <c r="P67" s="449"/>
      <c r="Q67" s="449"/>
      <c r="R67" s="449"/>
      <c r="S67" s="449"/>
      <c r="T67" s="449"/>
      <c r="U67" s="449"/>
      <c r="V67" s="449"/>
      <c r="W67" s="449"/>
      <c r="X67" s="449"/>
      <c r="Y67" s="449"/>
      <c r="Z67" s="449"/>
      <c r="AA67" s="449"/>
      <c r="AB67" s="449"/>
    </row>
    <row r="68">
      <c r="A68" s="38">
        <v>44774.0</v>
      </c>
      <c r="B68" s="170" t="s">
        <v>11</v>
      </c>
      <c r="C68" s="170" t="s">
        <v>58</v>
      </c>
      <c r="D68" s="242" t="s">
        <v>1880</v>
      </c>
      <c r="E68" s="409" t="s">
        <v>1881</v>
      </c>
      <c r="F68" s="69" t="s">
        <v>339</v>
      </c>
      <c r="G68" s="449"/>
      <c r="H68" s="449"/>
      <c r="I68" s="449"/>
      <c r="J68" s="449"/>
      <c r="K68" s="449"/>
      <c r="L68" s="449"/>
      <c r="M68" s="449"/>
      <c r="N68" s="449"/>
      <c r="O68" s="449"/>
      <c r="P68" s="449"/>
      <c r="Q68" s="449"/>
      <c r="R68" s="449"/>
      <c r="S68" s="449"/>
      <c r="T68" s="449"/>
      <c r="U68" s="449"/>
      <c r="V68" s="449"/>
      <c r="W68" s="449"/>
      <c r="X68" s="449"/>
      <c r="Y68" s="449"/>
      <c r="Z68" s="449"/>
      <c r="AA68" s="449"/>
      <c r="AB68" s="449"/>
    </row>
    <row r="69">
      <c r="A69" s="38">
        <v>44774.0</v>
      </c>
      <c r="B69" s="170" t="s">
        <v>11</v>
      </c>
      <c r="C69" s="40" t="s">
        <v>1724</v>
      </c>
      <c r="D69" s="415" t="s">
        <v>1882</v>
      </c>
      <c r="E69" s="151" t="s">
        <v>1883</v>
      </c>
      <c r="F69" s="39" t="s">
        <v>339</v>
      </c>
      <c r="G69" s="449"/>
      <c r="H69" s="449"/>
      <c r="I69" s="449"/>
      <c r="J69" s="449"/>
      <c r="K69" s="449"/>
      <c r="L69" s="449"/>
      <c r="M69" s="449"/>
      <c r="N69" s="449"/>
      <c r="O69" s="449"/>
      <c r="P69" s="449"/>
      <c r="Q69" s="449"/>
      <c r="R69" s="449"/>
      <c r="S69" s="449"/>
      <c r="T69" s="449"/>
      <c r="U69" s="449"/>
      <c r="V69" s="449"/>
      <c r="W69" s="449"/>
      <c r="X69" s="449"/>
      <c r="Y69" s="449"/>
      <c r="Z69" s="449"/>
      <c r="AA69" s="449"/>
      <c r="AB69" s="449"/>
    </row>
    <row r="70">
      <c r="A70" s="38">
        <v>44774.0</v>
      </c>
      <c r="B70" s="170" t="s">
        <v>11</v>
      </c>
      <c r="C70" s="40" t="s">
        <v>58</v>
      </c>
      <c r="D70" s="415" t="s">
        <v>1884</v>
      </c>
      <c r="E70" s="151" t="s">
        <v>1885</v>
      </c>
      <c r="F70" s="39" t="s">
        <v>1781</v>
      </c>
      <c r="G70" s="449"/>
      <c r="H70" s="449"/>
      <c r="I70" s="449"/>
      <c r="J70" s="449"/>
      <c r="K70" s="449"/>
      <c r="L70" s="449"/>
      <c r="M70" s="449"/>
      <c r="N70" s="449"/>
      <c r="O70" s="449"/>
      <c r="P70" s="449"/>
      <c r="Q70" s="449"/>
      <c r="R70" s="449"/>
      <c r="S70" s="449"/>
      <c r="T70" s="449"/>
      <c r="U70" s="449"/>
      <c r="V70" s="449"/>
      <c r="W70" s="449"/>
      <c r="X70" s="449"/>
      <c r="Y70" s="449"/>
      <c r="Z70" s="449"/>
      <c r="AA70" s="449"/>
      <c r="AB70" s="449"/>
    </row>
    <row r="71">
      <c r="A71" s="38">
        <v>44774.0</v>
      </c>
      <c r="B71" s="170" t="s">
        <v>17</v>
      </c>
      <c r="C71" s="40" t="s">
        <v>1786</v>
      </c>
      <c r="D71" s="415" t="s">
        <v>1870</v>
      </c>
      <c r="E71" s="151" t="s">
        <v>1886</v>
      </c>
      <c r="F71" s="39" t="s">
        <v>1781</v>
      </c>
      <c r="G71" s="449"/>
      <c r="H71" s="449"/>
      <c r="I71" s="449"/>
      <c r="J71" s="449"/>
      <c r="K71" s="449"/>
      <c r="L71" s="449"/>
      <c r="M71" s="449"/>
      <c r="N71" s="449"/>
      <c r="O71" s="449"/>
      <c r="P71" s="449"/>
      <c r="Q71" s="449"/>
      <c r="R71" s="449"/>
      <c r="S71" s="449"/>
      <c r="T71" s="449"/>
      <c r="U71" s="449"/>
      <c r="V71" s="449"/>
      <c r="W71" s="449"/>
      <c r="X71" s="449"/>
      <c r="Y71" s="449"/>
      <c r="Z71" s="449"/>
      <c r="AA71" s="449"/>
      <c r="AB71" s="449"/>
    </row>
    <row r="72">
      <c r="A72" s="38">
        <v>44774.0</v>
      </c>
      <c r="B72" s="170" t="s">
        <v>17</v>
      </c>
      <c r="C72" s="40" t="s">
        <v>1887</v>
      </c>
      <c r="D72" s="415" t="s">
        <v>1888</v>
      </c>
      <c r="E72" s="151" t="s">
        <v>1889</v>
      </c>
      <c r="F72" s="45" t="s">
        <v>339</v>
      </c>
      <c r="G72" s="449"/>
      <c r="H72" s="449"/>
      <c r="I72" s="449"/>
      <c r="J72" s="449"/>
      <c r="K72" s="449"/>
      <c r="L72" s="449"/>
      <c r="M72" s="449"/>
      <c r="N72" s="449"/>
      <c r="O72" s="449"/>
      <c r="P72" s="449"/>
      <c r="Q72" s="449"/>
      <c r="R72" s="449"/>
      <c r="S72" s="449"/>
      <c r="T72" s="449"/>
      <c r="U72" s="449"/>
      <c r="V72" s="449"/>
      <c r="W72" s="449"/>
      <c r="X72" s="449"/>
      <c r="Y72" s="449"/>
      <c r="Z72" s="449"/>
      <c r="AA72" s="449"/>
      <c r="AB72" s="449"/>
    </row>
    <row r="73">
      <c r="A73" s="38">
        <v>44777.0</v>
      </c>
      <c r="B73" s="170" t="s">
        <v>11</v>
      </c>
      <c r="C73" s="40" t="s">
        <v>374</v>
      </c>
      <c r="D73" s="415" t="s">
        <v>1890</v>
      </c>
      <c r="E73" s="107" t="s">
        <v>1891</v>
      </c>
      <c r="F73" s="45" t="s">
        <v>1817</v>
      </c>
      <c r="G73" s="449"/>
      <c r="H73" s="449"/>
      <c r="I73" s="449"/>
      <c r="J73" s="449"/>
      <c r="K73" s="449"/>
      <c r="L73" s="449"/>
      <c r="M73" s="449"/>
      <c r="N73" s="449"/>
      <c r="O73" s="449"/>
      <c r="P73" s="449"/>
      <c r="Q73" s="449"/>
      <c r="R73" s="449"/>
      <c r="S73" s="449"/>
      <c r="T73" s="449"/>
      <c r="U73" s="449"/>
      <c r="V73" s="449"/>
      <c r="W73" s="449"/>
      <c r="X73" s="449"/>
      <c r="Y73" s="449"/>
      <c r="Z73" s="449"/>
      <c r="AA73" s="449"/>
      <c r="AB73" s="449"/>
    </row>
    <row r="74">
      <c r="A74" s="38">
        <v>44777.0</v>
      </c>
      <c r="B74" s="170" t="s">
        <v>11</v>
      </c>
      <c r="C74" s="40" t="s">
        <v>71</v>
      </c>
      <c r="D74" s="415" t="s">
        <v>1892</v>
      </c>
      <c r="E74" s="151" t="s">
        <v>1893</v>
      </c>
      <c r="F74" s="45" t="s">
        <v>1817</v>
      </c>
      <c r="G74" s="449"/>
      <c r="H74" s="449"/>
      <c r="I74" s="449"/>
      <c r="J74" s="449"/>
      <c r="K74" s="449"/>
      <c r="L74" s="449"/>
      <c r="M74" s="449"/>
      <c r="N74" s="449"/>
      <c r="O74" s="449"/>
      <c r="P74" s="449"/>
      <c r="Q74" s="449"/>
      <c r="R74" s="449"/>
      <c r="S74" s="449"/>
      <c r="T74" s="449"/>
      <c r="U74" s="449"/>
      <c r="V74" s="449"/>
      <c r="W74" s="449"/>
      <c r="X74" s="449"/>
      <c r="Y74" s="449"/>
      <c r="Z74" s="449"/>
      <c r="AA74" s="449"/>
      <c r="AB74" s="449"/>
    </row>
    <row r="75">
      <c r="A75" s="38">
        <v>44778.0</v>
      </c>
      <c r="B75" s="170" t="s">
        <v>11</v>
      </c>
      <c r="C75" s="40" t="s">
        <v>71</v>
      </c>
      <c r="D75" s="415" t="s">
        <v>1894</v>
      </c>
      <c r="E75" s="151" t="s">
        <v>1895</v>
      </c>
      <c r="F75" s="45" t="s">
        <v>339</v>
      </c>
      <c r="G75" s="449"/>
      <c r="H75" s="449"/>
      <c r="I75" s="449"/>
      <c r="J75" s="449"/>
      <c r="K75" s="449"/>
      <c r="L75" s="449"/>
      <c r="M75" s="449"/>
      <c r="N75" s="449"/>
      <c r="O75" s="449"/>
      <c r="P75" s="449"/>
      <c r="Q75" s="449"/>
      <c r="R75" s="449"/>
      <c r="S75" s="449"/>
      <c r="T75" s="449"/>
      <c r="U75" s="449"/>
      <c r="V75" s="449"/>
      <c r="W75" s="449"/>
      <c r="X75" s="449"/>
      <c r="Y75" s="449"/>
      <c r="Z75" s="449"/>
      <c r="AA75" s="449"/>
      <c r="AB75" s="449"/>
    </row>
    <row r="76">
      <c r="A76" s="38">
        <v>44778.0</v>
      </c>
      <c r="B76" s="170" t="s">
        <v>17</v>
      </c>
      <c r="C76" s="40" t="s">
        <v>1786</v>
      </c>
      <c r="D76" s="415" t="s">
        <v>1894</v>
      </c>
      <c r="E76" s="151" t="s">
        <v>1896</v>
      </c>
      <c r="F76" s="45" t="s">
        <v>339</v>
      </c>
      <c r="G76" s="449"/>
      <c r="H76" s="449"/>
      <c r="I76" s="449"/>
      <c r="J76" s="449"/>
      <c r="K76" s="449"/>
      <c r="L76" s="449"/>
      <c r="M76" s="449"/>
      <c r="N76" s="449"/>
      <c r="O76" s="449"/>
      <c r="P76" s="449"/>
      <c r="Q76" s="449"/>
      <c r="R76" s="449"/>
      <c r="S76" s="449"/>
      <c r="T76" s="449"/>
      <c r="U76" s="449"/>
      <c r="V76" s="449"/>
      <c r="W76" s="449"/>
      <c r="X76" s="449"/>
      <c r="Y76" s="449"/>
      <c r="Z76" s="449"/>
      <c r="AA76" s="449"/>
      <c r="AB76" s="449"/>
    </row>
    <row r="77">
      <c r="A77" s="38">
        <v>44778.0</v>
      </c>
      <c r="B77" s="170" t="s">
        <v>11</v>
      </c>
      <c r="C77" s="40" t="s">
        <v>1897</v>
      </c>
      <c r="D77" s="242" t="s">
        <v>1898</v>
      </c>
      <c r="E77" s="40" t="s">
        <v>1899</v>
      </c>
      <c r="F77" s="45" t="s">
        <v>339</v>
      </c>
      <c r="G77" s="449"/>
      <c r="H77" s="449"/>
      <c r="I77" s="449"/>
      <c r="J77" s="449"/>
      <c r="K77" s="449"/>
      <c r="L77" s="449"/>
      <c r="M77" s="449"/>
      <c r="N77" s="449"/>
      <c r="O77" s="449"/>
      <c r="P77" s="449"/>
      <c r="Q77" s="449"/>
      <c r="R77" s="449"/>
      <c r="S77" s="449"/>
      <c r="T77" s="449"/>
      <c r="U77" s="449"/>
      <c r="V77" s="449"/>
      <c r="W77" s="449"/>
      <c r="X77" s="449"/>
      <c r="Y77" s="449"/>
      <c r="Z77" s="449"/>
      <c r="AA77" s="449"/>
      <c r="AB77" s="449"/>
    </row>
    <row r="78">
      <c r="A78" s="38">
        <v>44778.0</v>
      </c>
      <c r="B78" s="170" t="s">
        <v>11</v>
      </c>
      <c r="C78" s="40" t="s">
        <v>58</v>
      </c>
      <c r="D78" s="415" t="s">
        <v>1900</v>
      </c>
      <c r="E78" s="151" t="s">
        <v>1901</v>
      </c>
      <c r="F78" s="45" t="s">
        <v>339</v>
      </c>
      <c r="G78" s="449"/>
      <c r="H78" s="449"/>
      <c r="I78" s="449"/>
      <c r="J78" s="449"/>
      <c r="K78" s="449"/>
      <c r="L78" s="449"/>
      <c r="M78" s="449"/>
      <c r="N78" s="449"/>
      <c r="O78" s="449"/>
      <c r="P78" s="449"/>
      <c r="Q78" s="449"/>
      <c r="R78" s="449"/>
      <c r="S78" s="449"/>
      <c r="T78" s="449"/>
      <c r="U78" s="449"/>
      <c r="V78" s="449"/>
      <c r="W78" s="449"/>
      <c r="X78" s="449"/>
      <c r="Y78" s="449"/>
      <c r="Z78" s="449"/>
      <c r="AA78" s="449"/>
      <c r="AB78" s="449"/>
    </row>
    <row r="79">
      <c r="A79" s="38">
        <v>44779.0</v>
      </c>
      <c r="B79" s="170" t="s">
        <v>11</v>
      </c>
      <c r="C79" s="40" t="s">
        <v>104</v>
      </c>
      <c r="D79" s="415" t="s">
        <v>1902</v>
      </c>
      <c r="E79" s="151" t="s">
        <v>1903</v>
      </c>
      <c r="F79" s="45" t="s">
        <v>339</v>
      </c>
      <c r="G79" s="449"/>
      <c r="H79" s="449"/>
      <c r="I79" s="449"/>
      <c r="J79" s="449"/>
      <c r="K79" s="449"/>
      <c r="L79" s="449"/>
      <c r="M79" s="449"/>
      <c r="N79" s="449"/>
      <c r="O79" s="449"/>
      <c r="P79" s="449"/>
      <c r="Q79" s="449"/>
      <c r="R79" s="449"/>
      <c r="S79" s="449"/>
      <c r="T79" s="449"/>
      <c r="U79" s="449"/>
      <c r="V79" s="449"/>
      <c r="W79" s="449"/>
      <c r="X79" s="449"/>
      <c r="Y79" s="449"/>
      <c r="Z79" s="449"/>
      <c r="AA79" s="449"/>
      <c r="AB79" s="449"/>
    </row>
    <row r="80">
      <c r="A80" s="38">
        <v>44779.0</v>
      </c>
      <c r="B80" s="170" t="s">
        <v>11</v>
      </c>
      <c r="C80" s="40" t="s">
        <v>1732</v>
      </c>
      <c r="D80" s="415" t="s">
        <v>1904</v>
      </c>
      <c r="E80" s="151" t="s">
        <v>1905</v>
      </c>
      <c r="F80" s="45" t="s">
        <v>339</v>
      </c>
      <c r="G80" s="449"/>
      <c r="H80" s="449"/>
      <c r="I80" s="449"/>
      <c r="J80" s="449"/>
      <c r="K80" s="449"/>
      <c r="L80" s="449"/>
      <c r="M80" s="449"/>
      <c r="N80" s="449"/>
      <c r="O80" s="449"/>
      <c r="P80" s="449"/>
      <c r="Q80" s="449"/>
      <c r="R80" s="449"/>
      <c r="S80" s="449"/>
      <c r="T80" s="449"/>
      <c r="U80" s="449"/>
      <c r="V80" s="449"/>
      <c r="W80" s="449"/>
      <c r="X80" s="449"/>
      <c r="Y80" s="449"/>
      <c r="Z80" s="449"/>
      <c r="AA80" s="449"/>
      <c r="AB80" s="449"/>
    </row>
    <row r="81">
      <c r="A81" s="38">
        <v>44780.0</v>
      </c>
      <c r="B81" s="170" t="s">
        <v>11</v>
      </c>
      <c r="C81" s="40" t="s">
        <v>374</v>
      </c>
      <c r="D81" s="463" t="s">
        <v>1906</v>
      </c>
      <c r="E81" s="107" t="s">
        <v>1907</v>
      </c>
      <c r="F81" s="45" t="s">
        <v>726</v>
      </c>
      <c r="G81" s="449"/>
      <c r="H81" s="449"/>
      <c r="I81" s="449"/>
      <c r="J81" s="449"/>
      <c r="K81" s="449"/>
      <c r="L81" s="449"/>
      <c r="M81" s="449"/>
      <c r="N81" s="449"/>
      <c r="O81" s="449"/>
      <c r="P81" s="449"/>
      <c r="Q81" s="449"/>
      <c r="R81" s="449"/>
      <c r="S81" s="449"/>
      <c r="T81" s="449"/>
      <c r="U81" s="449"/>
      <c r="V81" s="449"/>
      <c r="W81" s="449"/>
      <c r="X81" s="449"/>
      <c r="Y81" s="449"/>
      <c r="Z81" s="449"/>
      <c r="AA81" s="449"/>
      <c r="AB81" s="449"/>
    </row>
    <row r="82">
      <c r="A82" s="38">
        <v>44782.0</v>
      </c>
      <c r="B82" s="40" t="s">
        <v>5</v>
      </c>
      <c r="C82" s="40" t="s">
        <v>884</v>
      </c>
      <c r="D82" s="415" t="s">
        <v>1908</v>
      </c>
      <c r="E82" s="151" t="s">
        <v>1909</v>
      </c>
      <c r="F82" s="45" t="s">
        <v>339</v>
      </c>
      <c r="G82" s="449"/>
      <c r="H82" s="449"/>
      <c r="I82" s="449"/>
      <c r="J82" s="449"/>
      <c r="K82" s="449"/>
      <c r="L82" s="449"/>
      <c r="M82" s="449"/>
      <c r="N82" s="449"/>
      <c r="O82" s="449"/>
      <c r="P82" s="449"/>
      <c r="Q82" s="449"/>
      <c r="R82" s="449"/>
      <c r="S82" s="449"/>
      <c r="T82" s="449"/>
      <c r="U82" s="449"/>
      <c r="V82" s="449"/>
      <c r="W82" s="449"/>
      <c r="X82" s="449"/>
      <c r="Y82" s="449"/>
      <c r="Z82" s="449"/>
      <c r="AA82" s="449"/>
      <c r="AB82" s="449"/>
    </row>
    <row r="83">
      <c r="A83" s="38">
        <v>44782.0</v>
      </c>
      <c r="B83" s="40" t="s">
        <v>11</v>
      </c>
      <c r="C83" s="40" t="s">
        <v>71</v>
      </c>
      <c r="D83" s="415" t="s">
        <v>1910</v>
      </c>
      <c r="E83" s="151" t="s">
        <v>1911</v>
      </c>
      <c r="F83" s="45" t="s">
        <v>339</v>
      </c>
      <c r="G83" s="449"/>
      <c r="H83" s="449"/>
      <c r="I83" s="449"/>
      <c r="J83" s="449"/>
      <c r="K83" s="449"/>
      <c r="L83" s="449"/>
      <c r="M83" s="449"/>
      <c r="N83" s="449"/>
      <c r="O83" s="449"/>
      <c r="P83" s="449"/>
      <c r="Q83" s="449"/>
      <c r="R83" s="449"/>
      <c r="S83" s="449"/>
      <c r="T83" s="449"/>
      <c r="U83" s="449"/>
      <c r="V83" s="449"/>
      <c r="W83" s="449"/>
      <c r="X83" s="449"/>
      <c r="Y83" s="449"/>
      <c r="Z83" s="449"/>
      <c r="AA83" s="449"/>
      <c r="AB83" s="449"/>
    </row>
    <row r="84">
      <c r="A84" s="38">
        <v>44782.0</v>
      </c>
      <c r="B84" s="40" t="s">
        <v>5</v>
      </c>
      <c r="C84" s="40" t="s">
        <v>884</v>
      </c>
      <c r="D84" s="415" t="s">
        <v>1912</v>
      </c>
      <c r="E84" s="151" t="s">
        <v>1909</v>
      </c>
      <c r="F84" s="45" t="s">
        <v>339</v>
      </c>
      <c r="G84" s="449"/>
      <c r="H84" s="449"/>
      <c r="I84" s="449"/>
      <c r="J84" s="449"/>
      <c r="K84" s="449"/>
      <c r="L84" s="449"/>
      <c r="M84" s="449"/>
      <c r="N84" s="449"/>
      <c r="O84" s="449"/>
      <c r="P84" s="449"/>
      <c r="Q84" s="449"/>
      <c r="R84" s="449"/>
      <c r="S84" s="449"/>
      <c r="T84" s="449"/>
      <c r="U84" s="449"/>
      <c r="V84" s="449"/>
      <c r="W84" s="449"/>
      <c r="X84" s="449"/>
      <c r="Y84" s="449"/>
      <c r="Z84" s="449"/>
      <c r="AA84" s="449"/>
      <c r="AB84" s="449"/>
    </row>
    <row r="85">
      <c r="A85" s="38">
        <v>44782.0</v>
      </c>
      <c r="B85" s="40" t="s">
        <v>17</v>
      </c>
      <c r="C85" s="40" t="s">
        <v>1913</v>
      </c>
      <c r="D85" s="415" t="s">
        <v>1914</v>
      </c>
      <c r="E85" s="151" t="s">
        <v>1915</v>
      </c>
      <c r="F85" s="45" t="s">
        <v>339</v>
      </c>
      <c r="G85" s="449"/>
      <c r="H85" s="449"/>
      <c r="I85" s="449"/>
      <c r="J85" s="449"/>
      <c r="K85" s="449"/>
      <c r="L85" s="449"/>
      <c r="M85" s="449"/>
      <c r="N85" s="449"/>
      <c r="O85" s="449"/>
      <c r="P85" s="449"/>
      <c r="Q85" s="449"/>
      <c r="R85" s="449"/>
      <c r="S85" s="449"/>
      <c r="T85" s="449"/>
      <c r="U85" s="449"/>
      <c r="V85" s="449"/>
      <c r="W85" s="449"/>
      <c r="X85" s="449"/>
      <c r="Y85" s="449"/>
      <c r="Z85" s="449"/>
      <c r="AA85" s="449"/>
      <c r="AB85" s="449"/>
    </row>
    <row r="86">
      <c r="A86" s="38">
        <v>44782.0</v>
      </c>
      <c r="B86" s="40" t="s">
        <v>17</v>
      </c>
      <c r="C86" s="40" t="s">
        <v>1916</v>
      </c>
      <c r="D86" s="415" t="s">
        <v>1917</v>
      </c>
      <c r="E86" s="151" t="s">
        <v>1918</v>
      </c>
      <c r="F86" s="45" t="s">
        <v>339</v>
      </c>
      <c r="G86" s="449"/>
      <c r="H86" s="449"/>
      <c r="I86" s="449"/>
      <c r="J86" s="449"/>
      <c r="K86" s="449"/>
      <c r="L86" s="449"/>
      <c r="M86" s="449"/>
      <c r="N86" s="449"/>
      <c r="O86" s="449"/>
      <c r="P86" s="449"/>
      <c r="Q86" s="449"/>
      <c r="R86" s="449"/>
      <c r="S86" s="449"/>
      <c r="T86" s="449"/>
      <c r="U86" s="449"/>
      <c r="V86" s="449"/>
      <c r="W86" s="449"/>
      <c r="X86" s="449"/>
      <c r="Y86" s="449"/>
      <c r="Z86" s="449"/>
      <c r="AA86" s="449"/>
      <c r="AB86" s="449"/>
    </row>
    <row r="87">
      <c r="A87" s="38">
        <v>44782.0</v>
      </c>
      <c r="B87" s="40" t="s">
        <v>17</v>
      </c>
      <c r="C87" s="40" t="s">
        <v>1919</v>
      </c>
      <c r="D87" s="415" t="s">
        <v>1920</v>
      </c>
      <c r="E87" s="151" t="s">
        <v>1921</v>
      </c>
      <c r="F87" s="45" t="s">
        <v>339</v>
      </c>
      <c r="G87" s="449"/>
      <c r="H87" s="449"/>
      <c r="I87" s="449"/>
      <c r="J87" s="449"/>
      <c r="K87" s="449"/>
      <c r="L87" s="449"/>
      <c r="M87" s="449"/>
      <c r="N87" s="449"/>
      <c r="O87" s="449"/>
      <c r="P87" s="449"/>
      <c r="Q87" s="449"/>
      <c r="R87" s="449"/>
      <c r="S87" s="449"/>
      <c r="T87" s="449"/>
      <c r="U87" s="449"/>
      <c r="V87" s="449"/>
      <c r="W87" s="449"/>
      <c r="X87" s="449"/>
      <c r="Y87" s="449"/>
      <c r="Z87" s="449"/>
      <c r="AA87" s="449"/>
      <c r="AB87" s="449"/>
    </row>
    <row r="88">
      <c r="A88" s="38">
        <v>44782.0</v>
      </c>
      <c r="B88" s="242" t="s">
        <v>17</v>
      </c>
      <c r="C88" s="242" t="s">
        <v>1922</v>
      </c>
      <c r="D88" s="415" t="s">
        <v>1923</v>
      </c>
      <c r="E88" s="151" t="s">
        <v>1924</v>
      </c>
      <c r="F88" s="45" t="s">
        <v>339</v>
      </c>
      <c r="G88" s="449"/>
      <c r="H88" s="449"/>
      <c r="I88" s="449"/>
      <c r="J88" s="449"/>
      <c r="K88" s="449"/>
      <c r="L88" s="449"/>
      <c r="M88" s="449"/>
      <c r="N88" s="449"/>
      <c r="O88" s="449"/>
      <c r="P88" s="449"/>
      <c r="Q88" s="449"/>
      <c r="R88" s="449"/>
      <c r="S88" s="449"/>
      <c r="T88" s="449"/>
      <c r="U88" s="449"/>
      <c r="V88" s="449"/>
      <c r="W88" s="449"/>
      <c r="X88" s="449"/>
      <c r="Y88" s="449"/>
      <c r="Z88" s="449"/>
      <c r="AA88" s="449"/>
      <c r="AB88" s="449"/>
    </row>
    <row r="89">
      <c r="A89" s="38">
        <v>44783.0</v>
      </c>
      <c r="B89" s="40" t="s">
        <v>5</v>
      </c>
      <c r="C89" s="40" t="s">
        <v>884</v>
      </c>
      <c r="D89" s="415" t="s">
        <v>1925</v>
      </c>
      <c r="E89" s="151" t="s">
        <v>1926</v>
      </c>
      <c r="F89" s="45" t="s">
        <v>339</v>
      </c>
      <c r="G89" s="449"/>
      <c r="H89" s="449"/>
      <c r="I89" s="449"/>
      <c r="J89" s="449"/>
      <c r="K89" s="449"/>
      <c r="L89" s="449"/>
      <c r="M89" s="449"/>
      <c r="N89" s="449"/>
      <c r="O89" s="449"/>
      <c r="P89" s="449"/>
      <c r="Q89" s="449"/>
      <c r="R89" s="449"/>
      <c r="S89" s="449"/>
      <c r="T89" s="449"/>
      <c r="U89" s="449"/>
      <c r="V89" s="449"/>
      <c r="W89" s="449"/>
      <c r="X89" s="449"/>
      <c r="Y89" s="449"/>
      <c r="Z89" s="449"/>
      <c r="AA89" s="449"/>
      <c r="AB89" s="449"/>
    </row>
    <row r="90">
      <c r="A90" s="38">
        <v>44783.0</v>
      </c>
      <c r="B90" s="40" t="s">
        <v>11</v>
      </c>
      <c r="C90" s="40" t="s">
        <v>374</v>
      </c>
      <c r="D90" s="415" t="s">
        <v>1927</v>
      </c>
      <c r="E90" s="151" t="s">
        <v>1928</v>
      </c>
      <c r="F90" s="45" t="s">
        <v>339</v>
      </c>
      <c r="G90" s="449"/>
      <c r="H90" s="449"/>
      <c r="I90" s="449"/>
      <c r="J90" s="464" t="s">
        <v>1929</v>
      </c>
      <c r="K90" s="449"/>
      <c r="L90" s="449"/>
      <c r="M90" s="449"/>
      <c r="N90" s="449"/>
      <c r="O90" s="449"/>
      <c r="P90" s="449"/>
      <c r="Q90" s="449"/>
      <c r="R90" s="449"/>
      <c r="S90" s="449"/>
      <c r="T90" s="449"/>
      <c r="U90" s="449"/>
      <c r="V90" s="449"/>
      <c r="W90" s="449"/>
      <c r="X90" s="449"/>
      <c r="Y90" s="449"/>
      <c r="Z90" s="449"/>
      <c r="AA90" s="449"/>
      <c r="AB90" s="449"/>
    </row>
    <row r="91">
      <c r="A91" s="38">
        <v>44783.0</v>
      </c>
      <c r="B91" s="40" t="s">
        <v>17</v>
      </c>
      <c r="C91" s="40" t="s">
        <v>1930</v>
      </c>
      <c r="D91" s="415" t="s">
        <v>1923</v>
      </c>
      <c r="E91" s="151" t="s">
        <v>1931</v>
      </c>
      <c r="F91" s="45" t="s">
        <v>339</v>
      </c>
      <c r="G91" s="449"/>
      <c r="H91" s="449"/>
      <c r="I91" s="449"/>
      <c r="J91" s="449"/>
      <c r="K91" s="449"/>
      <c r="L91" s="449"/>
      <c r="M91" s="449"/>
      <c r="N91" s="449"/>
      <c r="O91" s="449"/>
      <c r="P91" s="449"/>
      <c r="Q91" s="449"/>
      <c r="R91" s="449"/>
      <c r="S91" s="449"/>
      <c r="T91" s="449"/>
      <c r="U91" s="449"/>
      <c r="V91" s="449"/>
      <c r="W91" s="449"/>
      <c r="X91" s="449"/>
      <c r="Y91" s="449"/>
      <c r="Z91" s="449"/>
      <c r="AA91" s="449"/>
      <c r="AB91" s="449"/>
    </row>
    <row r="92">
      <c r="A92" s="38">
        <v>44783.0</v>
      </c>
      <c r="B92" s="40" t="s">
        <v>11</v>
      </c>
      <c r="C92" s="40" t="s">
        <v>1067</v>
      </c>
      <c r="D92" s="415" t="s">
        <v>1932</v>
      </c>
      <c r="E92" s="151" t="s">
        <v>1933</v>
      </c>
      <c r="F92" s="45" t="s">
        <v>339</v>
      </c>
      <c r="G92" s="449"/>
      <c r="H92" s="449"/>
      <c r="I92" s="449"/>
      <c r="J92" s="449"/>
      <c r="K92" s="449"/>
      <c r="L92" s="449"/>
      <c r="M92" s="449"/>
      <c r="N92" s="449"/>
      <c r="O92" s="449"/>
      <c r="P92" s="449"/>
      <c r="Q92" s="449"/>
      <c r="R92" s="449"/>
      <c r="S92" s="449"/>
      <c r="T92" s="449"/>
      <c r="U92" s="449"/>
      <c r="V92" s="449"/>
      <c r="W92" s="449"/>
      <c r="X92" s="449"/>
      <c r="Y92" s="449"/>
      <c r="Z92" s="449"/>
      <c r="AA92" s="449"/>
      <c r="AB92" s="449"/>
    </row>
    <row r="93">
      <c r="A93" s="38">
        <v>44784.0</v>
      </c>
      <c r="B93" s="40" t="s">
        <v>17</v>
      </c>
      <c r="C93" s="40" t="s">
        <v>1934</v>
      </c>
      <c r="D93" s="415" t="s">
        <v>1935</v>
      </c>
      <c r="E93" s="151" t="s">
        <v>1936</v>
      </c>
      <c r="F93" s="45" t="s">
        <v>726</v>
      </c>
      <c r="G93" s="449"/>
      <c r="H93" s="449"/>
      <c r="I93" s="449"/>
      <c r="J93" s="449"/>
      <c r="K93" s="449"/>
      <c r="L93" s="449"/>
      <c r="M93" s="449"/>
      <c r="N93" s="449"/>
      <c r="O93" s="449"/>
      <c r="P93" s="449"/>
      <c r="Q93" s="449"/>
      <c r="R93" s="449"/>
      <c r="S93" s="449"/>
      <c r="T93" s="449"/>
      <c r="U93" s="449"/>
      <c r="V93" s="449"/>
      <c r="W93" s="449"/>
      <c r="X93" s="449"/>
      <c r="Y93" s="449"/>
      <c r="Z93" s="449"/>
      <c r="AA93" s="449"/>
      <c r="AB93" s="449"/>
    </row>
    <row r="94">
      <c r="A94" s="38">
        <v>44785.0</v>
      </c>
      <c r="B94" s="40" t="s">
        <v>11</v>
      </c>
      <c r="C94" s="40" t="s">
        <v>137</v>
      </c>
      <c r="D94" s="415" t="s">
        <v>1937</v>
      </c>
      <c r="E94" s="151" t="s">
        <v>1938</v>
      </c>
      <c r="F94" s="45" t="s">
        <v>339</v>
      </c>
      <c r="G94" s="449"/>
      <c r="H94" s="449"/>
      <c r="I94" s="449"/>
      <c r="J94" s="449"/>
      <c r="K94" s="449"/>
      <c r="L94" s="449"/>
      <c r="M94" s="449"/>
      <c r="N94" s="449"/>
      <c r="O94" s="449"/>
      <c r="P94" s="449"/>
      <c r="Q94" s="449"/>
      <c r="R94" s="449"/>
      <c r="S94" s="449"/>
      <c r="T94" s="449"/>
      <c r="U94" s="449"/>
      <c r="V94" s="449"/>
      <c r="W94" s="449"/>
      <c r="X94" s="449"/>
      <c r="Y94" s="449"/>
      <c r="Z94" s="449"/>
      <c r="AA94" s="449"/>
      <c r="AB94" s="449"/>
    </row>
    <row r="95">
      <c r="A95" s="38">
        <v>44785.0</v>
      </c>
      <c r="B95" s="40" t="s">
        <v>17</v>
      </c>
      <c r="C95" s="40" t="s">
        <v>1939</v>
      </c>
      <c r="D95" s="415" t="s">
        <v>1940</v>
      </c>
      <c r="E95" s="410" t="s">
        <v>1941</v>
      </c>
      <c r="F95" s="45" t="s">
        <v>339</v>
      </c>
      <c r="G95" s="449"/>
      <c r="H95" s="449"/>
      <c r="I95" s="449"/>
      <c r="J95" s="449"/>
      <c r="K95" s="449"/>
      <c r="L95" s="449"/>
      <c r="M95" s="449"/>
      <c r="N95" s="449"/>
      <c r="O95" s="449"/>
      <c r="P95" s="449"/>
      <c r="Q95" s="449"/>
      <c r="R95" s="449"/>
      <c r="S95" s="449"/>
      <c r="T95" s="449"/>
      <c r="U95" s="449"/>
      <c r="V95" s="449"/>
      <c r="W95" s="449"/>
      <c r="X95" s="449"/>
      <c r="Y95" s="449"/>
      <c r="Z95" s="449"/>
      <c r="AA95" s="449"/>
      <c r="AB95" s="449"/>
    </row>
    <row r="96">
      <c r="A96" s="38">
        <v>44787.0</v>
      </c>
      <c r="B96" s="40" t="s">
        <v>11</v>
      </c>
      <c r="C96" s="40" t="s">
        <v>1942</v>
      </c>
      <c r="D96" s="415" t="s">
        <v>1943</v>
      </c>
      <c r="E96" s="151" t="s">
        <v>1944</v>
      </c>
      <c r="F96" s="45" t="s">
        <v>339</v>
      </c>
      <c r="G96" s="449"/>
      <c r="H96" s="449"/>
      <c r="I96" s="449"/>
      <c r="J96" s="449"/>
      <c r="K96" s="449"/>
      <c r="L96" s="449"/>
      <c r="M96" s="449"/>
      <c r="N96" s="449"/>
      <c r="O96" s="449"/>
      <c r="P96" s="449"/>
      <c r="Q96" s="449"/>
      <c r="R96" s="449"/>
      <c r="S96" s="449"/>
      <c r="T96" s="449"/>
      <c r="U96" s="449"/>
      <c r="V96" s="449"/>
      <c r="W96" s="449"/>
      <c r="X96" s="449"/>
      <c r="Y96" s="449"/>
      <c r="Z96" s="449"/>
      <c r="AA96" s="449"/>
      <c r="AB96" s="449"/>
    </row>
    <row r="97">
      <c r="A97" s="38">
        <v>44788.0</v>
      </c>
      <c r="B97" s="40" t="s">
        <v>11</v>
      </c>
      <c r="C97" s="40" t="s">
        <v>71</v>
      </c>
      <c r="D97" s="415" t="s">
        <v>1943</v>
      </c>
      <c r="E97" s="151" t="s">
        <v>1945</v>
      </c>
      <c r="F97" s="45" t="s">
        <v>339</v>
      </c>
      <c r="G97" s="449"/>
      <c r="H97" s="449"/>
      <c r="I97" s="449"/>
      <c r="J97" s="449"/>
      <c r="K97" s="449"/>
      <c r="L97" s="449"/>
      <c r="M97" s="449"/>
      <c r="N97" s="449"/>
      <c r="O97" s="449"/>
      <c r="P97" s="449"/>
      <c r="Q97" s="449"/>
      <c r="R97" s="449"/>
      <c r="S97" s="449"/>
      <c r="T97" s="449"/>
      <c r="U97" s="449"/>
      <c r="V97" s="449"/>
      <c r="W97" s="449"/>
      <c r="X97" s="449"/>
      <c r="Y97" s="449"/>
      <c r="Z97" s="449"/>
      <c r="AA97" s="449"/>
      <c r="AB97" s="449"/>
    </row>
    <row r="98">
      <c r="A98" s="38">
        <v>44789.0</v>
      </c>
      <c r="B98" s="40" t="s">
        <v>11</v>
      </c>
      <c r="C98" s="40" t="s">
        <v>374</v>
      </c>
      <c r="D98" s="415" t="s">
        <v>1946</v>
      </c>
      <c r="E98" s="151" t="s">
        <v>1947</v>
      </c>
      <c r="F98" s="45" t="s">
        <v>1948</v>
      </c>
      <c r="G98" s="449"/>
      <c r="H98" s="449"/>
      <c r="I98" s="449"/>
      <c r="J98" s="449"/>
      <c r="K98" s="449"/>
      <c r="L98" s="449"/>
      <c r="M98" s="449"/>
      <c r="N98" s="449"/>
      <c r="O98" s="449"/>
      <c r="P98" s="449"/>
      <c r="Q98" s="449"/>
      <c r="R98" s="449"/>
      <c r="S98" s="449"/>
      <c r="T98" s="449"/>
      <c r="U98" s="449"/>
      <c r="V98" s="449"/>
      <c r="W98" s="449"/>
      <c r="X98" s="449"/>
      <c r="Y98" s="449"/>
      <c r="Z98" s="449"/>
      <c r="AA98" s="449"/>
      <c r="AB98" s="449"/>
    </row>
    <row r="99">
      <c r="A99" s="38">
        <v>44789.0</v>
      </c>
      <c r="B99" s="242" t="s">
        <v>17</v>
      </c>
      <c r="C99" s="242" t="s">
        <v>1949</v>
      </c>
      <c r="D99" s="415" t="s">
        <v>1950</v>
      </c>
      <c r="E99" s="410" t="s">
        <v>1951</v>
      </c>
      <c r="F99" s="45" t="s">
        <v>339</v>
      </c>
      <c r="G99" s="449"/>
      <c r="H99" s="449"/>
      <c r="I99" s="449"/>
      <c r="J99" s="449"/>
      <c r="K99" s="449"/>
      <c r="L99" s="449"/>
      <c r="M99" s="449"/>
      <c r="N99" s="449"/>
      <c r="O99" s="449"/>
      <c r="P99" s="449"/>
      <c r="Q99" s="449"/>
      <c r="R99" s="449"/>
      <c r="S99" s="449"/>
      <c r="T99" s="449"/>
      <c r="U99" s="449"/>
      <c r="V99" s="449"/>
      <c r="W99" s="449"/>
      <c r="X99" s="449"/>
      <c r="Y99" s="449"/>
      <c r="Z99" s="449"/>
      <c r="AA99" s="449"/>
      <c r="AB99" s="449"/>
    </row>
    <row r="100">
      <c r="A100" s="38">
        <v>44789.0</v>
      </c>
      <c r="B100" s="40" t="s">
        <v>17</v>
      </c>
      <c r="C100" s="40" t="s">
        <v>1952</v>
      </c>
      <c r="D100" s="415" t="s">
        <v>1953</v>
      </c>
      <c r="E100" s="151" t="s">
        <v>1954</v>
      </c>
      <c r="F100" s="45" t="s">
        <v>339</v>
      </c>
      <c r="G100" s="449"/>
      <c r="H100" s="449"/>
      <c r="I100" s="449"/>
      <c r="J100" s="449"/>
      <c r="K100" s="449"/>
      <c r="L100" s="449"/>
      <c r="M100" s="449"/>
      <c r="N100" s="449"/>
      <c r="O100" s="449"/>
      <c r="P100" s="449"/>
      <c r="Q100" s="449"/>
      <c r="R100" s="449"/>
      <c r="S100" s="449"/>
      <c r="T100" s="449"/>
      <c r="U100" s="449"/>
      <c r="V100" s="449"/>
      <c r="W100" s="449"/>
      <c r="X100" s="449"/>
      <c r="Y100" s="449"/>
      <c r="Z100" s="449"/>
      <c r="AA100" s="449"/>
      <c r="AB100" s="449"/>
    </row>
    <row r="101">
      <c r="A101" s="38">
        <v>44790.0</v>
      </c>
      <c r="B101" s="40" t="s">
        <v>11</v>
      </c>
      <c r="C101" s="40" t="s">
        <v>71</v>
      </c>
      <c r="D101" s="415" t="s">
        <v>1955</v>
      </c>
      <c r="E101" s="151" t="s">
        <v>1956</v>
      </c>
      <c r="F101" s="45" t="s">
        <v>339</v>
      </c>
      <c r="G101" s="449"/>
      <c r="H101" s="449"/>
      <c r="I101" s="449"/>
      <c r="J101" s="449"/>
      <c r="K101" s="449"/>
      <c r="L101" s="449"/>
      <c r="M101" s="449"/>
      <c r="N101" s="449"/>
      <c r="O101" s="449"/>
      <c r="P101" s="449"/>
      <c r="Q101" s="449"/>
      <c r="R101" s="449"/>
      <c r="S101" s="449"/>
      <c r="T101" s="449"/>
      <c r="U101" s="449"/>
      <c r="V101" s="449"/>
      <c r="W101" s="449"/>
      <c r="X101" s="449"/>
      <c r="Y101" s="449"/>
      <c r="Z101" s="449"/>
      <c r="AA101" s="449"/>
      <c r="AB101" s="449"/>
    </row>
    <row r="102">
      <c r="A102" s="38">
        <v>44790.0</v>
      </c>
      <c r="B102" s="40" t="s">
        <v>17</v>
      </c>
      <c r="C102" s="40" t="s">
        <v>1957</v>
      </c>
      <c r="D102" s="415" t="s">
        <v>1958</v>
      </c>
      <c r="E102" s="151" t="s">
        <v>1959</v>
      </c>
      <c r="F102" s="45" t="s">
        <v>339</v>
      </c>
      <c r="G102" s="449"/>
      <c r="H102" s="449"/>
      <c r="I102" s="449"/>
      <c r="J102" s="449"/>
      <c r="K102" s="449"/>
      <c r="L102" s="449"/>
      <c r="M102" s="449"/>
      <c r="N102" s="449"/>
      <c r="O102" s="449"/>
      <c r="P102" s="449"/>
      <c r="Q102" s="449"/>
      <c r="R102" s="449"/>
      <c r="S102" s="449"/>
      <c r="T102" s="449"/>
      <c r="U102" s="449"/>
      <c r="V102" s="449"/>
      <c r="W102" s="449"/>
      <c r="X102" s="449"/>
      <c r="Y102" s="449"/>
      <c r="Z102" s="449"/>
      <c r="AA102" s="449"/>
      <c r="AB102" s="449"/>
    </row>
    <row r="103">
      <c r="A103" s="38">
        <v>44796.0</v>
      </c>
      <c r="B103" s="40" t="s">
        <v>17</v>
      </c>
      <c r="C103" s="40" t="s">
        <v>1960</v>
      </c>
      <c r="D103" s="415" t="s">
        <v>1961</v>
      </c>
      <c r="E103" s="151" t="s">
        <v>1962</v>
      </c>
      <c r="F103" s="45" t="s">
        <v>339</v>
      </c>
      <c r="G103" s="449"/>
      <c r="H103" s="449"/>
      <c r="I103" s="449"/>
      <c r="J103" s="449"/>
      <c r="K103" s="449"/>
      <c r="L103" s="449"/>
      <c r="M103" s="449"/>
      <c r="N103" s="449"/>
      <c r="O103" s="449"/>
      <c r="P103" s="449"/>
      <c r="Q103" s="449"/>
      <c r="R103" s="449"/>
      <c r="S103" s="449"/>
      <c r="T103" s="449"/>
      <c r="U103" s="449"/>
      <c r="V103" s="449"/>
      <c r="W103" s="449"/>
      <c r="X103" s="449"/>
      <c r="Y103" s="449"/>
      <c r="Z103" s="449"/>
      <c r="AA103" s="449"/>
      <c r="AB103" s="449"/>
    </row>
    <row r="104">
      <c r="A104" s="38">
        <v>44799.0</v>
      </c>
      <c r="B104" s="40" t="s">
        <v>11</v>
      </c>
      <c r="C104" s="40" t="s">
        <v>1963</v>
      </c>
      <c r="D104" s="433" t="s">
        <v>1964</v>
      </c>
      <c r="E104" s="151" t="s">
        <v>1965</v>
      </c>
      <c r="F104" s="45" t="s">
        <v>339</v>
      </c>
      <c r="G104" s="449"/>
      <c r="H104" s="449"/>
      <c r="I104" s="449"/>
      <c r="J104" s="449"/>
      <c r="K104" s="449"/>
      <c r="L104" s="449"/>
      <c r="M104" s="449"/>
      <c r="N104" s="449"/>
      <c r="O104" s="449"/>
      <c r="P104" s="449"/>
      <c r="Q104" s="449"/>
      <c r="R104" s="449"/>
      <c r="S104" s="449"/>
      <c r="T104" s="449"/>
      <c r="U104" s="449"/>
      <c r="V104" s="449"/>
      <c r="W104" s="449"/>
      <c r="X104" s="449"/>
      <c r="Y104" s="449"/>
      <c r="Z104" s="449"/>
      <c r="AA104" s="449"/>
      <c r="AB104" s="449"/>
    </row>
    <row r="105">
      <c r="A105" s="38">
        <v>44799.0</v>
      </c>
      <c r="B105" s="172" t="s">
        <v>5</v>
      </c>
      <c r="C105" s="172" t="s">
        <v>1966</v>
      </c>
      <c r="D105" s="433" t="s">
        <v>1967</v>
      </c>
      <c r="E105" s="151" t="s">
        <v>1968</v>
      </c>
      <c r="F105" s="45" t="s">
        <v>339</v>
      </c>
      <c r="G105" s="449"/>
      <c r="H105" s="449"/>
      <c r="I105" s="449"/>
      <c r="J105" s="449"/>
      <c r="K105" s="449"/>
      <c r="L105" s="449"/>
      <c r="M105" s="449"/>
      <c r="N105" s="449"/>
      <c r="O105" s="449"/>
      <c r="P105" s="449"/>
      <c r="Q105" s="449"/>
      <c r="R105" s="449"/>
      <c r="S105" s="449"/>
      <c r="T105" s="449"/>
      <c r="U105" s="449"/>
      <c r="V105" s="449"/>
      <c r="W105" s="449"/>
      <c r="X105" s="449"/>
      <c r="Y105" s="449"/>
      <c r="Z105" s="449"/>
      <c r="AA105" s="449"/>
      <c r="AB105" s="449"/>
    </row>
    <row r="106">
      <c r="A106" s="38">
        <v>44799.0</v>
      </c>
      <c r="B106" s="172" t="s">
        <v>5</v>
      </c>
      <c r="C106" s="172" t="s">
        <v>1969</v>
      </c>
      <c r="D106" s="415" t="s">
        <v>1967</v>
      </c>
      <c r="E106" s="410" t="s">
        <v>1970</v>
      </c>
      <c r="F106" s="45" t="s">
        <v>339</v>
      </c>
      <c r="G106" s="449"/>
      <c r="H106" s="449"/>
      <c r="I106" s="449"/>
      <c r="J106" s="449"/>
      <c r="K106" s="449"/>
      <c r="L106" s="449"/>
      <c r="M106" s="449"/>
      <c r="N106" s="449"/>
      <c r="O106" s="449"/>
      <c r="P106" s="449"/>
      <c r="Q106" s="449"/>
      <c r="R106" s="449"/>
      <c r="S106" s="449"/>
      <c r="T106" s="449"/>
      <c r="U106" s="449"/>
      <c r="V106" s="449"/>
      <c r="W106" s="449"/>
      <c r="X106" s="449"/>
      <c r="Y106" s="449"/>
      <c r="Z106" s="449"/>
      <c r="AA106" s="449"/>
      <c r="AB106" s="449"/>
    </row>
    <row r="107">
      <c r="A107" s="38">
        <v>44799.0</v>
      </c>
      <c r="B107" s="172" t="s">
        <v>5</v>
      </c>
      <c r="C107" s="172" t="s">
        <v>1971</v>
      </c>
      <c r="D107" s="415" t="s">
        <v>1967</v>
      </c>
      <c r="E107" s="410" t="s">
        <v>1972</v>
      </c>
      <c r="F107" s="45" t="s">
        <v>339</v>
      </c>
      <c r="G107" s="449"/>
      <c r="H107" s="449"/>
      <c r="I107" s="449"/>
      <c r="J107" s="449"/>
      <c r="K107" s="449"/>
      <c r="L107" s="449"/>
      <c r="M107" s="449"/>
      <c r="N107" s="449"/>
      <c r="O107" s="449"/>
      <c r="P107" s="449"/>
      <c r="Q107" s="449"/>
      <c r="R107" s="449"/>
      <c r="S107" s="449"/>
      <c r="T107" s="449"/>
      <c r="U107" s="449"/>
      <c r="V107" s="449"/>
      <c r="W107" s="449"/>
      <c r="X107" s="449"/>
      <c r="Y107" s="449"/>
      <c r="Z107" s="449"/>
      <c r="AA107" s="449"/>
      <c r="AB107" s="449"/>
    </row>
    <row r="108">
      <c r="A108" s="38">
        <v>44799.0</v>
      </c>
      <c r="B108" s="172" t="s">
        <v>5</v>
      </c>
      <c r="C108" s="172" t="s">
        <v>1973</v>
      </c>
      <c r="D108" s="415" t="s">
        <v>1967</v>
      </c>
      <c r="E108" s="410" t="s">
        <v>1974</v>
      </c>
      <c r="F108" s="45" t="s">
        <v>339</v>
      </c>
      <c r="G108" s="449"/>
      <c r="H108" s="449"/>
      <c r="I108" s="449"/>
      <c r="J108" s="449"/>
      <c r="K108" s="449"/>
      <c r="L108" s="449"/>
      <c r="M108" s="449"/>
      <c r="N108" s="449"/>
      <c r="O108" s="449"/>
      <c r="P108" s="449"/>
      <c r="Q108" s="449"/>
      <c r="R108" s="449"/>
      <c r="S108" s="449"/>
      <c r="T108" s="449"/>
      <c r="U108" s="449"/>
      <c r="V108" s="449"/>
      <c r="W108" s="449"/>
      <c r="X108" s="449"/>
      <c r="Y108" s="449"/>
      <c r="Z108" s="449"/>
      <c r="AA108" s="449"/>
      <c r="AB108" s="449"/>
    </row>
    <row r="109">
      <c r="A109" s="38">
        <v>44799.0</v>
      </c>
      <c r="B109" s="172" t="s">
        <v>5</v>
      </c>
      <c r="C109" s="172" t="s">
        <v>1975</v>
      </c>
      <c r="D109" s="415" t="s">
        <v>1967</v>
      </c>
      <c r="E109" s="410" t="s">
        <v>1976</v>
      </c>
      <c r="F109" s="45" t="s">
        <v>339</v>
      </c>
      <c r="G109" s="449"/>
      <c r="H109" s="449"/>
      <c r="I109" s="449"/>
      <c r="J109" s="449"/>
      <c r="K109" s="449"/>
      <c r="L109" s="449"/>
      <c r="M109" s="449"/>
      <c r="N109" s="449"/>
      <c r="O109" s="449"/>
      <c r="P109" s="449"/>
      <c r="Q109" s="449"/>
      <c r="R109" s="449"/>
      <c r="S109" s="449"/>
      <c r="T109" s="449"/>
      <c r="U109" s="449"/>
      <c r="V109" s="449"/>
      <c r="W109" s="449"/>
      <c r="X109" s="449"/>
      <c r="Y109" s="449"/>
      <c r="Z109" s="449"/>
      <c r="AA109" s="449"/>
      <c r="AB109" s="449"/>
    </row>
    <row r="110">
      <c r="A110" s="38">
        <v>44799.0</v>
      </c>
      <c r="B110" s="172" t="s">
        <v>5</v>
      </c>
      <c r="C110" s="172" t="s">
        <v>1977</v>
      </c>
      <c r="D110" s="415" t="s">
        <v>1967</v>
      </c>
      <c r="E110" s="411" t="s">
        <v>1978</v>
      </c>
      <c r="F110" s="45" t="s">
        <v>339</v>
      </c>
      <c r="G110" s="449"/>
      <c r="H110" s="449"/>
      <c r="I110" s="449"/>
      <c r="J110" s="449"/>
      <c r="K110" s="449"/>
      <c r="L110" s="449"/>
      <c r="M110" s="449"/>
      <c r="N110" s="449"/>
      <c r="O110" s="449"/>
      <c r="P110" s="449"/>
      <c r="Q110" s="449"/>
      <c r="R110" s="449"/>
      <c r="S110" s="449"/>
      <c r="T110" s="449"/>
      <c r="U110" s="449"/>
      <c r="V110" s="449"/>
      <c r="W110" s="449"/>
      <c r="X110" s="449"/>
      <c r="Y110" s="449"/>
      <c r="Z110" s="449"/>
      <c r="AA110" s="449"/>
      <c r="AB110" s="449"/>
    </row>
    <row r="111">
      <c r="A111" s="38">
        <v>44800.0</v>
      </c>
      <c r="B111" s="40" t="s">
        <v>17</v>
      </c>
      <c r="C111" s="40" t="s">
        <v>1979</v>
      </c>
      <c r="D111" s="415" t="s">
        <v>1980</v>
      </c>
      <c r="E111" s="151" t="s">
        <v>1981</v>
      </c>
      <c r="F111" s="45" t="s">
        <v>339</v>
      </c>
      <c r="G111" s="449"/>
      <c r="H111" s="449"/>
      <c r="I111" s="449"/>
      <c r="J111" s="449"/>
      <c r="K111" s="449"/>
      <c r="L111" s="449"/>
      <c r="M111" s="449"/>
      <c r="N111" s="449"/>
      <c r="O111" s="449"/>
      <c r="P111" s="449"/>
      <c r="Q111" s="449"/>
      <c r="R111" s="449"/>
      <c r="S111" s="449"/>
      <c r="T111" s="449"/>
      <c r="U111" s="449"/>
      <c r="V111" s="449"/>
      <c r="W111" s="449"/>
      <c r="X111" s="449"/>
      <c r="Y111" s="449"/>
      <c r="Z111" s="449"/>
      <c r="AA111" s="449"/>
      <c r="AB111" s="449"/>
    </row>
    <row r="112">
      <c r="A112" s="38">
        <v>44800.0</v>
      </c>
      <c r="B112" s="40" t="s">
        <v>17</v>
      </c>
      <c r="C112" s="40" t="s">
        <v>1982</v>
      </c>
      <c r="D112" s="415" t="s">
        <v>1983</v>
      </c>
      <c r="E112" s="151" t="s">
        <v>1984</v>
      </c>
      <c r="F112" s="45" t="s">
        <v>339</v>
      </c>
      <c r="G112" s="449"/>
      <c r="H112" s="449"/>
      <c r="I112" s="449"/>
      <c r="J112" s="449"/>
      <c r="K112" s="449"/>
      <c r="L112" s="449"/>
      <c r="M112" s="449"/>
      <c r="N112" s="449"/>
      <c r="O112" s="449"/>
      <c r="P112" s="449"/>
      <c r="Q112" s="449"/>
      <c r="R112" s="449"/>
      <c r="S112" s="449"/>
      <c r="T112" s="449"/>
      <c r="U112" s="449"/>
      <c r="V112" s="449"/>
      <c r="W112" s="449"/>
      <c r="X112" s="449"/>
      <c r="Y112" s="449"/>
      <c r="Z112" s="449"/>
      <c r="AA112" s="449"/>
      <c r="AB112" s="449"/>
    </row>
    <row r="113">
      <c r="A113" s="38">
        <v>44800.0</v>
      </c>
      <c r="B113" s="422" t="s">
        <v>17</v>
      </c>
      <c r="C113" s="422" t="s">
        <v>1985</v>
      </c>
      <c r="D113" s="423" t="s">
        <v>1986</v>
      </c>
      <c r="E113" s="408" t="s">
        <v>1987</v>
      </c>
      <c r="F113" s="298" t="s">
        <v>339</v>
      </c>
      <c r="G113" s="449"/>
      <c r="H113" s="449"/>
      <c r="I113" s="449"/>
      <c r="J113" s="449"/>
      <c r="K113" s="449"/>
      <c r="L113" s="449"/>
      <c r="M113" s="449"/>
      <c r="N113" s="449"/>
      <c r="O113" s="449"/>
      <c r="P113" s="449"/>
      <c r="Q113" s="449"/>
      <c r="R113" s="449"/>
      <c r="S113" s="449"/>
      <c r="T113" s="449"/>
      <c r="U113" s="449"/>
      <c r="V113" s="449"/>
      <c r="W113" s="449"/>
      <c r="X113" s="449"/>
      <c r="Y113" s="449"/>
      <c r="Z113" s="449"/>
      <c r="AA113" s="449"/>
      <c r="AB113" s="449"/>
    </row>
    <row r="114">
      <c r="A114" s="38">
        <v>44805.0</v>
      </c>
      <c r="B114" s="217" t="s">
        <v>17</v>
      </c>
      <c r="C114" s="170" t="s">
        <v>451</v>
      </c>
      <c r="D114" s="465" t="s">
        <v>1988</v>
      </c>
      <c r="E114" s="409" t="s">
        <v>1989</v>
      </c>
      <c r="F114" s="45" t="s">
        <v>339</v>
      </c>
      <c r="G114" s="449"/>
      <c r="H114" s="449"/>
      <c r="I114" s="449"/>
      <c r="J114" s="449"/>
      <c r="K114" s="449"/>
      <c r="L114" s="449"/>
      <c r="M114" s="449"/>
      <c r="N114" s="449"/>
      <c r="O114" s="449"/>
      <c r="P114" s="449"/>
      <c r="Q114" s="449"/>
      <c r="R114" s="449"/>
      <c r="S114" s="449"/>
      <c r="T114" s="449"/>
      <c r="U114" s="449"/>
      <c r="V114" s="449"/>
      <c r="W114" s="449"/>
      <c r="X114" s="449"/>
      <c r="Y114" s="449"/>
      <c r="Z114" s="449"/>
      <c r="AA114" s="449"/>
      <c r="AB114" s="449"/>
    </row>
    <row r="115">
      <c r="A115" s="38">
        <v>44805.0</v>
      </c>
      <c r="B115" s="226" t="s">
        <v>17</v>
      </c>
      <c r="C115" s="40" t="s">
        <v>1990</v>
      </c>
      <c r="D115" s="433" t="s">
        <v>1991</v>
      </c>
      <c r="E115" s="151" t="s">
        <v>1992</v>
      </c>
      <c r="F115" s="45" t="s">
        <v>339</v>
      </c>
      <c r="G115" s="449"/>
      <c r="H115" s="449"/>
      <c r="I115" s="449"/>
      <c r="J115" s="449"/>
      <c r="K115" s="449"/>
      <c r="L115" s="449"/>
      <c r="M115" s="449"/>
      <c r="N115" s="449"/>
      <c r="O115" s="449"/>
      <c r="P115" s="449"/>
      <c r="Q115" s="449"/>
      <c r="R115" s="449"/>
      <c r="S115" s="449"/>
      <c r="T115" s="449"/>
      <c r="U115" s="449"/>
      <c r="V115" s="449"/>
      <c r="W115" s="449"/>
      <c r="X115" s="449"/>
      <c r="Y115" s="449"/>
      <c r="Z115" s="449"/>
      <c r="AA115" s="449"/>
      <c r="AB115" s="449"/>
    </row>
    <row r="116">
      <c r="A116" s="38">
        <v>44810.0</v>
      </c>
      <c r="B116" s="226" t="s">
        <v>11</v>
      </c>
      <c r="C116" s="226" t="s">
        <v>374</v>
      </c>
      <c r="D116" s="433" t="s">
        <v>1993</v>
      </c>
      <c r="E116" s="406" t="s">
        <v>1994</v>
      </c>
      <c r="F116" s="45" t="s">
        <v>339</v>
      </c>
      <c r="G116" s="449"/>
      <c r="H116" s="449"/>
      <c r="I116" s="449"/>
      <c r="J116" s="449"/>
      <c r="K116" s="449"/>
      <c r="L116" s="449"/>
      <c r="M116" s="449"/>
      <c r="N116" s="449"/>
      <c r="O116" s="449"/>
      <c r="P116" s="449"/>
      <c r="Q116" s="449"/>
      <c r="R116" s="449"/>
      <c r="S116" s="449"/>
      <c r="T116" s="449"/>
      <c r="U116" s="449"/>
      <c r="V116" s="449"/>
      <c r="W116" s="449"/>
      <c r="X116" s="449"/>
      <c r="Y116" s="449"/>
      <c r="Z116" s="449"/>
      <c r="AA116" s="449"/>
      <c r="AB116" s="449"/>
    </row>
    <row r="117">
      <c r="A117" s="38">
        <v>44810.0</v>
      </c>
      <c r="B117" s="226" t="s">
        <v>17</v>
      </c>
      <c r="C117" s="226" t="s">
        <v>1995</v>
      </c>
      <c r="D117" s="433" t="s">
        <v>1996</v>
      </c>
      <c r="E117" s="156" t="s">
        <v>1997</v>
      </c>
      <c r="F117" s="45" t="s">
        <v>339</v>
      </c>
      <c r="G117" s="449"/>
      <c r="H117" s="449"/>
      <c r="I117" s="449"/>
      <c r="J117" s="449"/>
      <c r="K117" s="449"/>
      <c r="L117" s="449"/>
      <c r="M117" s="449"/>
      <c r="N117" s="449"/>
      <c r="O117" s="449"/>
      <c r="P117" s="449"/>
      <c r="Q117" s="449"/>
      <c r="R117" s="449"/>
      <c r="S117" s="449"/>
      <c r="T117" s="449"/>
      <c r="U117" s="449"/>
      <c r="V117" s="449"/>
      <c r="W117" s="449"/>
      <c r="X117" s="449"/>
      <c r="Y117" s="449"/>
      <c r="Z117" s="449"/>
      <c r="AA117" s="449"/>
      <c r="AB117" s="449"/>
    </row>
    <row r="118">
      <c r="A118" s="38">
        <v>44811.0</v>
      </c>
      <c r="B118" s="226" t="s">
        <v>11</v>
      </c>
      <c r="C118" s="226" t="s">
        <v>58</v>
      </c>
      <c r="D118" s="433" t="s">
        <v>1998</v>
      </c>
      <c r="E118" s="406" t="s">
        <v>1999</v>
      </c>
      <c r="F118" s="45" t="s">
        <v>2000</v>
      </c>
      <c r="G118" s="449"/>
      <c r="H118" s="449"/>
      <c r="I118" s="449"/>
      <c r="J118" s="449"/>
      <c r="K118" s="449"/>
      <c r="L118" s="449"/>
      <c r="M118" s="449"/>
      <c r="N118" s="449"/>
      <c r="O118" s="449"/>
      <c r="P118" s="449"/>
      <c r="Q118" s="449"/>
      <c r="R118" s="449"/>
      <c r="S118" s="449"/>
      <c r="T118" s="449"/>
      <c r="U118" s="449"/>
      <c r="V118" s="449"/>
      <c r="W118" s="449"/>
      <c r="X118" s="449"/>
      <c r="Y118" s="449"/>
      <c r="Z118" s="449"/>
      <c r="AA118" s="449"/>
      <c r="AB118" s="449"/>
    </row>
    <row r="119">
      <c r="A119" s="38">
        <v>44811.0</v>
      </c>
      <c r="B119" s="226" t="s">
        <v>11</v>
      </c>
      <c r="C119" s="226" t="s">
        <v>1897</v>
      </c>
      <c r="D119" s="433" t="s">
        <v>1998</v>
      </c>
      <c r="E119" s="406" t="s">
        <v>2001</v>
      </c>
      <c r="F119" s="45" t="s">
        <v>2002</v>
      </c>
      <c r="G119" s="449"/>
      <c r="H119" s="449"/>
      <c r="I119" s="449"/>
      <c r="J119" s="449"/>
      <c r="K119" s="449"/>
      <c r="L119" s="449"/>
      <c r="M119" s="449"/>
      <c r="N119" s="449"/>
      <c r="O119" s="449"/>
      <c r="P119" s="449"/>
      <c r="Q119" s="449"/>
      <c r="R119" s="449"/>
      <c r="S119" s="449"/>
      <c r="T119" s="449"/>
      <c r="U119" s="449"/>
      <c r="V119" s="449"/>
      <c r="W119" s="449"/>
      <c r="X119" s="449"/>
      <c r="Y119" s="449"/>
      <c r="Z119" s="449"/>
      <c r="AA119" s="449"/>
      <c r="AB119" s="449"/>
    </row>
    <row r="120">
      <c r="A120" s="38">
        <v>44811.0</v>
      </c>
      <c r="B120" s="226" t="s">
        <v>11</v>
      </c>
      <c r="C120" s="226" t="s">
        <v>1104</v>
      </c>
      <c r="D120" s="433" t="s">
        <v>1998</v>
      </c>
      <c r="E120" s="406" t="s">
        <v>2003</v>
      </c>
      <c r="F120" s="45" t="s">
        <v>2002</v>
      </c>
      <c r="G120" s="449"/>
      <c r="H120" s="449"/>
      <c r="I120" s="449"/>
      <c r="J120" s="449"/>
      <c r="K120" s="449"/>
      <c r="L120" s="449"/>
      <c r="M120" s="449"/>
      <c r="N120" s="449"/>
      <c r="O120" s="449"/>
      <c r="P120" s="449"/>
      <c r="Q120" s="449"/>
      <c r="R120" s="449"/>
      <c r="S120" s="449"/>
      <c r="T120" s="449"/>
      <c r="U120" s="449"/>
      <c r="V120" s="449"/>
      <c r="W120" s="449"/>
      <c r="X120" s="449"/>
      <c r="Y120" s="449"/>
      <c r="Z120" s="449"/>
      <c r="AA120" s="449"/>
      <c r="AB120" s="449"/>
    </row>
    <row r="121">
      <c r="A121" s="38">
        <v>44814.0</v>
      </c>
      <c r="B121" s="226" t="s">
        <v>11</v>
      </c>
      <c r="C121" s="226" t="s">
        <v>1729</v>
      </c>
      <c r="D121" s="433" t="s">
        <v>2004</v>
      </c>
      <c r="E121" s="406" t="s">
        <v>2005</v>
      </c>
      <c r="F121" s="45" t="s">
        <v>339</v>
      </c>
      <c r="G121" s="449"/>
      <c r="H121" s="449"/>
      <c r="I121" s="449"/>
      <c r="J121" s="449"/>
      <c r="K121" s="449"/>
      <c r="L121" s="449"/>
      <c r="M121" s="449"/>
      <c r="N121" s="449"/>
      <c r="O121" s="449"/>
      <c r="P121" s="449"/>
      <c r="Q121" s="449"/>
      <c r="R121" s="449"/>
      <c r="S121" s="449"/>
      <c r="T121" s="449"/>
      <c r="U121" s="449"/>
      <c r="V121" s="449"/>
      <c r="W121" s="449"/>
      <c r="X121" s="449"/>
      <c r="Y121" s="449"/>
      <c r="Z121" s="449"/>
      <c r="AA121" s="449"/>
      <c r="AB121" s="449"/>
    </row>
    <row r="122">
      <c r="A122" s="38">
        <v>44816.0</v>
      </c>
      <c r="B122" s="226" t="s">
        <v>11</v>
      </c>
      <c r="C122" s="226" t="s">
        <v>324</v>
      </c>
      <c r="D122" s="433" t="s">
        <v>2006</v>
      </c>
      <c r="E122" s="406" t="s">
        <v>2007</v>
      </c>
      <c r="F122" s="45" t="s">
        <v>726</v>
      </c>
      <c r="G122" s="449"/>
      <c r="H122" s="449"/>
      <c r="I122" s="449"/>
      <c r="J122" s="449"/>
      <c r="K122" s="449"/>
      <c r="L122" s="449"/>
      <c r="M122" s="449"/>
      <c r="N122" s="449"/>
      <c r="O122" s="449"/>
      <c r="P122" s="449"/>
      <c r="Q122" s="449"/>
      <c r="R122" s="449"/>
      <c r="S122" s="449"/>
      <c r="T122" s="449"/>
      <c r="U122" s="449"/>
      <c r="V122" s="449"/>
      <c r="W122" s="449"/>
      <c r="X122" s="449"/>
      <c r="Y122" s="449"/>
      <c r="Z122" s="449"/>
      <c r="AA122" s="449"/>
      <c r="AB122" s="449"/>
    </row>
    <row r="123">
      <c r="A123" s="38">
        <v>44817.0</v>
      </c>
      <c r="B123" s="226" t="s">
        <v>11</v>
      </c>
      <c r="C123" s="226" t="s">
        <v>324</v>
      </c>
      <c r="D123" s="433" t="s">
        <v>2008</v>
      </c>
      <c r="E123" s="406" t="s">
        <v>2009</v>
      </c>
      <c r="F123" s="45" t="s">
        <v>339</v>
      </c>
      <c r="G123" s="449"/>
      <c r="H123" s="449"/>
      <c r="I123" s="449"/>
      <c r="J123" s="449"/>
      <c r="K123" s="449"/>
      <c r="L123" s="449"/>
      <c r="M123" s="449"/>
      <c r="N123" s="449"/>
      <c r="O123" s="449"/>
      <c r="P123" s="449"/>
      <c r="Q123" s="449"/>
      <c r="R123" s="449"/>
      <c r="S123" s="449"/>
      <c r="T123" s="449"/>
      <c r="U123" s="449"/>
      <c r="V123" s="449"/>
      <c r="W123" s="449"/>
      <c r="X123" s="449"/>
      <c r="Y123" s="449"/>
      <c r="Z123" s="449"/>
      <c r="AA123" s="449"/>
      <c r="AB123" s="449"/>
    </row>
    <row r="124">
      <c r="A124" s="38">
        <v>44824.0</v>
      </c>
      <c r="B124" s="226" t="s">
        <v>11</v>
      </c>
      <c r="C124" s="226" t="s">
        <v>1143</v>
      </c>
      <c r="D124" s="433" t="s">
        <v>2010</v>
      </c>
      <c r="E124" s="406" t="s">
        <v>2011</v>
      </c>
      <c r="F124" s="45" t="s">
        <v>339</v>
      </c>
      <c r="G124" s="449"/>
      <c r="H124" s="449"/>
      <c r="I124" s="449"/>
      <c r="J124" s="449"/>
      <c r="K124" s="449"/>
      <c r="L124" s="449"/>
      <c r="M124" s="449"/>
      <c r="N124" s="449"/>
      <c r="O124" s="449"/>
      <c r="P124" s="449"/>
      <c r="Q124" s="449"/>
      <c r="R124" s="449"/>
      <c r="S124" s="449"/>
      <c r="T124" s="449"/>
      <c r="U124" s="449"/>
      <c r="V124" s="449"/>
      <c r="W124" s="449"/>
      <c r="X124" s="449"/>
      <c r="Y124" s="449"/>
      <c r="Z124" s="449"/>
      <c r="AA124" s="449"/>
      <c r="AB124" s="449"/>
    </row>
    <row r="125">
      <c r="A125" s="38">
        <v>44825.0</v>
      </c>
      <c r="B125" s="226" t="s">
        <v>17</v>
      </c>
      <c r="C125" s="226" t="s">
        <v>1939</v>
      </c>
      <c r="D125" s="433" t="s">
        <v>2012</v>
      </c>
      <c r="E125" s="406" t="s">
        <v>2013</v>
      </c>
      <c r="F125" s="45" t="s">
        <v>339</v>
      </c>
      <c r="G125" s="449"/>
      <c r="H125" s="449"/>
      <c r="I125" s="449"/>
      <c r="J125" s="449"/>
      <c r="K125" s="449"/>
      <c r="L125" s="449"/>
      <c r="M125" s="449"/>
      <c r="N125" s="449"/>
      <c r="O125" s="449"/>
      <c r="P125" s="449"/>
      <c r="Q125" s="449"/>
      <c r="R125" s="449"/>
      <c r="S125" s="449"/>
      <c r="T125" s="449"/>
      <c r="U125" s="449"/>
      <c r="V125" s="449"/>
      <c r="W125" s="449"/>
      <c r="X125" s="449"/>
      <c r="Y125" s="449"/>
      <c r="Z125" s="449"/>
      <c r="AA125" s="449"/>
      <c r="AB125" s="449"/>
    </row>
    <row r="126">
      <c r="A126" s="38">
        <v>44830.0</v>
      </c>
      <c r="B126" s="226" t="s">
        <v>11</v>
      </c>
      <c r="C126" s="226" t="s">
        <v>1966</v>
      </c>
      <c r="D126" s="433" t="s">
        <v>2014</v>
      </c>
      <c r="E126" s="406" t="s">
        <v>2015</v>
      </c>
      <c r="F126" s="45" t="s">
        <v>339</v>
      </c>
      <c r="G126" s="449"/>
      <c r="H126" s="449"/>
      <c r="I126" s="449"/>
      <c r="J126" s="449"/>
      <c r="K126" s="449"/>
      <c r="L126" s="449"/>
      <c r="M126" s="449"/>
      <c r="N126" s="449"/>
      <c r="O126" s="449"/>
      <c r="P126" s="449"/>
      <c r="Q126" s="449"/>
      <c r="R126" s="449"/>
      <c r="S126" s="449"/>
      <c r="T126" s="449"/>
      <c r="U126" s="449"/>
      <c r="V126" s="449"/>
      <c r="W126" s="449"/>
      <c r="X126" s="449"/>
      <c r="Y126" s="449"/>
      <c r="Z126" s="449"/>
      <c r="AA126" s="449"/>
      <c r="AB126" s="449"/>
    </row>
    <row r="127">
      <c r="A127" s="38">
        <v>44830.0</v>
      </c>
      <c r="B127" s="226" t="s">
        <v>11</v>
      </c>
      <c r="C127" s="226" t="s">
        <v>1973</v>
      </c>
      <c r="D127" s="433" t="s">
        <v>2014</v>
      </c>
      <c r="E127" s="406" t="s">
        <v>2016</v>
      </c>
      <c r="F127" s="45" t="s">
        <v>339</v>
      </c>
      <c r="G127" s="449"/>
      <c r="H127" s="449"/>
      <c r="I127" s="449"/>
      <c r="J127" s="449"/>
      <c r="K127" s="449"/>
      <c r="L127" s="449"/>
      <c r="M127" s="449"/>
      <c r="N127" s="449"/>
      <c r="O127" s="449"/>
      <c r="P127" s="449"/>
      <c r="Q127" s="449"/>
      <c r="R127" s="449"/>
      <c r="S127" s="449"/>
      <c r="T127" s="449"/>
      <c r="U127" s="449"/>
      <c r="V127" s="449"/>
      <c r="W127" s="449"/>
      <c r="X127" s="449"/>
      <c r="Y127" s="449"/>
      <c r="Z127" s="449"/>
      <c r="AA127" s="449"/>
      <c r="AB127" s="449"/>
    </row>
    <row r="128">
      <c r="A128" s="38">
        <v>44830.0</v>
      </c>
      <c r="B128" s="226" t="s">
        <v>11</v>
      </c>
      <c r="C128" s="226" t="s">
        <v>2017</v>
      </c>
      <c r="D128" s="433" t="s">
        <v>2014</v>
      </c>
      <c r="E128" s="406" t="s">
        <v>2018</v>
      </c>
      <c r="F128" s="45" t="s">
        <v>339</v>
      </c>
      <c r="G128" s="449"/>
      <c r="H128" s="449"/>
      <c r="I128" s="449"/>
      <c r="J128" s="449"/>
      <c r="K128" s="449"/>
      <c r="L128" s="449"/>
      <c r="M128" s="449"/>
      <c r="N128" s="449"/>
      <c r="O128" s="449"/>
      <c r="P128" s="449"/>
      <c r="Q128" s="449"/>
      <c r="R128" s="449"/>
      <c r="S128" s="449"/>
      <c r="T128" s="449"/>
      <c r="U128" s="449"/>
      <c r="V128" s="449"/>
      <c r="W128" s="449"/>
      <c r="X128" s="449"/>
      <c r="Y128" s="449"/>
      <c r="Z128" s="449"/>
      <c r="AA128" s="449"/>
      <c r="AB128" s="449"/>
    </row>
    <row r="129">
      <c r="A129" s="38">
        <v>44830.0</v>
      </c>
      <c r="B129" s="226" t="s">
        <v>11</v>
      </c>
      <c r="C129" s="226" t="s">
        <v>1971</v>
      </c>
      <c r="D129" s="433" t="s">
        <v>2014</v>
      </c>
      <c r="E129" s="406" t="s">
        <v>2019</v>
      </c>
      <c r="F129" s="45" t="s">
        <v>339</v>
      </c>
      <c r="G129" s="449"/>
      <c r="H129" s="449"/>
      <c r="I129" s="449"/>
      <c r="J129" s="449"/>
      <c r="K129" s="449"/>
      <c r="L129" s="449"/>
      <c r="M129" s="449"/>
      <c r="N129" s="449"/>
      <c r="O129" s="449"/>
      <c r="P129" s="449"/>
      <c r="Q129" s="449"/>
      <c r="R129" s="449"/>
      <c r="S129" s="449"/>
      <c r="T129" s="449"/>
      <c r="U129" s="449"/>
      <c r="V129" s="449"/>
      <c r="W129" s="449"/>
      <c r="X129" s="449"/>
      <c r="Y129" s="449"/>
      <c r="Z129" s="449"/>
      <c r="AA129" s="449"/>
      <c r="AB129" s="449"/>
    </row>
    <row r="130">
      <c r="A130" s="38">
        <v>44830.0</v>
      </c>
      <c r="B130" s="226" t="s">
        <v>11</v>
      </c>
      <c r="C130" s="226" t="s">
        <v>1975</v>
      </c>
      <c r="D130" s="433" t="s">
        <v>2014</v>
      </c>
      <c r="E130" s="406" t="s">
        <v>2020</v>
      </c>
      <c r="F130" s="45" t="s">
        <v>339</v>
      </c>
      <c r="G130" s="449"/>
      <c r="H130" s="449"/>
      <c r="I130" s="449"/>
      <c r="J130" s="449"/>
      <c r="K130" s="449"/>
      <c r="L130" s="449"/>
      <c r="M130" s="449"/>
      <c r="N130" s="449"/>
      <c r="O130" s="449"/>
      <c r="P130" s="449"/>
      <c r="Q130" s="449"/>
      <c r="R130" s="449"/>
      <c r="S130" s="449"/>
      <c r="T130" s="449"/>
      <c r="U130" s="449"/>
      <c r="V130" s="449"/>
      <c r="W130" s="449"/>
      <c r="X130" s="449"/>
      <c r="Y130" s="449"/>
      <c r="Z130" s="449"/>
      <c r="AA130" s="449"/>
      <c r="AB130" s="449"/>
    </row>
    <row r="131">
      <c r="A131" s="38">
        <v>44832.0</v>
      </c>
      <c r="B131" s="299" t="s">
        <v>11</v>
      </c>
      <c r="C131" s="299" t="s">
        <v>1143</v>
      </c>
      <c r="D131" s="442" t="s">
        <v>2021</v>
      </c>
      <c r="E131" s="408" t="s">
        <v>2022</v>
      </c>
      <c r="F131" s="298" t="s">
        <v>2000</v>
      </c>
      <c r="G131" s="449"/>
      <c r="H131" s="449"/>
      <c r="I131" s="449"/>
      <c r="J131" s="449"/>
      <c r="K131" s="449"/>
      <c r="L131" s="449"/>
      <c r="M131" s="449"/>
      <c r="N131" s="449"/>
      <c r="O131" s="449"/>
      <c r="P131" s="449"/>
      <c r="Q131" s="449"/>
      <c r="R131" s="449"/>
      <c r="S131" s="449"/>
      <c r="T131" s="449"/>
      <c r="U131" s="449"/>
      <c r="V131" s="449"/>
      <c r="W131" s="449"/>
      <c r="X131" s="449"/>
      <c r="Y131" s="449"/>
      <c r="Z131" s="449"/>
      <c r="AA131" s="449"/>
      <c r="AB131" s="449"/>
    </row>
    <row r="132">
      <c r="A132" s="38">
        <v>44841.0</v>
      </c>
      <c r="B132" s="226" t="s">
        <v>11</v>
      </c>
      <c r="C132" s="226" t="s">
        <v>1143</v>
      </c>
      <c r="D132" s="466" t="s">
        <v>2023</v>
      </c>
      <c r="E132" s="467" t="s">
        <v>2024</v>
      </c>
      <c r="F132" s="45" t="s">
        <v>339</v>
      </c>
      <c r="G132" s="449"/>
      <c r="H132" s="449"/>
      <c r="I132" s="449"/>
      <c r="J132" s="449"/>
      <c r="K132" s="449"/>
      <c r="L132" s="449"/>
      <c r="M132" s="449"/>
      <c r="N132" s="449"/>
      <c r="O132" s="449"/>
      <c r="P132" s="449"/>
      <c r="Q132" s="449"/>
      <c r="R132" s="449"/>
      <c r="S132" s="449"/>
      <c r="T132" s="449"/>
      <c r="U132" s="449"/>
      <c r="V132" s="449"/>
      <c r="W132" s="449"/>
      <c r="X132" s="449"/>
      <c r="Y132" s="449"/>
      <c r="Z132" s="449"/>
      <c r="AA132" s="449"/>
      <c r="AB132" s="449"/>
    </row>
    <row r="133">
      <c r="A133" s="38">
        <v>44844.0</v>
      </c>
      <c r="B133" s="226" t="s">
        <v>11</v>
      </c>
      <c r="C133" s="226" t="s">
        <v>2025</v>
      </c>
      <c r="D133" s="156" t="s">
        <v>2026</v>
      </c>
      <c r="E133" s="406" t="s">
        <v>2027</v>
      </c>
      <c r="F133" s="45" t="s">
        <v>339</v>
      </c>
      <c r="G133" s="449"/>
      <c r="H133" s="449"/>
      <c r="I133" s="449"/>
      <c r="J133" s="449"/>
      <c r="K133" s="449"/>
      <c r="L133" s="449"/>
      <c r="M133" s="449"/>
      <c r="N133" s="449"/>
      <c r="O133" s="449"/>
      <c r="P133" s="449"/>
      <c r="Q133" s="449"/>
      <c r="R133" s="449"/>
      <c r="S133" s="449"/>
      <c r="T133" s="449"/>
      <c r="U133" s="449"/>
      <c r="V133" s="449"/>
      <c r="W133" s="449"/>
      <c r="X133" s="449"/>
      <c r="Y133" s="449"/>
      <c r="Z133" s="449"/>
      <c r="AA133" s="449"/>
      <c r="AB133" s="449"/>
    </row>
    <row r="134">
      <c r="A134" s="38">
        <v>44846.0</v>
      </c>
      <c r="B134" s="226" t="s">
        <v>11</v>
      </c>
      <c r="C134" s="226" t="s">
        <v>2025</v>
      </c>
      <c r="D134" s="156" t="s">
        <v>2028</v>
      </c>
      <c r="E134" s="406" t="s">
        <v>2029</v>
      </c>
      <c r="F134" s="45" t="s">
        <v>339</v>
      </c>
      <c r="G134" s="449"/>
      <c r="H134" s="449"/>
      <c r="I134" s="449"/>
      <c r="J134" s="449"/>
      <c r="K134" s="449"/>
      <c r="L134" s="449"/>
      <c r="M134" s="449"/>
      <c r="N134" s="449"/>
      <c r="O134" s="449"/>
      <c r="P134" s="449"/>
      <c r="Q134" s="449"/>
      <c r="R134" s="449"/>
      <c r="S134" s="449"/>
      <c r="T134" s="449"/>
      <c r="U134" s="449"/>
      <c r="V134" s="449"/>
      <c r="W134" s="449"/>
      <c r="X134" s="449"/>
      <c r="Y134" s="449"/>
      <c r="Z134" s="449"/>
      <c r="AA134" s="449"/>
      <c r="AB134" s="449"/>
    </row>
    <row r="135">
      <c r="A135" s="38">
        <v>44852.0</v>
      </c>
      <c r="B135" s="226" t="s">
        <v>11</v>
      </c>
      <c r="C135" s="226" t="s">
        <v>1732</v>
      </c>
      <c r="D135" s="156" t="s">
        <v>2030</v>
      </c>
      <c r="E135" s="406" t="s">
        <v>2031</v>
      </c>
      <c r="F135" s="45" t="s">
        <v>339</v>
      </c>
      <c r="G135" s="449"/>
      <c r="H135" s="449"/>
      <c r="I135" s="449"/>
      <c r="J135" s="449"/>
      <c r="K135" s="449"/>
      <c r="L135" s="449"/>
      <c r="M135" s="449"/>
      <c r="N135" s="449"/>
      <c r="O135" s="449"/>
      <c r="P135" s="449"/>
      <c r="Q135" s="449"/>
      <c r="R135" s="449"/>
      <c r="S135" s="449"/>
      <c r="T135" s="449"/>
      <c r="U135" s="449"/>
      <c r="V135" s="449"/>
      <c r="W135" s="449"/>
      <c r="X135" s="449"/>
      <c r="Y135" s="449"/>
      <c r="Z135" s="449"/>
      <c r="AA135" s="449"/>
      <c r="AB135" s="449"/>
    </row>
    <row r="136">
      <c r="A136" s="38">
        <v>44852.0</v>
      </c>
      <c r="B136" s="226" t="s">
        <v>17</v>
      </c>
      <c r="C136" s="226" t="s">
        <v>2032</v>
      </c>
      <c r="D136" s="156" t="s">
        <v>2033</v>
      </c>
      <c r="E136" s="406" t="s">
        <v>2034</v>
      </c>
      <c r="F136" s="45" t="s">
        <v>339</v>
      </c>
      <c r="G136" s="449"/>
      <c r="H136" s="449"/>
      <c r="I136" s="449"/>
      <c r="J136" s="449"/>
      <c r="K136" s="449"/>
      <c r="L136" s="449"/>
      <c r="M136" s="449"/>
      <c r="N136" s="449"/>
      <c r="O136" s="449"/>
      <c r="P136" s="449"/>
      <c r="Q136" s="449"/>
      <c r="R136" s="449"/>
      <c r="S136" s="449"/>
      <c r="T136" s="449"/>
      <c r="U136" s="449"/>
      <c r="V136" s="449"/>
      <c r="W136" s="449"/>
      <c r="X136" s="449"/>
      <c r="Y136" s="449"/>
      <c r="Z136" s="449"/>
      <c r="AA136" s="449"/>
      <c r="AB136" s="449"/>
    </row>
    <row r="137">
      <c r="A137" s="38">
        <v>44853.0</v>
      </c>
      <c r="B137" s="226" t="s">
        <v>11</v>
      </c>
      <c r="C137" s="226" t="s">
        <v>58</v>
      </c>
      <c r="D137" s="156" t="s">
        <v>2035</v>
      </c>
      <c r="E137" s="406" t="s">
        <v>2036</v>
      </c>
      <c r="F137" s="45" t="s">
        <v>339</v>
      </c>
      <c r="G137" s="449"/>
      <c r="H137" s="449"/>
      <c r="I137" s="449"/>
      <c r="J137" s="449"/>
      <c r="K137" s="449"/>
      <c r="L137" s="449"/>
      <c r="M137" s="449"/>
      <c r="N137" s="449"/>
      <c r="O137" s="449"/>
      <c r="P137" s="449"/>
      <c r="Q137" s="449"/>
      <c r="R137" s="449"/>
      <c r="S137" s="449"/>
      <c r="T137" s="449"/>
      <c r="U137" s="449"/>
      <c r="V137" s="449"/>
      <c r="W137" s="449"/>
      <c r="X137" s="449"/>
      <c r="Y137" s="449"/>
      <c r="Z137" s="449"/>
      <c r="AA137" s="449"/>
      <c r="AB137" s="449"/>
    </row>
    <row r="138">
      <c r="A138" s="38">
        <v>44853.0</v>
      </c>
      <c r="B138" s="226" t="s">
        <v>11</v>
      </c>
      <c r="C138" s="226" t="s">
        <v>374</v>
      </c>
      <c r="D138" s="156" t="s">
        <v>2037</v>
      </c>
      <c r="E138" s="406" t="s">
        <v>2038</v>
      </c>
      <c r="F138" s="45" t="s">
        <v>339</v>
      </c>
      <c r="G138" s="449"/>
      <c r="H138" s="449"/>
      <c r="I138" s="449"/>
      <c r="J138" s="449"/>
      <c r="K138" s="449"/>
      <c r="L138" s="449"/>
      <c r="M138" s="449"/>
      <c r="N138" s="449"/>
      <c r="O138" s="449"/>
      <c r="P138" s="449"/>
      <c r="Q138" s="449"/>
      <c r="R138" s="449"/>
      <c r="S138" s="449"/>
      <c r="T138" s="449"/>
      <c r="U138" s="449"/>
      <c r="V138" s="449"/>
      <c r="W138" s="449"/>
      <c r="X138" s="449"/>
      <c r="Y138" s="449"/>
      <c r="Z138" s="449"/>
      <c r="AA138" s="449"/>
      <c r="AB138" s="449"/>
    </row>
    <row r="139">
      <c r="A139" s="38">
        <v>44853.0</v>
      </c>
      <c r="B139" s="226" t="s">
        <v>17</v>
      </c>
      <c r="C139" s="226" t="s">
        <v>2039</v>
      </c>
      <c r="D139" s="156" t="s">
        <v>2040</v>
      </c>
      <c r="E139" s="406" t="s">
        <v>2041</v>
      </c>
      <c r="F139" s="45" t="s">
        <v>339</v>
      </c>
      <c r="G139" s="449"/>
      <c r="H139" s="449"/>
      <c r="I139" s="449"/>
      <c r="J139" s="449"/>
      <c r="K139" s="449"/>
      <c r="L139" s="449"/>
      <c r="M139" s="449"/>
      <c r="N139" s="449"/>
      <c r="O139" s="449"/>
      <c r="P139" s="449"/>
      <c r="Q139" s="449"/>
      <c r="R139" s="449"/>
      <c r="S139" s="449"/>
      <c r="T139" s="449"/>
      <c r="U139" s="449"/>
      <c r="V139" s="449"/>
      <c r="W139" s="449"/>
      <c r="X139" s="449"/>
      <c r="Y139" s="449"/>
      <c r="Z139" s="449"/>
      <c r="AA139" s="449"/>
      <c r="AB139" s="449"/>
    </row>
    <row r="140">
      <c r="A140" s="38">
        <v>44853.0</v>
      </c>
      <c r="B140" s="226" t="s">
        <v>5</v>
      </c>
      <c r="C140" s="226" t="s">
        <v>233</v>
      </c>
      <c r="D140" s="156" t="s">
        <v>2042</v>
      </c>
      <c r="E140" s="406" t="s">
        <v>2043</v>
      </c>
      <c r="F140" s="45" t="s">
        <v>339</v>
      </c>
      <c r="G140" s="449"/>
      <c r="H140" s="449"/>
      <c r="I140" s="449"/>
      <c r="J140" s="449"/>
      <c r="K140" s="449"/>
      <c r="L140" s="449"/>
      <c r="M140" s="449"/>
      <c r="N140" s="449"/>
      <c r="O140" s="449"/>
      <c r="P140" s="449"/>
      <c r="Q140" s="449"/>
      <c r="R140" s="449"/>
      <c r="S140" s="449"/>
      <c r="T140" s="449"/>
      <c r="U140" s="449"/>
      <c r="V140" s="449"/>
      <c r="W140" s="449"/>
      <c r="X140" s="449"/>
      <c r="Y140" s="449"/>
      <c r="Z140" s="449"/>
      <c r="AA140" s="449"/>
      <c r="AB140" s="449"/>
    </row>
    <row r="141">
      <c r="A141" s="38">
        <v>44853.0</v>
      </c>
      <c r="B141" s="226" t="s">
        <v>17</v>
      </c>
      <c r="C141" s="226" t="s">
        <v>2044</v>
      </c>
      <c r="D141" s="156" t="s">
        <v>2045</v>
      </c>
      <c r="E141" s="406" t="s">
        <v>2046</v>
      </c>
      <c r="F141" s="45" t="s">
        <v>339</v>
      </c>
      <c r="G141" s="449"/>
      <c r="H141" s="449"/>
      <c r="I141" s="449"/>
      <c r="J141" s="449"/>
      <c r="K141" s="449"/>
      <c r="L141" s="449"/>
      <c r="M141" s="449"/>
      <c r="N141" s="449"/>
      <c r="O141" s="449"/>
      <c r="P141" s="449"/>
      <c r="Q141" s="449"/>
      <c r="R141" s="449"/>
      <c r="S141" s="449"/>
      <c r="T141" s="449"/>
      <c r="U141" s="449"/>
      <c r="V141" s="449"/>
      <c r="W141" s="449"/>
      <c r="X141" s="449"/>
      <c r="Y141" s="449"/>
      <c r="Z141" s="449"/>
      <c r="AA141" s="449"/>
      <c r="AB141" s="449"/>
    </row>
    <row r="142">
      <c r="A142" s="38">
        <v>44854.0</v>
      </c>
      <c r="B142" s="226" t="s">
        <v>11</v>
      </c>
      <c r="C142" s="226" t="s">
        <v>71</v>
      </c>
      <c r="D142" s="156" t="s">
        <v>2047</v>
      </c>
      <c r="E142" s="406" t="s">
        <v>2048</v>
      </c>
      <c r="F142" s="45" t="s">
        <v>339</v>
      </c>
      <c r="G142" s="449"/>
      <c r="H142" s="449"/>
      <c r="I142" s="449"/>
      <c r="J142" s="449"/>
      <c r="K142" s="449"/>
      <c r="L142" s="449"/>
      <c r="M142" s="449"/>
      <c r="N142" s="449"/>
      <c r="O142" s="449"/>
      <c r="P142" s="449"/>
      <c r="Q142" s="449"/>
      <c r="R142" s="449"/>
      <c r="S142" s="449"/>
      <c r="T142" s="449"/>
      <c r="U142" s="449"/>
      <c r="V142" s="449"/>
      <c r="W142" s="449"/>
      <c r="X142" s="449"/>
      <c r="Y142" s="449"/>
      <c r="Z142" s="449"/>
      <c r="AA142" s="449"/>
      <c r="AB142" s="449"/>
    </row>
    <row r="143">
      <c r="A143" s="38">
        <v>44854.0</v>
      </c>
      <c r="B143" s="226" t="s">
        <v>11</v>
      </c>
      <c r="C143" s="226" t="s">
        <v>1732</v>
      </c>
      <c r="D143" s="156" t="s">
        <v>2049</v>
      </c>
      <c r="E143" s="406" t="s">
        <v>2050</v>
      </c>
      <c r="F143" s="45" t="s">
        <v>339</v>
      </c>
      <c r="G143" s="449"/>
      <c r="H143" s="449"/>
      <c r="I143" s="449"/>
      <c r="J143" s="449"/>
      <c r="K143" s="449"/>
      <c r="L143" s="449"/>
      <c r="M143" s="449"/>
      <c r="N143" s="449"/>
      <c r="O143" s="449"/>
      <c r="P143" s="449"/>
      <c r="Q143" s="449"/>
      <c r="R143" s="449"/>
      <c r="S143" s="449"/>
      <c r="T143" s="449"/>
      <c r="U143" s="449"/>
      <c r="V143" s="449"/>
      <c r="W143" s="449"/>
      <c r="X143" s="449"/>
      <c r="Y143" s="449"/>
      <c r="Z143" s="449"/>
      <c r="AA143" s="449"/>
      <c r="AB143" s="449"/>
    </row>
    <row r="144">
      <c r="A144" s="38">
        <v>44854.0</v>
      </c>
      <c r="B144" s="226" t="s">
        <v>5</v>
      </c>
      <c r="C144" s="226" t="s">
        <v>884</v>
      </c>
      <c r="D144" s="156" t="s">
        <v>2051</v>
      </c>
      <c r="E144" s="406" t="s">
        <v>2052</v>
      </c>
      <c r="F144" s="45" t="s">
        <v>339</v>
      </c>
      <c r="G144" s="449"/>
      <c r="H144" s="449"/>
      <c r="I144" s="449"/>
      <c r="J144" s="449"/>
      <c r="K144" s="449"/>
      <c r="L144" s="449"/>
      <c r="M144" s="449"/>
      <c r="N144" s="449"/>
      <c r="O144" s="449"/>
      <c r="P144" s="449"/>
      <c r="Q144" s="449"/>
      <c r="R144" s="449"/>
      <c r="S144" s="449"/>
      <c r="T144" s="449"/>
      <c r="U144" s="449"/>
      <c r="V144" s="449"/>
      <c r="W144" s="449"/>
      <c r="X144" s="449"/>
      <c r="Y144" s="449"/>
      <c r="Z144" s="449"/>
      <c r="AA144" s="449"/>
      <c r="AB144" s="449"/>
    </row>
    <row r="145">
      <c r="A145" s="38">
        <v>44854.0</v>
      </c>
      <c r="B145" s="226" t="s">
        <v>11</v>
      </c>
      <c r="C145" s="226" t="s">
        <v>2053</v>
      </c>
      <c r="D145" s="156" t="s">
        <v>2051</v>
      </c>
      <c r="E145" s="406" t="s">
        <v>2054</v>
      </c>
      <c r="F145" s="45" t="s">
        <v>339</v>
      </c>
      <c r="G145" s="449"/>
      <c r="H145" s="449"/>
      <c r="I145" s="449"/>
      <c r="J145" s="449"/>
      <c r="K145" s="449"/>
      <c r="L145" s="449"/>
      <c r="M145" s="449"/>
      <c r="N145" s="449"/>
      <c r="O145" s="449"/>
      <c r="P145" s="449"/>
      <c r="Q145" s="449"/>
      <c r="R145" s="449"/>
      <c r="S145" s="449"/>
      <c r="T145" s="449"/>
      <c r="U145" s="449"/>
      <c r="V145" s="449"/>
      <c r="W145" s="449"/>
      <c r="X145" s="449"/>
      <c r="Y145" s="449"/>
      <c r="Z145" s="449"/>
      <c r="AA145" s="449"/>
      <c r="AB145" s="449"/>
    </row>
    <row r="146">
      <c r="A146" s="38">
        <v>44854.0</v>
      </c>
      <c r="B146" s="226" t="s">
        <v>11</v>
      </c>
      <c r="C146" s="226" t="s">
        <v>58</v>
      </c>
      <c r="D146" s="156" t="s">
        <v>2055</v>
      </c>
      <c r="E146" s="406" t="s">
        <v>2056</v>
      </c>
      <c r="F146" s="45" t="s">
        <v>339</v>
      </c>
      <c r="G146" s="449"/>
      <c r="H146" s="449"/>
      <c r="I146" s="449"/>
      <c r="J146" s="449"/>
      <c r="K146" s="449"/>
      <c r="L146" s="449"/>
      <c r="M146" s="449"/>
      <c r="N146" s="449"/>
      <c r="O146" s="449"/>
      <c r="P146" s="449"/>
      <c r="Q146" s="449"/>
      <c r="R146" s="449"/>
      <c r="S146" s="449"/>
      <c r="T146" s="449"/>
      <c r="U146" s="449"/>
      <c r="V146" s="449"/>
      <c r="W146" s="449"/>
      <c r="X146" s="449"/>
      <c r="Y146" s="449"/>
      <c r="Z146" s="449"/>
      <c r="AA146" s="449"/>
      <c r="AB146" s="449"/>
    </row>
    <row r="147">
      <c r="A147" s="38">
        <v>44854.0</v>
      </c>
      <c r="B147" s="226" t="s">
        <v>17</v>
      </c>
      <c r="C147" s="226" t="s">
        <v>2057</v>
      </c>
      <c r="D147" s="156" t="s">
        <v>2058</v>
      </c>
      <c r="E147" s="406" t="s">
        <v>2059</v>
      </c>
      <c r="F147" s="45" t="s">
        <v>339</v>
      </c>
      <c r="G147" s="449"/>
      <c r="H147" s="449"/>
      <c r="I147" s="449"/>
      <c r="J147" s="449"/>
      <c r="K147" s="449"/>
      <c r="L147" s="449"/>
      <c r="M147" s="449"/>
      <c r="N147" s="449"/>
      <c r="O147" s="449"/>
      <c r="P147" s="449"/>
      <c r="Q147" s="449"/>
      <c r="R147" s="449"/>
      <c r="S147" s="449"/>
      <c r="T147" s="449"/>
      <c r="U147" s="449"/>
      <c r="V147" s="449"/>
      <c r="W147" s="449"/>
      <c r="X147" s="449"/>
      <c r="Y147" s="449"/>
      <c r="Z147" s="449"/>
      <c r="AA147" s="449"/>
      <c r="AB147" s="449"/>
    </row>
    <row r="148">
      <c r="A148" s="38">
        <v>44854.0</v>
      </c>
      <c r="B148" s="226" t="s">
        <v>17</v>
      </c>
      <c r="C148" s="226" t="s">
        <v>2032</v>
      </c>
      <c r="D148" s="156" t="s">
        <v>2060</v>
      </c>
      <c r="E148" s="406" t="s">
        <v>2061</v>
      </c>
      <c r="F148" s="45" t="s">
        <v>339</v>
      </c>
      <c r="G148" s="449"/>
      <c r="H148" s="449"/>
      <c r="I148" s="449"/>
      <c r="J148" s="449"/>
      <c r="K148" s="449"/>
      <c r="L148" s="449"/>
      <c r="M148" s="449"/>
      <c r="N148" s="449"/>
      <c r="O148" s="449"/>
      <c r="P148" s="449"/>
      <c r="Q148" s="449"/>
      <c r="R148" s="449"/>
      <c r="S148" s="449"/>
      <c r="T148" s="449"/>
      <c r="U148" s="449"/>
      <c r="V148" s="449"/>
      <c r="W148" s="449"/>
      <c r="X148" s="449"/>
      <c r="Y148" s="449"/>
      <c r="Z148" s="449"/>
      <c r="AA148" s="449"/>
      <c r="AB148" s="449"/>
    </row>
    <row r="149">
      <c r="A149" s="38">
        <v>44854.0</v>
      </c>
      <c r="B149" s="226" t="s">
        <v>17</v>
      </c>
      <c r="C149" s="226" t="s">
        <v>2062</v>
      </c>
      <c r="D149" s="156" t="s">
        <v>2063</v>
      </c>
      <c r="E149" s="406" t="s">
        <v>2064</v>
      </c>
      <c r="F149" s="45" t="s">
        <v>339</v>
      </c>
      <c r="G149" s="449"/>
      <c r="H149" s="449"/>
      <c r="I149" s="449"/>
      <c r="J149" s="449"/>
      <c r="K149" s="449"/>
      <c r="L149" s="449"/>
      <c r="M149" s="449"/>
      <c r="N149" s="449"/>
      <c r="O149" s="449"/>
      <c r="P149" s="449"/>
      <c r="Q149" s="449"/>
      <c r="R149" s="449"/>
      <c r="S149" s="449"/>
      <c r="T149" s="449"/>
      <c r="U149" s="449"/>
      <c r="V149" s="449"/>
      <c r="W149" s="449"/>
      <c r="X149" s="449"/>
      <c r="Y149" s="449"/>
      <c r="Z149" s="449"/>
      <c r="AA149" s="449"/>
      <c r="AB149" s="449"/>
    </row>
    <row r="150">
      <c r="A150" s="38">
        <v>44855.0</v>
      </c>
      <c r="B150" s="226" t="s">
        <v>17</v>
      </c>
      <c r="C150" s="226" t="s">
        <v>193</v>
      </c>
      <c r="D150" s="156" t="s">
        <v>2065</v>
      </c>
      <c r="E150" s="406" t="s">
        <v>2066</v>
      </c>
      <c r="F150" s="45" t="s">
        <v>339</v>
      </c>
      <c r="G150" s="449"/>
      <c r="H150" s="449"/>
      <c r="I150" s="449"/>
      <c r="J150" s="449"/>
      <c r="K150" s="449"/>
      <c r="L150" s="449"/>
      <c r="M150" s="449"/>
      <c r="N150" s="449"/>
      <c r="O150" s="449"/>
      <c r="P150" s="449"/>
      <c r="Q150" s="449"/>
      <c r="R150" s="449"/>
      <c r="S150" s="449"/>
      <c r="T150" s="449"/>
      <c r="U150" s="449"/>
      <c r="V150" s="449"/>
      <c r="W150" s="449"/>
      <c r="X150" s="449"/>
      <c r="Y150" s="449"/>
      <c r="Z150" s="449"/>
      <c r="AA150" s="449"/>
      <c r="AB150" s="449"/>
    </row>
    <row r="151">
      <c r="A151" s="38">
        <v>44855.0</v>
      </c>
      <c r="B151" s="226" t="s">
        <v>11</v>
      </c>
      <c r="C151" s="226" t="s">
        <v>1732</v>
      </c>
      <c r="D151" s="156" t="s">
        <v>2067</v>
      </c>
      <c r="E151" s="406" t="s">
        <v>2068</v>
      </c>
      <c r="F151" s="45" t="s">
        <v>339</v>
      </c>
      <c r="G151" s="449"/>
      <c r="H151" s="449"/>
      <c r="I151" s="449"/>
      <c r="J151" s="449"/>
      <c r="K151" s="449"/>
      <c r="L151" s="449"/>
      <c r="M151" s="449"/>
      <c r="N151" s="449"/>
      <c r="O151" s="449"/>
      <c r="P151" s="449"/>
      <c r="Q151" s="449"/>
      <c r="R151" s="449"/>
      <c r="S151" s="449"/>
      <c r="T151" s="449"/>
      <c r="U151" s="449"/>
      <c r="V151" s="449"/>
      <c r="W151" s="449"/>
      <c r="X151" s="449"/>
      <c r="Y151" s="449"/>
      <c r="Z151" s="449"/>
      <c r="AA151" s="449"/>
      <c r="AB151" s="449"/>
    </row>
    <row r="152">
      <c r="A152" s="38">
        <v>44855.0</v>
      </c>
      <c r="B152" s="226" t="s">
        <v>11</v>
      </c>
      <c r="C152" s="226" t="s">
        <v>451</v>
      </c>
      <c r="D152" s="156" t="s">
        <v>2069</v>
      </c>
      <c r="E152" s="406" t="s">
        <v>2070</v>
      </c>
      <c r="F152" s="45" t="s">
        <v>339</v>
      </c>
      <c r="G152" s="449"/>
      <c r="H152" s="449"/>
      <c r="I152" s="449"/>
      <c r="J152" s="449"/>
      <c r="K152" s="449"/>
      <c r="L152" s="449"/>
      <c r="M152" s="449"/>
      <c r="N152" s="449"/>
      <c r="O152" s="449"/>
      <c r="P152" s="449"/>
      <c r="Q152" s="449"/>
      <c r="R152" s="449"/>
      <c r="S152" s="449"/>
      <c r="T152" s="449"/>
      <c r="U152" s="449"/>
      <c r="V152" s="449"/>
      <c r="W152" s="449"/>
      <c r="X152" s="449"/>
      <c r="Y152" s="449"/>
      <c r="Z152" s="449"/>
      <c r="AA152" s="449"/>
      <c r="AB152" s="449"/>
    </row>
    <row r="153">
      <c r="A153" s="38">
        <v>44859.0</v>
      </c>
      <c r="B153" s="226" t="s">
        <v>11</v>
      </c>
      <c r="C153" s="226" t="s">
        <v>1732</v>
      </c>
      <c r="D153" s="156" t="s">
        <v>2071</v>
      </c>
      <c r="E153" s="406" t="s">
        <v>2072</v>
      </c>
      <c r="F153" s="45" t="s">
        <v>339</v>
      </c>
      <c r="G153" s="449"/>
      <c r="H153" s="449"/>
      <c r="I153" s="449"/>
      <c r="J153" s="449"/>
      <c r="K153" s="449"/>
      <c r="L153" s="449"/>
      <c r="M153" s="449"/>
      <c r="N153" s="449"/>
      <c r="O153" s="449"/>
      <c r="P153" s="449"/>
      <c r="Q153" s="449"/>
      <c r="R153" s="449"/>
      <c r="S153" s="449"/>
      <c r="T153" s="449"/>
      <c r="U153" s="449"/>
      <c r="V153" s="449"/>
      <c r="W153" s="449"/>
      <c r="X153" s="449"/>
      <c r="Y153" s="449"/>
      <c r="Z153" s="449"/>
      <c r="AA153" s="449"/>
      <c r="AB153" s="449"/>
    </row>
    <row r="154">
      <c r="A154" s="38">
        <v>44859.0</v>
      </c>
      <c r="B154" s="226" t="s">
        <v>11</v>
      </c>
      <c r="C154" s="226" t="s">
        <v>374</v>
      </c>
      <c r="D154" s="156" t="s">
        <v>2073</v>
      </c>
      <c r="E154" s="406" t="s">
        <v>2074</v>
      </c>
      <c r="F154" s="45" t="s">
        <v>339</v>
      </c>
      <c r="G154" s="449"/>
      <c r="H154" s="449"/>
      <c r="I154" s="449"/>
      <c r="J154" s="449"/>
      <c r="K154" s="449"/>
      <c r="L154" s="449"/>
      <c r="M154" s="449"/>
      <c r="N154" s="449"/>
      <c r="O154" s="449"/>
      <c r="P154" s="449"/>
      <c r="Q154" s="449"/>
      <c r="R154" s="449"/>
      <c r="S154" s="449"/>
      <c r="T154" s="449"/>
      <c r="U154" s="449"/>
      <c r="V154" s="449"/>
      <c r="W154" s="449"/>
      <c r="X154" s="449"/>
      <c r="Y154" s="449"/>
      <c r="Z154" s="449"/>
      <c r="AA154" s="449"/>
      <c r="AB154" s="449"/>
    </row>
    <row r="155">
      <c r="A155" s="38">
        <v>44860.0</v>
      </c>
      <c r="B155" s="226" t="s">
        <v>17</v>
      </c>
      <c r="C155" s="226" t="s">
        <v>2075</v>
      </c>
      <c r="D155" s="156" t="s">
        <v>2076</v>
      </c>
      <c r="E155" s="406" t="s">
        <v>2077</v>
      </c>
      <c r="F155" s="45" t="s">
        <v>339</v>
      </c>
      <c r="G155" s="449"/>
      <c r="H155" s="449"/>
      <c r="I155" s="449"/>
      <c r="J155" s="449"/>
      <c r="K155" s="449"/>
      <c r="L155" s="449"/>
      <c r="M155" s="449"/>
      <c r="N155" s="449"/>
      <c r="O155" s="449"/>
      <c r="P155" s="449"/>
      <c r="Q155" s="449"/>
      <c r="R155" s="449"/>
      <c r="S155" s="449"/>
      <c r="T155" s="449"/>
      <c r="U155" s="449"/>
      <c r="V155" s="449"/>
      <c r="W155" s="449"/>
      <c r="X155" s="449"/>
      <c r="Y155" s="449"/>
      <c r="Z155" s="449"/>
      <c r="AA155" s="449"/>
      <c r="AB155" s="449"/>
    </row>
    <row r="156">
      <c r="A156" s="38">
        <v>44860.0</v>
      </c>
      <c r="B156" s="226" t="s">
        <v>17</v>
      </c>
      <c r="C156" s="226" t="s">
        <v>2075</v>
      </c>
      <c r="D156" s="156" t="s">
        <v>2078</v>
      </c>
      <c r="E156" s="406" t="s">
        <v>2079</v>
      </c>
      <c r="F156" s="45" t="s">
        <v>339</v>
      </c>
      <c r="G156" s="449"/>
      <c r="H156" s="449"/>
      <c r="I156" s="449"/>
      <c r="J156" s="449"/>
      <c r="K156" s="449"/>
      <c r="L156" s="449"/>
      <c r="M156" s="449"/>
      <c r="N156" s="449"/>
      <c r="O156" s="449"/>
      <c r="P156" s="449"/>
      <c r="Q156" s="449"/>
      <c r="R156" s="449"/>
      <c r="S156" s="449"/>
      <c r="T156" s="449"/>
      <c r="U156" s="449"/>
      <c r="V156" s="449"/>
      <c r="W156" s="449"/>
      <c r="X156" s="449"/>
      <c r="Y156" s="449"/>
      <c r="Z156" s="449"/>
      <c r="AA156" s="449"/>
      <c r="AB156" s="449"/>
    </row>
    <row r="157">
      <c r="A157" s="38">
        <v>44860.0</v>
      </c>
      <c r="B157" s="226" t="s">
        <v>17</v>
      </c>
      <c r="C157" s="226" t="s">
        <v>2080</v>
      </c>
      <c r="D157" s="156" t="s">
        <v>2081</v>
      </c>
      <c r="E157" s="406" t="s">
        <v>2082</v>
      </c>
      <c r="F157" s="45" t="s">
        <v>339</v>
      </c>
      <c r="G157" s="449"/>
      <c r="H157" s="449"/>
      <c r="I157" s="449"/>
      <c r="J157" s="449"/>
      <c r="K157" s="449"/>
      <c r="L157" s="449"/>
      <c r="M157" s="449"/>
      <c r="N157" s="449"/>
      <c r="O157" s="449"/>
      <c r="P157" s="449"/>
      <c r="Q157" s="449"/>
      <c r="R157" s="449"/>
      <c r="S157" s="449"/>
      <c r="T157" s="449"/>
      <c r="U157" s="449"/>
      <c r="V157" s="449"/>
      <c r="W157" s="449"/>
      <c r="X157" s="449"/>
      <c r="Y157" s="449"/>
      <c r="Z157" s="449"/>
      <c r="AA157" s="449"/>
      <c r="AB157" s="449"/>
    </row>
    <row r="158">
      <c r="A158" s="38">
        <v>44860.0</v>
      </c>
      <c r="B158" s="226" t="s">
        <v>17</v>
      </c>
      <c r="C158" s="226" t="s">
        <v>2083</v>
      </c>
      <c r="D158" s="156" t="s">
        <v>2084</v>
      </c>
      <c r="E158" s="406" t="s">
        <v>2085</v>
      </c>
      <c r="F158" s="45" t="s">
        <v>339</v>
      </c>
      <c r="G158" s="449"/>
      <c r="H158" s="449"/>
      <c r="I158" s="449"/>
      <c r="J158" s="449"/>
      <c r="K158" s="449"/>
      <c r="L158" s="449"/>
      <c r="M158" s="449"/>
      <c r="N158" s="449"/>
      <c r="O158" s="449"/>
      <c r="P158" s="449"/>
      <c r="Q158" s="449"/>
      <c r="R158" s="449"/>
      <c r="S158" s="449"/>
      <c r="T158" s="449"/>
      <c r="U158" s="449"/>
      <c r="V158" s="449"/>
      <c r="W158" s="449"/>
      <c r="X158" s="449"/>
      <c r="Y158" s="449"/>
      <c r="Z158" s="449"/>
      <c r="AA158" s="449"/>
      <c r="AB158" s="449"/>
    </row>
    <row r="159">
      <c r="A159" s="38">
        <v>44861.0</v>
      </c>
      <c r="B159" s="299" t="s">
        <v>11</v>
      </c>
      <c r="C159" s="299" t="s">
        <v>364</v>
      </c>
      <c r="D159" s="442" t="s">
        <v>2086</v>
      </c>
      <c r="E159" s="408" t="s">
        <v>2087</v>
      </c>
      <c r="F159" s="298" t="s">
        <v>339</v>
      </c>
      <c r="G159" s="449"/>
      <c r="H159" s="449"/>
      <c r="I159" s="449"/>
      <c r="J159" s="449"/>
      <c r="K159" s="449"/>
      <c r="L159" s="449"/>
      <c r="M159" s="449"/>
      <c r="N159" s="449"/>
      <c r="O159" s="449"/>
      <c r="P159" s="449"/>
      <c r="Q159" s="449"/>
      <c r="R159" s="449"/>
      <c r="S159" s="449"/>
      <c r="T159" s="449"/>
      <c r="U159" s="449"/>
      <c r="V159" s="449"/>
      <c r="W159" s="449"/>
      <c r="X159" s="449"/>
      <c r="Y159" s="449"/>
      <c r="Z159" s="449"/>
      <c r="AA159" s="449"/>
      <c r="AB159" s="449"/>
    </row>
    <row r="160">
      <c r="A160" s="38">
        <v>44866.0</v>
      </c>
      <c r="B160" s="226" t="s">
        <v>11</v>
      </c>
      <c r="C160" s="468" t="s">
        <v>68</v>
      </c>
      <c r="D160" s="466" t="s">
        <v>2088</v>
      </c>
      <c r="E160" s="467" t="s">
        <v>2089</v>
      </c>
      <c r="F160" s="39" t="s">
        <v>1450</v>
      </c>
      <c r="G160" s="449"/>
      <c r="H160" s="449"/>
      <c r="I160" s="449"/>
      <c r="J160" s="449"/>
      <c r="K160" s="449"/>
      <c r="L160" s="449"/>
      <c r="M160" s="449"/>
      <c r="N160" s="449"/>
      <c r="O160" s="449"/>
      <c r="P160" s="449"/>
      <c r="Q160" s="449"/>
      <c r="R160" s="449"/>
      <c r="S160" s="449"/>
      <c r="T160" s="449"/>
      <c r="U160" s="449"/>
      <c r="V160" s="449"/>
      <c r="W160" s="449"/>
      <c r="X160" s="449"/>
      <c r="Y160" s="449"/>
      <c r="Z160" s="449"/>
      <c r="AA160" s="449"/>
      <c r="AB160" s="449"/>
    </row>
    <row r="161">
      <c r="A161" s="38">
        <v>44866.0</v>
      </c>
      <c r="B161" s="226" t="s">
        <v>11</v>
      </c>
      <c r="C161" s="468" t="s">
        <v>1732</v>
      </c>
      <c r="D161" s="107" t="s">
        <v>2090</v>
      </c>
      <c r="E161" s="156" t="s">
        <v>2091</v>
      </c>
      <c r="F161" s="45" t="s">
        <v>339</v>
      </c>
      <c r="G161" s="449"/>
      <c r="H161" s="449"/>
      <c r="I161" s="449"/>
      <c r="J161" s="449"/>
      <c r="K161" s="449"/>
      <c r="L161" s="449"/>
      <c r="M161" s="449"/>
      <c r="N161" s="449"/>
      <c r="O161" s="449"/>
      <c r="P161" s="449"/>
      <c r="Q161" s="449"/>
      <c r="R161" s="449"/>
      <c r="S161" s="449"/>
      <c r="T161" s="449"/>
      <c r="U161" s="449"/>
      <c r="V161" s="449"/>
      <c r="W161" s="449"/>
      <c r="X161" s="449"/>
      <c r="Y161" s="449"/>
      <c r="Z161" s="449"/>
      <c r="AA161" s="449"/>
      <c r="AB161" s="449"/>
    </row>
    <row r="162">
      <c r="A162" s="38">
        <v>44866.0</v>
      </c>
      <c r="B162" s="226" t="s">
        <v>11</v>
      </c>
      <c r="C162" s="468" t="s">
        <v>1732</v>
      </c>
      <c r="D162" s="156" t="s">
        <v>2092</v>
      </c>
      <c r="E162" s="411" t="s">
        <v>2093</v>
      </c>
      <c r="F162" s="45" t="s">
        <v>339</v>
      </c>
      <c r="G162" s="449"/>
      <c r="H162" s="449"/>
      <c r="I162" s="449"/>
      <c r="J162" s="449"/>
      <c r="K162" s="449"/>
      <c r="L162" s="449"/>
      <c r="M162" s="449"/>
      <c r="N162" s="449"/>
      <c r="O162" s="449"/>
      <c r="P162" s="449"/>
      <c r="Q162" s="449"/>
      <c r="R162" s="449"/>
      <c r="S162" s="449"/>
      <c r="T162" s="449"/>
      <c r="U162" s="449"/>
      <c r="V162" s="449"/>
      <c r="W162" s="449"/>
      <c r="X162" s="449"/>
      <c r="Y162" s="449"/>
      <c r="Z162" s="449"/>
      <c r="AA162" s="449"/>
      <c r="AB162" s="449"/>
    </row>
    <row r="163">
      <c r="A163" s="38">
        <v>44869.0</v>
      </c>
      <c r="B163" s="226" t="s">
        <v>11</v>
      </c>
      <c r="C163" s="468" t="s">
        <v>1802</v>
      </c>
      <c r="D163" s="435" t="s">
        <v>2094</v>
      </c>
      <c r="E163" s="151" t="s">
        <v>2095</v>
      </c>
      <c r="F163" s="45" t="s">
        <v>726</v>
      </c>
      <c r="G163" s="449"/>
      <c r="H163" s="449"/>
      <c r="I163" s="449"/>
      <c r="J163" s="449"/>
      <c r="K163" s="449"/>
      <c r="L163" s="449"/>
      <c r="M163" s="449"/>
      <c r="N163" s="449"/>
      <c r="O163" s="449"/>
      <c r="P163" s="449"/>
      <c r="Q163" s="449"/>
      <c r="R163" s="449"/>
      <c r="S163" s="449"/>
      <c r="T163" s="449"/>
      <c r="U163" s="449"/>
      <c r="V163" s="449"/>
      <c r="W163" s="449"/>
      <c r="X163" s="449"/>
      <c r="Y163" s="449"/>
      <c r="Z163" s="449"/>
      <c r="AA163" s="449"/>
      <c r="AB163" s="449"/>
    </row>
    <row r="164">
      <c r="A164" s="38">
        <v>44869.0</v>
      </c>
      <c r="B164" s="226" t="s">
        <v>17</v>
      </c>
      <c r="C164" s="468" t="s">
        <v>2096</v>
      </c>
      <c r="D164" s="107" t="s">
        <v>2097</v>
      </c>
      <c r="E164" s="406" t="s">
        <v>2098</v>
      </c>
      <c r="F164" s="45" t="s">
        <v>726</v>
      </c>
      <c r="G164" s="449"/>
      <c r="H164" s="449"/>
      <c r="I164" s="449"/>
      <c r="J164" s="449"/>
      <c r="K164" s="449"/>
      <c r="L164" s="449"/>
      <c r="M164" s="449"/>
      <c r="N164" s="449"/>
      <c r="O164" s="449"/>
      <c r="P164" s="449"/>
      <c r="Q164" s="449"/>
      <c r="R164" s="449"/>
      <c r="S164" s="449"/>
      <c r="T164" s="449"/>
      <c r="U164" s="449"/>
      <c r="V164" s="449"/>
      <c r="W164" s="449"/>
      <c r="X164" s="449"/>
      <c r="Y164" s="449"/>
      <c r="Z164" s="449"/>
      <c r="AA164" s="449"/>
      <c r="AB164" s="449"/>
    </row>
    <row r="165">
      <c r="A165" s="38">
        <v>44872.0</v>
      </c>
      <c r="B165" s="226" t="s">
        <v>11</v>
      </c>
      <c r="C165" s="468" t="s">
        <v>71</v>
      </c>
      <c r="D165" s="107" t="s">
        <v>2099</v>
      </c>
      <c r="E165" s="151" t="s">
        <v>2100</v>
      </c>
      <c r="F165" s="45" t="s">
        <v>339</v>
      </c>
      <c r="G165" s="449"/>
      <c r="H165" s="449"/>
      <c r="I165" s="449"/>
      <c r="J165" s="449"/>
      <c r="K165" s="449"/>
      <c r="L165" s="449"/>
      <c r="M165" s="449"/>
      <c r="N165" s="449"/>
      <c r="O165" s="449"/>
      <c r="P165" s="449"/>
      <c r="Q165" s="449"/>
      <c r="R165" s="449"/>
      <c r="S165" s="449"/>
      <c r="T165" s="449"/>
      <c r="U165" s="449"/>
      <c r="V165" s="449"/>
      <c r="W165" s="449"/>
      <c r="X165" s="449"/>
      <c r="Y165" s="449"/>
      <c r="Z165" s="449"/>
      <c r="AA165" s="449"/>
      <c r="AB165" s="449"/>
    </row>
    <row r="166">
      <c r="A166" s="38">
        <v>44872.0</v>
      </c>
      <c r="B166" s="226" t="s">
        <v>11</v>
      </c>
      <c r="C166" s="468" t="s">
        <v>2025</v>
      </c>
      <c r="D166" s="107" t="s">
        <v>2101</v>
      </c>
      <c r="E166" s="107" t="s">
        <v>2102</v>
      </c>
      <c r="F166" s="45" t="s">
        <v>339</v>
      </c>
      <c r="G166" s="449"/>
      <c r="H166" s="449"/>
      <c r="I166" s="449"/>
      <c r="J166" s="449"/>
      <c r="K166" s="449"/>
      <c r="L166" s="449"/>
      <c r="M166" s="449"/>
      <c r="N166" s="449"/>
      <c r="O166" s="449"/>
      <c r="P166" s="449"/>
      <c r="Q166" s="449"/>
      <c r="R166" s="449"/>
      <c r="S166" s="449"/>
      <c r="T166" s="449"/>
      <c r="U166" s="449"/>
      <c r="V166" s="449"/>
      <c r="W166" s="449"/>
      <c r="X166" s="449"/>
      <c r="Y166" s="449"/>
      <c r="Z166" s="449"/>
      <c r="AA166" s="449"/>
      <c r="AB166" s="449"/>
    </row>
    <row r="167">
      <c r="A167" s="38">
        <v>44873.0</v>
      </c>
      <c r="B167" s="226" t="s">
        <v>11</v>
      </c>
      <c r="C167" s="40" t="s">
        <v>2103</v>
      </c>
      <c r="D167" s="107" t="s">
        <v>2104</v>
      </c>
      <c r="E167" s="151" t="s">
        <v>2105</v>
      </c>
      <c r="F167" s="45" t="s">
        <v>339</v>
      </c>
      <c r="G167" s="449"/>
      <c r="H167" s="449"/>
      <c r="I167" s="449"/>
      <c r="J167" s="449"/>
      <c r="K167" s="449"/>
      <c r="L167" s="449"/>
      <c r="M167" s="449"/>
      <c r="N167" s="449"/>
      <c r="O167" s="449"/>
      <c r="P167" s="449"/>
      <c r="Q167" s="449"/>
      <c r="R167" s="449"/>
      <c r="S167" s="449"/>
      <c r="T167" s="449"/>
      <c r="U167" s="449"/>
      <c r="V167" s="449"/>
      <c r="W167" s="449"/>
      <c r="X167" s="449"/>
      <c r="Y167" s="449"/>
      <c r="Z167" s="449"/>
      <c r="AA167" s="449"/>
      <c r="AB167" s="449"/>
    </row>
    <row r="168">
      <c r="A168" s="38">
        <v>44873.0</v>
      </c>
      <c r="B168" s="226" t="s">
        <v>11</v>
      </c>
      <c r="C168" s="40" t="s">
        <v>1732</v>
      </c>
      <c r="D168" s="469" t="s">
        <v>2106</v>
      </c>
      <c r="E168" s="151" t="s">
        <v>2107</v>
      </c>
      <c r="F168" s="45" t="s">
        <v>339</v>
      </c>
      <c r="G168" s="449"/>
      <c r="H168" s="449"/>
      <c r="I168" s="449"/>
      <c r="J168" s="449"/>
      <c r="K168" s="449"/>
      <c r="L168" s="449"/>
      <c r="M168" s="449"/>
      <c r="N168" s="449"/>
      <c r="O168" s="449"/>
      <c r="P168" s="449"/>
      <c r="Q168" s="449"/>
      <c r="R168" s="449"/>
      <c r="S168" s="449"/>
      <c r="T168" s="449"/>
      <c r="U168" s="449"/>
      <c r="V168" s="449"/>
      <c r="W168" s="449"/>
      <c r="X168" s="449"/>
      <c r="Y168" s="449"/>
      <c r="Z168" s="449"/>
      <c r="AA168" s="449"/>
      <c r="AB168" s="449"/>
    </row>
    <row r="169">
      <c r="A169" s="38">
        <v>44873.0</v>
      </c>
      <c r="B169" s="226" t="s">
        <v>11</v>
      </c>
      <c r="C169" s="40" t="s">
        <v>1067</v>
      </c>
      <c r="D169" s="107" t="s">
        <v>2108</v>
      </c>
      <c r="E169" s="151" t="s">
        <v>2109</v>
      </c>
      <c r="F169" s="45" t="s">
        <v>339</v>
      </c>
      <c r="G169" s="449"/>
      <c r="H169" s="449"/>
      <c r="I169" s="449"/>
      <c r="J169" s="449"/>
      <c r="K169" s="449"/>
      <c r="L169" s="449"/>
      <c r="M169" s="449"/>
      <c r="N169" s="449"/>
      <c r="O169" s="449"/>
      <c r="P169" s="449"/>
      <c r="Q169" s="449"/>
      <c r="R169" s="449"/>
      <c r="S169" s="449"/>
      <c r="T169" s="449"/>
      <c r="U169" s="449"/>
      <c r="V169" s="449"/>
      <c r="W169" s="449"/>
      <c r="X169" s="449"/>
      <c r="Y169" s="449"/>
      <c r="Z169" s="449"/>
      <c r="AA169" s="449"/>
      <c r="AB169" s="449"/>
    </row>
    <row r="170">
      <c r="A170" s="38">
        <v>44874.0</v>
      </c>
      <c r="B170" s="226" t="s">
        <v>11</v>
      </c>
      <c r="C170" s="40" t="s">
        <v>1729</v>
      </c>
      <c r="D170" s="107" t="s">
        <v>2110</v>
      </c>
      <c r="E170" s="151" t="s">
        <v>2111</v>
      </c>
      <c r="F170" s="45" t="s">
        <v>339</v>
      </c>
      <c r="G170" s="449"/>
      <c r="H170" s="449"/>
      <c r="I170" s="449"/>
      <c r="J170" s="449"/>
      <c r="K170" s="449"/>
      <c r="L170" s="449"/>
      <c r="M170" s="449"/>
      <c r="N170" s="449"/>
      <c r="O170" s="449"/>
      <c r="P170" s="449"/>
      <c r="Q170" s="449"/>
      <c r="R170" s="449"/>
      <c r="S170" s="449"/>
      <c r="T170" s="449"/>
      <c r="U170" s="449"/>
      <c r="V170" s="449"/>
      <c r="W170" s="449"/>
      <c r="X170" s="449"/>
      <c r="Y170" s="449"/>
      <c r="Z170" s="449"/>
      <c r="AA170" s="449"/>
      <c r="AB170" s="449"/>
    </row>
    <row r="171">
      <c r="A171" s="38">
        <v>44874.0</v>
      </c>
      <c r="B171" s="226" t="s">
        <v>17</v>
      </c>
      <c r="C171" s="40" t="s">
        <v>2112</v>
      </c>
      <c r="D171" s="107" t="s">
        <v>2113</v>
      </c>
      <c r="E171" s="151" t="s">
        <v>2114</v>
      </c>
      <c r="F171" s="45" t="s">
        <v>339</v>
      </c>
      <c r="G171" s="449"/>
      <c r="H171" s="449"/>
      <c r="I171" s="449"/>
      <c r="J171" s="449"/>
      <c r="K171" s="449"/>
      <c r="L171" s="449"/>
      <c r="M171" s="449"/>
      <c r="N171" s="449"/>
      <c r="O171" s="449"/>
      <c r="P171" s="449"/>
      <c r="Q171" s="449"/>
      <c r="R171" s="449"/>
      <c r="S171" s="449"/>
      <c r="T171" s="449"/>
      <c r="U171" s="449"/>
      <c r="V171" s="449"/>
      <c r="W171" s="449"/>
      <c r="X171" s="449"/>
      <c r="Y171" s="449"/>
      <c r="Z171" s="449"/>
      <c r="AA171" s="449"/>
      <c r="AB171" s="449"/>
    </row>
    <row r="172">
      <c r="A172" s="38">
        <v>44874.0</v>
      </c>
      <c r="B172" s="226" t="s">
        <v>17</v>
      </c>
      <c r="C172" s="40" t="s">
        <v>1147</v>
      </c>
      <c r="D172" s="107" t="s">
        <v>2115</v>
      </c>
      <c r="E172" s="411" t="s">
        <v>2116</v>
      </c>
      <c r="F172" s="45" t="s">
        <v>339</v>
      </c>
      <c r="G172" s="449"/>
      <c r="H172" s="449"/>
      <c r="I172" s="449"/>
      <c r="J172" s="449"/>
      <c r="K172" s="449"/>
      <c r="L172" s="449"/>
      <c r="M172" s="449"/>
      <c r="N172" s="449"/>
      <c r="O172" s="449"/>
      <c r="P172" s="449"/>
      <c r="Q172" s="449"/>
      <c r="R172" s="449"/>
      <c r="S172" s="449"/>
      <c r="T172" s="449"/>
      <c r="U172" s="449"/>
      <c r="V172" s="449"/>
      <c r="W172" s="449"/>
      <c r="X172" s="449"/>
      <c r="Y172" s="449"/>
      <c r="Z172" s="449"/>
      <c r="AA172" s="449"/>
      <c r="AB172" s="449"/>
    </row>
    <row r="173">
      <c r="A173" s="38">
        <v>44874.0</v>
      </c>
      <c r="B173" s="226" t="s">
        <v>5</v>
      </c>
      <c r="C173" s="40" t="s">
        <v>884</v>
      </c>
      <c r="D173" s="107" t="s">
        <v>2117</v>
      </c>
      <c r="E173" s="411" t="s">
        <v>2118</v>
      </c>
      <c r="F173" s="45" t="s">
        <v>339</v>
      </c>
      <c r="G173" s="449"/>
      <c r="H173" s="449"/>
      <c r="I173" s="449"/>
      <c r="J173" s="449"/>
      <c r="K173" s="449"/>
      <c r="L173" s="449"/>
      <c r="M173" s="449"/>
      <c r="N173" s="449"/>
      <c r="O173" s="449"/>
      <c r="P173" s="449"/>
      <c r="Q173" s="449"/>
      <c r="R173" s="449"/>
      <c r="S173" s="449"/>
      <c r="T173" s="449"/>
      <c r="U173" s="449"/>
      <c r="V173" s="449"/>
      <c r="W173" s="449"/>
      <c r="X173" s="449"/>
      <c r="Y173" s="449"/>
      <c r="Z173" s="449"/>
      <c r="AA173" s="449"/>
      <c r="AB173" s="449"/>
    </row>
    <row r="174">
      <c r="A174" s="38">
        <v>44874.0</v>
      </c>
      <c r="B174" s="40" t="s">
        <v>11</v>
      </c>
      <c r="C174" s="40" t="s">
        <v>71</v>
      </c>
      <c r="D174" s="107" t="s">
        <v>2119</v>
      </c>
      <c r="E174" s="410" t="s">
        <v>2120</v>
      </c>
      <c r="F174" s="45" t="s">
        <v>339</v>
      </c>
      <c r="G174" s="449"/>
      <c r="H174" s="449"/>
      <c r="I174" s="449"/>
      <c r="J174" s="449"/>
      <c r="K174" s="449"/>
      <c r="L174" s="449"/>
      <c r="M174" s="449"/>
      <c r="N174" s="449"/>
      <c r="O174" s="449"/>
      <c r="P174" s="449"/>
      <c r="Q174" s="449"/>
      <c r="R174" s="449"/>
      <c r="S174" s="449"/>
      <c r="T174" s="449"/>
      <c r="U174" s="449"/>
      <c r="V174" s="449"/>
      <c r="W174" s="449"/>
      <c r="X174" s="449"/>
      <c r="Y174" s="449"/>
      <c r="Z174" s="449"/>
      <c r="AA174" s="449"/>
      <c r="AB174" s="449"/>
    </row>
    <row r="175">
      <c r="A175" s="38">
        <v>44874.0</v>
      </c>
      <c r="B175" s="40" t="s">
        <v>11</v>
      </c>
      <c r="C175" s="40" t="s">
        <v>1732</v>
      </c>
      <c r="D175" s="107" t="s">
        <v>2121</v>
      </c>
      <c r="E175" s="151" t="s">
        <v>2122</v>
      </c>
      <c r="F175" s="45" t="s">
        <v>2123</v>
      </c>
      <c r="G175" s="449"/>
      <c r="H175" s="449"/>
      <c r="I175" s="449"/>
      <c r="J175" s="449"/>
      <c r="K175" s="449"/>
      <c r="L175" s="449"/>
      <c r="M175" s="449"/>
      <c r="N175" s="449"/>
      <c r="O175" s="449"/>
      <c r="P175" s="449"/>
      <c r="Q175" s="449"/>
      <c r="R175" s="449"/>
      <c r="S175" s="449"/>
      <c r="T175" s="449"/>
      <c r="U175" s="449"/>
      <c r="V175" s="449"/>
      <c r="W175" s="449"/>
      <c r="X175" s="449"/>
      <c r="Y175" s="449"/>
      <c r="Z175" s="449"/>
      <c r="AA175" s="449"/>
      <c r="AB175" s="449"/>
    </row>
    <row r="176">
      <c r="A176" s="38">
        <v>44874.0</v>
      </c>
      <c r="B176" s="242" t="s">
        <v>11</v>
      </c>
      <c r="C176" s="242" t="s">
        <v>1067</v>
      </c>
      <c r="D176" s="433" t="s">
        <v>2124</v>
      </c>
      <c r="E176" s="410" t="s">
        <v>2125</v>
      </c>
      <c r="F176" s="45" t="s">
        <v>339</v>
      </c>
      <c r="G176" s="449"/>
      <c r="H176" s="449"/>
      <c r="I176" s="449"/>
      <c r="J176" s="449"/>
      <c r="K176" s="449"/>
      <c r="L176" s="449"/>
      <c r="M176" s="449"/>
      <c r="N176" s="449"/>
      <c r="O176" s="449"/>
      <c r="P176" s="449"/>
      <c r="Q176" s="449"/>
      <c r="R176" s="449"/>
      <c r="S176" s="449"/>
      <c r="T176" s="449"/>
      <c r="U176" s="449"/>
      <c r="V176" s="449"/>
      <c r="W176" s="449"/>
      <c r="X176" s="449"/>
      <c r="Y176" s="449"/>
      <c r="Z176" s="449"/>
      <c r="AA176" s="449"/>
      <c r="AB176" s="449"/>
    </row>
    <row r="177">
      <c r="A177" s="38">
        <v>44875.0</v>
      </c>
      <c r="B177" s="242" t="s">
        <v>11</v>
      </c>
      <c r="C177" s="242" t="s">
        <v>71</v>
      </c>
      <c r="D177" s="433" t="s">
        <v>2126</v>
      </c>
      <c r="E177" s="410" t="s">
        <v>2127</v>
      </c>
      <c r="F177" s="45" t="s">
        <v>726</v>
      </c>
      <c r="G177" s="449"/>
      <c r="H177" s="449"/>
      <c r="I177" s="449"/>
      <c r="J177" s="449"/>
      <c r="K177" s="449"/>
      <c r="L177" s="449"/>
      <c r="M177" s="449"/>
      <c r="N177" s="449"/>
      <c r="O177" s="449"/>
      <c r="P177" s="449"/>
      <c r="Q177" s="449"/>
      <c r="R177" s="449"/>
      <c r="S177" s="449"/>
      <c r="T177" s="449"/>
      <c r="U177" s="449"/>
      <c r="V177" s="449"/>
      <c r="W177" s="449"/>
      <c r="X177" s="449"/>
      <c r="Y177" s="449"/>
      <c r="Z177" s="449"/>
      <c r="AA177" s="449"/>
      <c r="AB177" s="449"/>
    </row>
    <row r="178">
      <c r="A178" s="38">
        <v>44876.0</v>
      </c>
      <c r="B178" s="40" t="s">
        <v>11</v>
      </c>
      <c r="C178" s="40" t="s">
        <v>2128</v>
      </c>
      <c r="D178" s="107" t="s">
        <v>2129</v>
      </c>
      <c r="E178" s="151" t="s">
        <v>2130</v>
      </c>
      <c r="F178" s="45" t="s">
        <v>726</v>
      </c>
      <c r="G178" s="449"/>
      <c r="H178" s="449"/>
      <c r="I178" s="449"/>
      <c r="J178" s="449"/>
      <c r="K178" s="449"/>
      <c r="L178" s="449"/>
      <c r="M178" s="449"/>
      <c r="N178" s="449"/>
      <c r="O178" s="449"/>
      <c r="P178" s="449"/>
      <c r="Q178" s="449"/>
      <c r="R178" s="449"/>
      <c r="S178" s="449"/>
      <c r="T178" s="449"/>
      <c r="U178" s="449"/>
      <c r="V178" s="449"/>
      <c r="W178" s="449"/>
      <c r="X178" s="449"/>
      <c r="Y178" s="449"/>
      <c r="Z178" s="449"/>
      <c r="AA178" s="449"/>
      <c r="AB178" s="449"/>
    </row>
    <row r="179">
      <c r="A179" s="38">
        <v>44876.0</v>
      </c>
      <c r="B179" s="242" t="s">
        <v>17</v>
      </c>
      <c r="C179" s="242" t="s">
        <v>2131</v>
      </c>
      <c r="D179" s="433" t="s">
        <v>2132</v>
      </c>
      <c r="E179" s="410" t="s">
        <v>2133</v>
      </c>
      <c r="F179" s="45" t="s">
        <v>339</v>
      </c>
      <c r="G179" s="449"/>
      <c r="H179" s="449"/>
      <c r="I179" s="449"/>
      <c r="J179" s="449"/>
      <c r="K179" s="449"/>
      <c r="L179" s="449"/>
      <c r="M179" s="449"/>
      <c r="N179" s="449"/>
      <c r="O179" s="449"/>
      <c r="P179" s="449"/>
      <c r="Q179" s="449"/>
      <c r="R179" s="449"/>
      <c r="S179" s="449"/>
      <c r="T179" s="449"/>
      <c r="U179" s="449"/>
      <c r="V179" s="449"/>
      <c r="W179" s="449"/>
      <c r="X179" s="449"/>
      <c r="Y179" s="449"/>
      <c r="Z179" s="449"/>
      <c r="AA179" s="449"/>
      <c r="AB179" s="449"/>
    </row>
    <row r="180">
      <c r="A180" s="38">
        <v>44876.0</v>
      </c>
      <c r="B180" s="242" t="s">
        <v>5</v>
      </c>
      <c r="C180" s="242" t="s">
        <v>2134</v>
      </c>
      <c r="D180" s="433" t="s">
        <v>2135</v>
      </c>
      <c r="E180" s="410" t="s">
        <v>2136</v>
      </c>
      <c r="F180" s="45" t="s">
        <v>339</v>
      </c>
      <c r="G180" s="449"/>
      <c r="H180" s="449"/>
      <c r="I180" s="449"/>
      <c r="J180" s="449"/>
      <c r="K180" s="449"/>
      <c r="L180" s="449"/>
      <c r="M180" s="449"/>
      <c r="N180" s="449"/>
      <c r="O180" s="449"/>
      <c r="P180" s="449"/>
      <c r="Q180" s="449"/>
      <c r="R180" s="449"/>
      <c r="S180" s="449"/>
      <c r="T180" s="449"/>
      <c r="U180" s="449"/>
      <c r="V180" s="449"/>
      <c r="W180" s="449"/>
      <c r="X180" s="449"/>
      <c r="Y180" s="449"/>
      <c r="Z180" s="449"/>
      <c r="AA180" s="449"/>
      <c r="AB180" s="449"/>
    </row>
    <row r="181">
      <c r="A181" s="38">
        <v>44879.0</v>
      </c>
      <c r="B181" s="242" t="s">
        <v>5</v>
      </c>
      <c r="C181" s="242" t="s">
        <v>884</v>
      </c>
      <c r="D181" s="433" t="s">
        <v>2137</v>
      </c>
      <c r="E181" s="410" t="s">
        <v>2138</v>
      </c>
      <c r="F181" s="45" t="s">
        <v>339</v>
      </c>
      <c r="G181" s="449"/>
      <c r="H181" s="449"/>
      <c r="I181" s="449"/>
      <c r="J181" s="449"/>
      <c r="K181" s="449"/>
      <c r="L181" s="449"/>
      <c r="M181" s="449"/>
      <c r="N181" s="449"/>
      <c r="O181" s="449"/>
      <c r="P181" s="449"/>
      <c r="Q181" s="449"/>
      <c r="R181" s="449"/>
      <c r="S181" s="449"/>
      <c r="T181" s="449"/>
      <c r="U181" s="449"/>
      <c r="V181" s="449"/>
      <c r="W181" s="449"/>
      <c r="X181" s="449"/>
      <c r="Y181" s="449"/>
      <c r="Z181" s="449"/>
      <c r="AA181" s="449"/>
      <c r="AB181" s="449"/>
    </row>
    <row r="182">
      <c r="A182" s="38">
        <v>44879.0</v>
      </c>
      <c r="B182" s="242" t="s">
        <v>11</v>
      </c>
      <c r="C182" s="242" t="s">
        <v>71</v>
      </c>
      <c r="D182" s="433" t="s">
        <v>2139</v>
      </c>
      <c r="E182" s="410" t="s">
        <v>2140</v>
      </c>
      <c r="F182" s="45" t="s">
        <v>1781</v>
      </c>
      <c r="G182" s="449"/>
      <c r="H182" s="449"/>
      <c r="I182" s="449"/>
      <c r="J182" s="449"/>
      <c r="K182" s="449"/>
      <c r="L182" s="449"/>
      <c r="M182" s="449"/>
      <c r="N182" s="449"/>
      <c r="O182" s="449"/>
      <c r="P182" s="449"/>
      <c r="Q182" s="449"/>
      <c r="R182" s="449"/>
      <c r="S182" s="449"/>
      <c r="T182" s="449"/>
      <c r="U182" s="449"/>
      <c r="V182" s="449"/>
      <c r="W182" s="449"/>
      <c r="X182" s="449"/>
      <c r="Y182" s="449"/>
      <c r="Z182" s="449"/>
      <c r="AA182" s="449"/>
      <c r="AB182" s="449"/>
    </row>
    <row r="183">
      <c r="A183" s="38">
        <v>44879.0</v>
      </c>
      <c r="B183" s="40" t="s">
        <v>17</v>
      </c>
      <c r="C183" s="40" t="s">
        <v>2141</v>
      </c>
      <c r="D183" s="107" t="s">
        <v>2142</v>
      </c>
      <c r="E183" s="151" t="s">
        <v>2143</v>
      </c>
      <c r="F183" s="45" t="s">
        <v>339</v>
      </c>
      <c r="G183" s="449"/>
      <c r="H183" s="449"/>
      <c r="I183" s="449"/>
      <c r="J183" s="449"/>
      <c r="K183" s="449"/>
      <c r="L183" s="449"/>
      <c r="M183" s="449"/>
      <c r="N183" s="449"/>
      <c r="O183" s="449"/>
      <c r="P183" s="449"/>
      <c r="Q183" s="449"/>
      <c r="R183" s="449"/>
      <c r="S183" s="449"/>
      <c r="T183" s="449"/>
      <c r="U183" s="449"/>
      <c r="V183" s="449"/>
      <c r="W183" s="449"/>
      <c r="X183" s="449"/>
      <c r="Y183" s="449"/>
      <c r="Z183" s="449"/>
      <c r="AA183" s="449"/>
      <c r="AB183" s="449"/>
    </row>
    <row r="184">
      <c r="A184" s="38">
        <v>44879.0</v>
      </c>
      <c r="B184" s="40" t="s">
        <v>17</v>
      </c>
      <c r="C184" s="40" t="s">
        <v>2144</v>
      </c>
      <c r="D184" s="107" t="s">
        <v>2132</v>
      </c>
      <c r="E184" s="151" t="s">
        <v>2145</v>
      </c>
      <c r="F184" s="45" t="s">
        <v>339</v>
      </c>
      <c r="G184" s="449"/>
      <c r="H184" s="449"/>
      <c r="I184" s="449"/>
      <c r="J184" s="449"/>
      <c r="K184" s="449"/>
      <c r="L184" s="449"/>
      <c r="M184" s="449"/>
      <c r="N184" s="449"/>
      <c r="O184" s="449"/>
      <c r="P184" s="449"/>
      <c r="Q184" s="449"/>
      <c r="R184" s="449"/>
      <c r="S184" s="449"/>
      <c r="T184" s="449"/>
      <c r="U184" s="449"/>
      <c r="V184" s="449"/>
      <c r="W184" s="449"/>
      <c r="X184" s="449"/>
      <c r="Y184" s="449"/>
      <c r="Z184" s="449"/>
      <c r="AA184" s="449"/>
      <c r="AB184" s="449"/>
    </row>
    <row r="185">
      <c r="A185" s="38">
        <v>44881.0</v>
      </c>
      <c r="B185" s="40" t="s">
        <v>17</v>
      </c>
      <c r="C185" s="40" t="s">
        <v>2146</v>
      </c>
      <c r="D185" s="107" t="s">
        <v>2147</v>
      </c>
      <c r="E185" s="151" t="s">
        <v>2148</v>
      </c>
      <c r="F185" s="45" t="s">
        <v>339</v>
      </c>
      <c r="G185" s="449"/>
      <c r="H185" s="449"/>
      <c r="I185" s="449"/>
      <c r="J185" s="449"/>
      <c r="K185" s="449"/>
      <c r="L185" s="449"/>
      <c r="M185" s="449"/>
      <c r="N185" s="449"/>
      <c r="O185" s="449"/>
      <c r="P185" s="449"/>
      <c r="Q185" s="449"/>
      <c r="R185" s="449"/>
      <c r="S185" s="449"/>
      <c r="T185" s="449"/>
      <c r="U185" s="449"/>
      <c r="V185" s="449"/>
      <c r="W185" s="449"/>
      <c r="X185" s="449"/>
      <c r="Y185" s="449"/>
      <c r="Z185" s="449"/>
      <c r="AA185" s="449"/>
      <c r="AB185" s="449"/>
    </row>
    <row r="186">
      <c r="A186" s="38">
        <v>44882.0</v>
      </c>
      <c r="B186" s="40" t="s">
        <v>17</v>
      </c>
      <c r="C186" s="40" t="s">
        <v>2149</v>
      </c>
      <c r="D186" s="107" t="s">
        <v>2150</v>
      </c>
      <c r="E186" s="410" t="s">
        <v>2151</v>
      </c>
      <c r="F186" s="45" t="s">
        <v>339</v>
      </c>
      <c r="G186" s="449"/>
      <c r="H186" s="449"/>
      <c r="I186" s="449"/>
      <c r="J186" s="449"/>
      <c r="K186" s="449"/>
      <c r="L186" s="449"/>
      <c r="M186" s="449"/>
      <c r="N186" s="449"/>
      <c r="O186" s="449"/>
      <c r="P186" s="449"/>
      <c r="Q186" s="449"/>
      <c r="R186" s="449"/>
      <c r="S186" s="449"/>
      <c r="T186" s="449"/>
      <c r="U186" s="449"/>
      <c r="V186" s="449"/>
      <c r="W186" s="449"/>
      <c r="X186" s="449"/>
      <c r="Y186" s="449"/>
      <c r="Z186" s="449"/>
      <c r="AA186" s="449"/>
      <c r="AB186" s="449"/>
    </row>
    <row r="187">
      <c r="A187" s="38">
        <v>44886.0</v>
      </c>
      <c r="B187" s="242" t="s">
        <v>11</v>
      </c>
      <c r="C187" s="242" t="s">
        <v>374</v>
      </c>
      <c r="D187" s="433" t="s">
        <v>2152</v>
      </c>
      <c r="E187" s="410" t="s">
        <v>2153</v>
      </c>
      <c r="F187" s="45" t="s">
        <v>339</v>
      </c>
      <c r="G187" s="449"/>
      <c r="H187" s="449"/>
      <c r="I187" s="449"/>
      <c r="J187" s="449"/>
      <c r="K187" s="449"/>
      <c r="L187" s="449"/>
      <c r="M187" s="449"/>
      <c r="N187" s="449"/>
      <c r="O187" s="449"/>
      <c r="P187" s="449"/>
      <c r="Q187" s="449"/>
      <c r="R187" s="449"/>
      <c r="S187" s="449"/>
      <c r="T187" s="449"/>
      <c r="U187" s="449"/>
      <c r="V187" s="449"/>
      <c r="W187" s="449"/>
      <c r="X187" s="449"/>
      <c r="Y187" s="449"/>
      <c r="Z187" s="449"/>
      <c r="AA187" s="449"/>
      <c r="AB187" s="449"/>
    </row>
    <row r="188">
      <c r="A188" s="38">
        <v>44887.0</v>
      </c>
      <c r="B188" s="40" t="s">
        <v>11</v>
      </c>
      <c r="C188" s="40" t="s">
        <v>1802</v>
      </c>
      <c r="D188" s="107" t="s">
        <v>2154</v>
      </c>
      <c r="E188" s="151" t="s">
        <v>2155</v>
      </c>
      <c r="F188" s="45" t="s">
        <v>339</v>
      </c>
      <c r="G188" s="449"/>
      <c r="H188" s="449"/>
      <c r="I188" s="449"/>
      <c r="J188" s="449"/>
      <c r="K188" s="449"/>
      <c r="L188" s="449"/>
      <c r="M188" s="449"/>
      <c r="N188" s="449"/>
      <c r="O188" s="449"/>
      <c r="P188" s="449"/>
      <c r="Q188" s="449"/>
      <c r="R188" s="449"/>
      <c r="S188" s="449"/>
      <c r="T188" s="449"/>
      <c r="U188" s="449"/>
      <c r="V188" s="449"/>
      <c r="W188" s="449"/>
      <c r="X188" s="449"/>
      <c r="Y188" s="449"/>
      <c r="Z188" s="449"/>
      <c r="AA188" s="449"/>
      <c r="AB188" s="449"/>
    </row>
    <row r="189">
      <c r="A189" s="38">
        <v>44887.0</v>
      </c>
      <c r="B189" s="40" t="s">
        <v>11</v>
      </c>
      <c r="C189" s="40" t="s">
        <v>71</v>
      </c>
      <c r="D189" s="107" t="s">
        <v>2156</v>
      </c>
      <c r="E189" s="410" t="s">
        <v>2157</v>
      </c>
      <c r="F189" s="45" t="s">
        <v>339</v>
      </c>
      <c r="G189" s="449"/>
      <c r="H189" s="449"/>
      <c r="I189" s="449"/>
      <c r="J189" s="449"/>
      <c r="K189" s="449"/>
      <c r="L189" s="449"/>
      <c r="M189" s="449"/>
      <c r="N189" s="449"/>
      <c r="O189" s="449"/>
      <c r="P189" s="449"/>
      <c r="Q189" s="449"/>
      <c r="R189" s="449"/>
      <c r="S189" s="449"/>
      <c r="T189" s="449"/>
      <c r="U189" s="449"/>
      <c r="V189" s="449"/>
      <c r="W189" s="449"/>
      <c r="X189" s="449"/>
      <c r="Y189" s="449"/>
      <c r="Z189" s="449"/>
      <c r="AA189" s="449"/>
      <c r="AB189" s="449"/>
    </row>
    <row r="190">
      <c r="A190" s="38">
        <v>44887.0</v>
      </c>
      <c r="B190" s="40" t="s">
        <v>11</v>
      </c>
      <c r="C190" s="40" t="s">
        <v>71</v>
      </c>
      <c r="D190" s="107" t="s">
        <v>2158</v>
      </c>
      <c r="E190" s="151" t="s">
        <v>2159</v>
      </c>
      <c r="F190" s="45" t="s">
        <v>339</v>
      </c>
      <c r="G190" s="449"/>
      <c r="H190" s="449"/>
      <c r="I190" s="449"/>
      <c r="J190" s="449"/>
      <c r="K190" s="449"/>
      <c r="L190" s="449"/>
      <c r="M190" s="449"/>
      <c r="N190" s="449"/>
      <c r="O190" s="449"/>
      <c r="P190" s="449"/>
      <c r="Q190" s="449"/>
      <c r="R190" s="449"/>
      <c r="S190" s="449"/>
      <c r="T190" s="449"/>
      <c r="U190" s="449"/>
      <c r="V190" s="449"/>
      <c r="W190" s="449"/>
      <c r="X190" s="449"/>
      <c r="Y190" s="449"/>
      <c r="Z190" s="449"/>
      <c r="AA190" s="449"/>
      <c r="AB190" s="449"/>
    </row>
    <row r="191">
      <c r="A191" s="38">
        <v>44888.0</v>
      </c>
      <c r="B191" s="40" t="s">
        <v>11</v>
      </c>
      <c r="C191" s="40" t="s">
        <v>1168</v>
      </c>
      <c r="D191" s="107" t="s">
        <v>2160</v>
      </c>
      <c r="E191" s="151" t="s">
        <v>2161</v>
      </c>
      <c r="F191" s="45" t="s">
        <v>2123</v>
      </c>
      <c r="G191" s="449"/>
      <c r="H191" s="449"/>
      <c r="I191" s="449"/>
      <c r="J191" s="449"/>
      <c r="K191" s="449"/>
      <c r="L191" s="449"/>
      <c r="M191" s="449"/>
      <c r="N191" s="449"/>
      <c r="O191" s="449"/>
      <c r="P191" s="449"/>
      <c r="Q191" s="449"/>
      <c r="R191" s="449"/>
      <c r="S191" s="449"/>
      <c r="T191" s="449"/>
      <c r="U191" s="449"/>
      <c r="V191" s="449"/>
      <c r="W191" s="449"/>
      <c r="X191" s="449"/>
      <c r="Y191" s="449"/>
      <c r="Z191" s="449"/>
      <c r="AA191" s="449"/>
      <c r="AB191" s="449"/>
    </row>
    <row r="192">
      <c r="A192" s="38">
        <v>44888.0</v>
      </c>
      <c r="B192" s="242" t="s">
        <v>11</v>
      </c>
      <c r="C192" s="242" t="s">
        <v>374</v>
      </c>
      <c r="D192" s="107" t="s">
        <v>2162</v>
      </c>
      <c r="E192" s="410" t="s">
        <v>2163</v>
      </c>
      <c r="F192" s="45" t="s">
        <v>339</v>
      </c>
      <c r="G192" s="449"/>
      <c r="H192" s="449"/>
      <c r="I192" s="449"/>
      <c r="J192" s="449"/>
      <c r="K192" s="449"/>
      <c r="L192" s="449"/>
      <c r="M192" s="449"/>
      <c r="N192" s="449"/>
      <c r="O192" s="449"/>
      <c r="P192" s="449"/>
      <c r="Q192" s="449"/>
      <c r="R192" s="449"/>
      <c r="S192" s="449"/>
      <c r="T192" s="449"/>
      <c r="U192" s="449"/>
      <c r="V192" s="449"/>
      <c r="W192" s="449"/>
      <c r="X192" s="449"/>
      <c r="Y192" s="449"/>
      <c r="Z192" s="449"/>
      <c r="AA192" s="449"/>
      <c r="AB192" s="449"/>
    </row>
    <row r="193">
      <c r="A193" s="38">
        <v>44890.0</v>
      </c>
      <c r="B193" s="40" t="s">
        <v>11</v>
      </c>
      <c r="C193" s="40" t="s">
        <v>71</v>
      </c>
      <c r="D193" s="107" t="s">
        <v>2164</v>
      </c>
      <c r="E193" s="410" t="s">
        <v>2165</v>
      </c>
      <c r="F193" s="45" t="s">
        <v>2123</v>
      </c>
      <c r="G193" s="449"/>
      <c r="H193" s="449"/>
      <c r="I193" s="449"/>
      <c r="J193" s="449"/>
      <c r="K193" s="449"/>
      <c r="L193" s="449"/>
      <c r="M193" s="449"/>
      <c r="N193" s="449"/>
      <c r="O193" s="449"/>
      <c r="P193" s="449"/>
      <c r="Q193" s="449"/>
      <c r="R193" s="449"/>
      <c r="S193" s="449"/>
      <c r="T193" s="449"/>
      <c r="U193" s="449"/>
      <c r="V193" s="449"/>
      <c r="W193" s="449"/>
      <c r="X193" s="449"/>
      <c r="Y193" s="449"/>
      <c r="Z193" s="449"/>
      <c r="AA193" s="449"/>
      <c r="AB193" s="449"/>
    </row>
    <row r="194">
      <c r="A194" s="38">
        <v>44890.0</v>
      </c>
      <c r="B194" s="299" t="s">
        <v>11</v>
      </c>
      <c r="C194" s="299" t="s">
        <v>2166</v>
      </c>
      <c r="D194" s="442" t="s">
        <v>2164</v>
      </c>
      <c r="E194" s="413" t="s">
        <v>2167</v>
      </c>
      <c r="F194" s="298" t="s">
        <v>2123</v>
      </c>
      <c r="G194" s="449"/>
      <c r="H194" s="449"/>
      <c r="I194" s="449"/>
      <c r="J194" s="449"/>
      <c r="K194" s="449"/>
      <c r="L194" s="449"/>
      <c r="M194" s="449"/>
      <c r="N194" s="449"/>
      <c r="O194" s="449"/>
      <c r="P194" s="449"/>
      <c r="Q194" s="449"/>
      <c r="R194" s="449"/>
      <c r="S194" s="449"/>
      <c r="T194" s="449"/>
      <c r="U194" s="449"/>
      <c r="V194" s="449"/>
      <c r="W194" s="449"/>
      <c r="X194" s="449"/>
      <c r="Y194" s="449"/>
      <c r="Z194" s="449"/>
      <c r="AA194" s="449"/>
      <c r="AB194" s="449"/>
    </row>
    <row r="195">
      <c r="A195" s="38">
        <v>44897.0</v>
      </c>
      <c r="B195" s="170" t="s">
        <v>17</v>
      </c>
      <c r="C195" s="170" t="s">
        <v>2075</v>
      </c>
      <c r="D195" s="444" t="s">
        <v>2168</v>
      </c>
      <c r="E195" s="425" t="s">
        <v>2169</v>
      </c>
      <c r="F195" s="39" t="s">
        <v>339</v>
      </c>
      <c r="G195" s="449"/>
      <c r="H195" s="449"/>
      <c r="I195" s="449"/>
      <c r="J195" s="449"/>
      <c r="K195" s="449"/>
      <c r="L195" s="449"/>
      <c r="M195" s="449"/>
      <c r="N195" s="449"/>
      <c r="O195" s="449"/>
      <c r="P195" s="449"/>
      <c r="Q195" s="449"/>
      <c r="R195" s="449"/>
      <c r="S195" s="449"/>
      <c r="T195" s="449"/>
      <c r="U195" s="449"/>
      <c r="V195" s="449"/>
      <c r="W195" s="449"/>
      <c r="X195" s="449"/>
      <c r="Y195" s="449"/>
      <c r="Z195" s="449"/>
      <c r="AA195" s="449"/>
      <c r="AB195" s="449"/>
    </row>
    <row r="196">
      <c r="A196" s="38">
        <v>44902.0</v>
      </c>
      <c r="B196" s="170" t="s">
        <v>17</v>
      </c>
      <c r="C196" s="40" t="s">
        <v>2170</v>
      </c>
      <c r="D196" s="107" t="s">
        <v>2171</v>
      </c>
      <c r="E196" s="410" t="s">
        <v>2172</v>
      </c>
      <c r="F196" s="39" t="s">
        <v>339</v>
      </c>
      <c r="G196" s="449"/>
      <c r="H196" s="449"/>
      <c r="I196" s="449"/>
      <c r="J196" s="449"/>
      <c r="K196" s="449"/>
      <c r="L196" s="449"/>
      <c r="M196" s="449"/>
      <c r="N196" s="449"/>
      <c r="O196" s="449"/>
      <c r="P196" s="449"/>
      <c r="Q196" s="449"/>
      <c r="R196" s="449"/>
      <c r="S196" s="449"/>
      <c r="T196" s="449"/>
      <c r="U196" s="449"/>
      <c r="V196" s="449"/>
      <c r="W196" s="449"/>
      <c r="X196" s="449"/>
      <c r="Y196" s="449"/>
      <c r="Z196" s="449"/>
      <c r="AA196" s="449"/>
      <c r="AB196" s="449"/>
    </row>
    <row r="197">
      <c r="A197" s="38">
        <v>44902.0</v>
      </c>
      <c r="B197" s="170" t="s">
        <v>11</v>
      </c>
      <c r="C197" s="40" t="s">
        <v>1168</v>
      </c>
      <c r="D197" s="107" t="s">
        <v>2173</v>
      </c>
      <c r="E197" s="410" t="s">
        <v>2174</v>
      </c>
      <c r="F197" s="39" t="s">
        <v>339</v>
      </c>
      <c r="G197" s="449"/>
      <c r="H197" s="449"/>
      <c r="I197" s="449"/>
      <c r="J197" s="449"/>
      <c r="K197" s="449"/>
      <c r="L197" s="449"/>
      <c r="M197" s="449"/>
      <c r="N197" s="449"/>
      <c r="O197" s="449"/>
      <c r="P197" s="449"/>
      <c r="Q197" s="449"/>
      <c r="R197" s="449"/>
      <c r="S197" s="449"/>
      <c r="T197" s="449"/>
      <c r="U197" s="449"/>
      <c r="V197" s="449"/>
      <c r="W197" s="449"/>
      <c r="X197" s="449"/>
      <c r="Y197" s="449"/>
      <c r="Z197" s="449"/>
      <c r="AA197" s="449"/>
      <c r="AB197" s="449"/>
    </row>
    <row r="198">
      <c r="A198" s="38">
        <v>44921.0</v>
      </c>
      <c r="B198" s="170" t="s">
        <v>11</v>
      </c>
      <c r="C198" s="40" t="s">
        <v>58</v>
      </c>
      <c r="D198" s="107" t="s">
        <v>2175</v>
      </c>
      <c r="E198" s="151" t="s">
        <v>2176</v>
      </c>
      <c r="F198" s="39" t="s">
        <v>339</v>
      </c>
      <c r="G198" s="449"/>
      <c r="H198" s="449"/>
      <c r="I198" s="449"/>
      <c r="J198" s="449"/>
      <c r="K198" s="449"/>
      <c r="L198" s="449"/>
      <c r="M198" s="449"/>
      <c r="N198" s="449"/>
      <c r="O198" s="449"/>
      <c r="P198" s="449"/>
      <c r="Q198" s="449"/>
      <c r="R198" s="449"/>
      <c r="S198" s="449"/>
      <c r="T198" s="449"/>
      <c r="U198" s="449"/>
      <c r="V198" s="449"/>
      <c r="W198" s="449"/>
      <c r="X198" s="449"/>
      <c r="Y198" s="449"/>
      <c r="Z198" s="449"/>
      <c r="AA198" s="449"/>
      <c r="AB198" s="449"/>
    </row>
    <row r="199">
      <c r="A199" s="38">
        <v>44921.0</v>
      </c>
      <c r="B199" s="170" t="s">
        <v>11</v>
      </c>
      <c r="C199" s="40" t="s">
        <v>71</v>
      </c>
      <c r="D199" s="107" t="s">
        <v>2175</v>
      </c>
      <c r="E199" s="151" t="s">
        <v>2177</v>
      </c>
      <c r="F199" s="39" t="s">
        <v>339</v>
      </c>
      <c r="G199" s="449"/>
      <c r="H199" s="449"/>
      <c r="I199" s="449"/>
      <c r="J199" s="449"/>
      <c r="K199" s="449"/>
      <c r="L199" s="449"/>
      <c r="M199" s="449"/>
      <c r="N199" s="449"/>
      <c r="O199" s="449"/>
      <c r="P199" s="449"/>
      <c r="Q199" s="449"/>
      <c r="R199" s="449"/>
      <c r="S199" s="449"/>
      <c r="T199" s="449"/>
      <c r="U199" s="449"/>
      <c r="V199" s="449"/>
      <c r="W199" s="449"/>
      <c r="X199" s="449"/>
      <c r="Y199" s="449"/>
      <c r="Z199" s="449"/>
      <c r="AA199" s="449"/>
      <c r="AB199" s="449"/>
    </row>
    <row r="200">
      <c r="A200" s="38">
        <v>44925.0</v>
      </c>
      <c r="B200" s="170" t="s">
        <v>11</v>
      </c>
      <c r="C200" s="40" t="s">
        <v>1143</v>
      </c>
      <c r="D200" s="107" t="s">
        <v>2178</v>
      </c>
      <c r="E200" s="151" t="s">
        <v>2179</v>
      </c>
      <c r="F200" s="39" t="s">
        <v>339</v>
      </c>
      <c r="G200" s="449"/>
      <c r="H200" s="449"/>
      <c r="I200" s="449"/>
      <c r="J200" s="449"/>
      <c r="K200" s="449"/>
      <c r="L200" s="449"/>
      <c r="M200" s="449"/>
      <c r="N200" s="449"/>
      <c r="O200" s="449"/>
      <c r="P200" s="449"/>
      <c r="Q200" s="449"/>
      <c r="R200" s="449"/>
      <c r="S200" s="449"/>
      <c r="T200" s="449"/>
      <c r="U200" s="449"/>
      <c r="V200" s="449"/>
      <c r="W200" s="449"/>
      <c r="X200" s="449"/>
      <c r="Y200" s="449"/>
      <c r="Z200" s="449"/>
      <c r="AA200" s="449"/>
      <c r="AB200" s="449"/>
    </row>
    <row r="201">
      <c r="A201" s="38">
        <v>44925.0</v>
      </c>
      <c r="B201" s="170" t="s">
        <v>11</v>
      </c>
      <c r="C201" s="40" t="s">
        <v>1143</v>
      </c>
      <c r="D201" s="107" t="s">
        <v>2180</v>
      </c>
      <c r="E201" s="151" t="s">
        <v>2181</v>
      </c>
      <c r="F201" s="39" t="s">
        <v>339</v>
      </c>
      <c r="G201" s="449"/>
      <c r="H201" s="449"/>
      <c r="I201" s="449"/>
      <c r="J201" s="449"/>
      <c r="K201" s="449"/>
      <c r="L201" s="449"/>
      <c r="M201" s="449"/>
      <c r="N201" s="449"/>
      <c r="O201" s="449"/>
      <c r="P201" s="449"/>
      <c r="Q201" s="449"/>
      <c r="R201" s="449"/>
      <c r="S201" s="449"/>
      <c r="T201" s="449"/>
      <c r="U201" s="449"/>
      <c r="V201" s="449"/>
      <c r="W201" s="449"/>
      <c r="X201" s="449"/>
      <c r="Y201" s="449"/>
      <c r="Z201" s="449"/>
      <c r="AA201" s="449"/>
      <c r="AB201" s="449"/>
    </row>
    <row r="202">
      <c r="A202" s="38">
        <v>44925.0</v>
      </c>
      <c r="B202" s="170" t="s">
        <v>11</v>
      </c>
      <c r="C202" s="40" t="s">
        <v>1143</v>
      </c>
      <c r="D202" s="107" t="s">
        <v>2182</v>
      </c>
      <c r="E202" s="151" t="s">
        <v>2183</v>
      </c>
      <c r="F202" s="39" t="s">
        <v>339</v>
      </c>
      <c r="G202" s="449"/>
      <c r="H202" s="449"/>
      <c r="I202" s="449"/>
      <c r="J202" s="449"/>
      <c r="K202" s="449"/>
      <c r="L202" s="449"/>
      <c r="M202" s="449"/>
      <c r="N202" s="449"/>
      <c r="O202" s="449"/>
      <c r="P202" s="449"/>
      <c r="Q202" s="449"/>
      <c r="R202" s="449"/>
      <c r="S202" s="449"/>
      <c r="T202" s="449"/>
      <c r="U202" s="449"/>
      <c r="V202" s="449"/>
      <c r="W202" s="449"/>
      <c r="X202" s="449"/>
      <c r="Y202" s="449"/>
      <c r="Z202" s="449"/>
      <c r="AA202" s="449"/>
      <c r="AB202" s="449"/>
    </row>
    <row r="203">
      <c r="A203" s="38">
        <v>44926.0</v>
      </c>
      <c r="B203" s="170" t="s">
        <v>11</v>
      </c>
      <c r="C203" s="40" t="s">
        <v>374</v>
      </c>
      <c r="D203" s="107" t="s">
        <v>2184</v>
      </c>
      <c r="E203" s="151" t="s">
        <v>2185</v>
      </c>
      <c r="F203" s="39" t="s">
        <v>2186</v>
      </c>
      <c r="G203" s="449"/>
      <c r="H203" s="449"/>
      <c r="I203" s="449"/>
      <c r="J203" s="449"/>
      <c r="K203" s="449"/>
      <c r="L203" s="449"/>
      <c r="M203" s="449"/>
      <c r="N203" s="449"/>
      <c r="O203" s="449"/>
      <c r="P203" s="449"/>
      <c r="Q203" s="449"/>
      <c r="R203" s="449"/>
      <c r="S203" s="449"/>
      <c r="T203" s="449"/>
      <c r="U203" s="449"/>
      <c r="V203" s="449"/>
      <c r="W203" s="449"/>
      <c r="X203" s="449"/>
      <c r="Y203" s="449"/>
      <c r="Z203" s="449"/>
      <c r="AA203" s="449"/>
      <c r="AB203" s="449"/>
    </row>
    <row r="204">
      <c r="A204" s="337"/>
      <c r="B204" s="338"/>
      <c r="C204" s="338"/>
      <c r="D204" s="338"/>
      <c r="E204" s="338"/>
      <c r="F204" s="337"/>
      <c r="G204" s="449"/>
      <c r="H204" s="449"/>
      <c r="I204" s="449"/>
      <c r="J204" s="449"/>
      <c r="K204" s="449"/>
      <c r="L204" s="449"/>
      <c r="M204" s="449"/>
      <c r="N204" s="449"/>
      <c r="O204" s="449"/>
      <c r="P204" s="449"/>
      <c r="Q204" s="449"/>
      <c r="R204" s="449"/>
      <c r="S204" s="449"/>
      <c r="T204" s="449"/>
      <c r="U204" s="449"/>
      <c r="V204" s="449"/>
      <c r="W204" s="449"/>
      <c r="X204" s="449"/>
      <c r="Y204" s="449"/>
      <c r="Z204" s="449"/>
      <c r="AA204" s="449"/>
      <c r="AB204" s="449"/>
    </row>
    <row r="205">
      <c r="A205" s="337"/>
      <c r="B205" s="338"/>
      <c r="C205" s="338"/>
      <c r="D205" s="338"/>
      <c r="E205" s="338"/>
      <c r="F205" s="337"/>
      <c r="G205" s="449"/>
      <c r="H205" s="449"/>
      <c r="I205" s="449"/>
      <c r="J205" s="449"/>
      <c r="K205" s="449"/>
      <c r="L205" s="449"/>
      <c r="M205" s="449"/>
      <c r="N205" s="449"/>
      <c r="O205" s="449"/>
      <c r="P205" s="449"/>
      <c r="Q205" s="449"/>
      <c r="R205" s="449"/>
      <c r="S205" s="449"/>
      <c r="T205" s="449"/>
      <c r="U205" s="449"/>
      <c r="V205" s="449"/>
      <c r="W205" s="449"/>
      <c r="X205" s="449"/>
      <c r="Y205" s="449"/>
      <c r="Z205" s="449"/>
      <c r="AA205" s="449"/>
      <c r="AB205" s="449"/>
    </row>
    <row r="206">
      <c r="A206" s="337"/>
      <c r="B206" s="338"/>
      <c r="C206" s="338"/>
      <c r="D206" s="338"/>
      <c r="E206" s="338"/>
      <c r="F206" s="337"/>
      <c r="G206" s="449"/>
      <c r="H206" s="449"/>
      <c r="I206" s="449"/>
      <c r="J206" s="449"/>
      <c r="K206" s="449"/>
      <c r="L206" s="449"/>
      <c r="M206" s="449"/>
      <c r="N206" s="449"/>
      <c r="O206" s="449"/>
      <c r="P206" s="449"/>
      <c r="Q206" s="449"/>
      <c r="R206" s="449"/>
      <c r="S206" s="449"/>
      <c r="T206" s="449"/>
      <c r="U206" s="449"/>
      <c r="V206" s="449"/>
      <c r="W206" s="449"/>
      <c r="X206" s="449"/>
      <c r="Y206" s="449"/>
      <c r="Z206" s="449"/>
      <c r="AA206" s="449"/>
      <c r="AB206" s="449"/>
    </row>
    <row r="207">
      <c r="A207" s="337"/>
      <c r="B207" s="338"/>
      <c r="C207" s="338"/>
      <c r="D207" s="338"/>
      <c r="E207" s="338"/>
      <c r="F207" s="337"/>
      <c r="G207" s="449"/>
      <c r="H207" s="449"/>
      <c r="I207" s="449"/>
      <c r="J207" s="449"/>
      <c r="K207" s="449"/>
      <c r="L207" s="449"/>
      <c r="M207" s="449"/>
      <c r="N207" s="449"/>
      <c r="O207" s="449"/>
      <c r="P207" s="449"/>
      <c r="Q207" s="449"/>
      <c r="R207" s="449"/>
      <c r="S207" s="449"/>
      <c r="T207" s="449"/>
      <c r="U207" s="449"/>
      <c r="V207" s="449"/>
      <c r="W207" s="449"/>
      <c r="X207" s="449"/>
      <c r="Y207" s="449"/>
      <c r="Z207" s="449"/>
      <c r="AA207" s="449"/>
      <c r="AB207" s="449"/>
    </row>
    <row r="208">
      <c r="A208" s="337"/>
      <c r="B208" s="338"/>
      <c r="C208" s="338"/>
      <c r="D208" s="338"/>
      <c r="E208" s="338"/>
      <c r="F208" s="337"/>
      <c r="G208" s="449"/>
      <c r="H208" s="449"/>
      <c r="I208" s="449"/>
      <c r="J208" s="449"/>
      <c r="K208" s="449"/>
      <c r="L208" s="449"/>
      <c r="M208" s="449"/>
      <c r="N208" s="449"/>
      <c r="O208" s="449"/>
      <c r="P208" s="449"/>
      <c r="Q208" s="449"/>
      <c r="R208" s="449"/>
      <c r="S208" s="449"/>
      <c r="T208" s="449"/>
      <c r="U208" s="449"/>
      <c r="V208" s="449"/>
      <c r="W208" s="449"/>
      <c r="X208" s="449"/>
      <c r="Y208" s="449"/>
      <c r="Z208" s="449"/>
      <c r="AA208" s="449"/>
      <c r="AB208" s="449"/>
    </row>
    <row r="209">
      <c r="A209" s="337"/>
      <c r="B209" s="338"/>
      <c r="C209" s="338"/>
      <c r="D209" s="338"/>
      <c r="E209" s="338"/>
      <c r="F209" s="337"/>
      <c r="G209" s="449"/>
      <c r="H209" s="449"/>
      <c r="I209" s="449"/>
      <c r="J209" s="449"/>
      <c r="K209" s="449"/>
      <c r="L209" s="449"/>
      <c r="M209" s="449"/>
      <c r="N209" s="449"/>
      <c r="O209" s="449"/>
      <c r="P209" s="449"/>
      <c r="Q209" s="449"/>
      <c r="R209" s="449"/>
      <c r="S209" s="449"/>
      <c r="T209" s="449"/>
      <c r="U209" s="449"/>
      <c r="V209" s="449"/>
      <c r="W209" s="449"/>
      <c r="X209" s="449"/>
      <c r="Y209" s="449"/>
      <c r="Z209" s="449"/>
      <c r="AA209" s="449"/>
      <c r="AB209" s="449"/>
    </row>
    <row r="210">
      <c r="A210" s="337"/>
      <c r="B210" s="338"/>
      <c r="C210" s="338"/>
      <c r="D210" s="338"/>
      <c r="E210" s="338"/>
      <c r="F210" s="337"/>
      <c r="G210" s="449"/>
      <c r="H210" s="449"/>
      <c r="I210" s="449"/>
      <c r="J210" s="449"/>
      <c r="K210" s="449"/>
      <c r="L210" s="449"/>
      <c r="M210" s="449"/>
      <c r="N210" s="449"/>
      <c r="O210" s="449"/>
      <c r="P210" s="449"/>
      <c r="Q210" s="449"/>
      <c r="R210" s="449"/>
      <c r="S210" s="449"/>
      <c r="T210" s="449"/>
      <c r="U210" s="449"/>
      <c r="V210" s="449"/>
      <c r="W210" s="449"/>
      <c r="X210" s="449"/>
      <c r="Y210" s="449"/>
      <c r="Z210" s="449"/>
      <c r="AA210" s="449"/>
      <c r="AB210" s="449"/>
    </row>
    <row r="211">
      <c r="A211" s="337"/>
      <c r="B211" s="338"/>
      <c r="C211" s="338"/>
      <c r="D211" s="338"/>
      <c r="E211" s="338"/>
      <c r="F211" s="337"/>
      <c r="G211" s="449"/>
      <c r="H211" s="449"/>
      <c r="I211" s="449"/>
      <c r="J211" s="449"/>
      <c r="K211" s="449"/>
      <c r="L211" s="449"/>
      <c r="M211" s="449"/>
      <c r="N211" s="449"/>
      <c r="O211" s="449"/>
      <c r="P211" s="449"/>
      <c r="Q211" s="449"/>
      <c r="R211" s="449"/>
      <c r="S211" s="449"/>
      <c r="T211" s="449"/>
      <c r="U211" s="449"/>
      <c r="V211" s="449"/>
      <c r="W211" s="449"/>
      <c r="X211" s="449"/>
      <c r="Y211" s="449"/>
      <c r="Z211" s="449"/>
      <c r="AA211" s="449"/>
      <c r="AB211" s="449"/>
    </row>
    <row r="212">
      <c r="A212" s="337"/>
      <c r="B212" s="338"/>
      <c r="C212" s="338"/>
      <c r="D212" s="338"/>
      <c r="E212" s="338"/>
      <c r="F212" s="337"/>
      <c r="G212" s="449"/>
      <c r="H212" s="449"/>
      <c r="I212" s="449"/>
      <c r="J212" s="449"/>
      <c r="K212" s="449"/>
      <c r="L212" s="449"/>
      <c r="M212" s="449"/>
      <c r="N212" s="449"/>
      <c r="O212" s="449"/>
      <c r="P212" s="449"/>
      <c r="Q212" s="449"/>
      <c r="R212" s="449"/>
      <c r="S212" s="449"/>
      <c r="T212" s="449"/>
      <c r="U212" s="449"/>
      <c r="V212" s="449"/>
      <c r="W212" s="449"/>
      <c r="X212" s="449"/>
      <c r="Y212" s="449"/>
      <c r="Z212" s="449"/>
      <c r="AA212" s="449"/>
      <c r="AB212" s="449"/>
    </row>
    <row r="213">
      <c r="A213" s="337"/>
      <c r="B213" s="338"/>
      <c r="C213" s="338"/>
      <c r="D213" s="338"/>
      <c r="E213" s="338"/>
      <c r="F213" s="337"/>
      <c r="G213" s="449"/>
      <c r="H213" s="449"/>
      <c r="I213" s="449"/>
      <c r="J213" s="449"/>
      <c r="K213" s="449"/>
      <c r="L213" s="449"/>
      <c r="M213" s="449"/>
      <c r="N213" s="449"/>
      <c r="O213" s="449"/>
      <c r="P213" s="449"/>
      <c r="Q213" s="449"/>
      <c r="R213" s="449"/>
      <c r="S213" s="449"/>
      <c r="T213" s="449"/>
      <c r="U213" s="449"/>
      <c r="V213" s="449"/>
      <c r="W213" s="449"/>
      <c r="X213" s="449"/>
      <c r="Y213" s="449"/>
      <c r="Z213" s="449"/>
      <c r="AA213" s="449"/>
      <c r="AB213" s="449"/>
    </row>
    <row r="214">
      <c r="A214" s="337"/>
      <c r="B214" s="338"/>
      <c r="C214" s="338"/>
      <c r="D214" s="338"/>
      <c r="E214" s="338"/>
      <c r="F214" s="337"/>
      <c r="G214" s="449"/>
      <c r="H214" s="449"/>
      <c r="I214" s="449"/>
      <c r="J214" s="449"/>
      <c r="K214" s="449"/>
      <c r="L214" s="449"/>
      <c r="M214" s="449"/>
      <c r="N214" s="449"/>
      <c r="O214" s="449"/>
      <c r="P214" s="449"/>
      <c r="Q214" s="449"/>
      <c r="R214" s="449"/>
      <c r="S214" s="449"/>
      <c r="T214" s="449"/>
      <c r="U214" s="449"/>
      <c r="V214" s="449"/>
      <c r="W214" s="449"/>
      <c r="X214" s="449"/>
      <c r="Y214" s="449"/>
      <c r="Z214" s="449"/>
      <c r="AA214" s="449"/>
      <c r="AB214" s="449"/>
    </row>
    <row r="215">
      <c r="A215" s="337"/>
      <c r="B215" s="338"/>
      <c r="C215" s="338"/>
      <c r="D215" s="338"/>
      <c r="E215" s="338"/>
      <c r="F215" s="337"/>
      <c r="G215" s="449"/>
      <c r="H215" s="449"/>
      <c r="I215" s="449"/>
      <c r="J215" s="449"/>
      <c r="K215" s="449"/>
      <c r="L215" s="449"/>
      <c r="M215" s="449"/>
      <c r="N215" s="449"/>
      <c r="O215" s="449"/>
      <c r="P215" s="449"/>
      <c r="Q215" s="449"/>
      <c r="R215" s="449"/>
      <c r="S215" s="449"/>
      <c r="T215" s="449"/>
      <c r="U215" s="449"/>
      <c r="V215" s="449"/>
      <c r="W215" s="449"/>
      <c r="X215" s="449"/>
      <c r="Y215" s="449"/>
      <c r="Z215" s="449"/>
      <c r="AA215" s="449"/>
      <c r="AB215" s="449"/>
    </row>
    <row r="216">
      <c r="A216" s="337"/>
      <c r="B216" s="338"/>
      <c r="C216" s="338"/>
      <c r="D216" s="338"/>
      <c r="E216" s="338"/>
      <c r="F216" s="337"/>
      <c r="G216" s="449"/>
      <c r="H216" s="449"/>
      <c r="I216" s="449"/>
      <c r="J216" s="449"/>
      <c r="K216" s="449"/>
      <c r="L216" s="449"/>
      <c r="M216" s="449"/>
      <c r="N216" s="449"/>
      <c r="O216" s="449"/>
      <c r="P216" s="449"/>
      <c r="Q216" s="449"/>
      <c r="R216" s="449"/>
      <c r="S216" s="449"/>
      <c r="T216" s="449"/>
      <c r="U216" s="449"/>
      <c r="V216" s="449"/>
      <c r="W216" s="449"/>
      <c r="X216" s="449"/>
      <c r="Y216" s="449"/>
      <c r="Z216" s="449"/>
      <c r="AA216" s="449"/>
      <c r="AB216" s="449"/>
    </row>
    <row r="217">
      <c r="A217" s="337"/>
      <c r="B217" s="338"/>
      <c r="C217" s="338"/>
      <c r="D217" s="338"/>
      <c r="E217" s="338"/>
      <c r="F217" s="337"/>
      <c r="G217" s="449"/>
      <c r="H217" s="449"/>
      <c r="I217" s="449"/>
      <c r="J217" s="449"/>
      <c r="K217" s="449"/>
      <c r="L217" s="449"/>
      <c r="M217" s="449"/>
      <c r="N217" s="449"/>
      <c r="O217" s="449"/>
      <c r="P217" s="449"/>
      <c r="Q217" s="449"/>
      <c r="R217" s="449"/>
      <c r="S217" s="449"/>
      <c r="T217" s="449"/>
      <c r="U217" s="449"/>
      <c r="V217" s="449"/>
      <c r="W217" s="449"/>
      <c r="X217" s="449"/>
      <c r="Y217" s="449"/>
      <c r="Z217" s="449"/>
      <c r="AA217" s="449"/>
      <c r="AB217" s="449"/>
    </row>
    <row r="218">
      <c r="A218" s="337"/>
      <c r="B218" s="338"/>
      <c r="C218" s="338"/>
      <c r="D218" s="338"/>
      <c r="E218" s="338"/>
      <c r="F218" s="337"/>
      <c r="G218" s="449"/>
      <c r="H218" s="449"/>
      <c r="I218" s="449"/>
      <c r="J218" s="449"/>
      <c r="K218" s="449"/>
      <c r="L218" s="449"/>
      <c r="M218" s="449"/>
      <c r="N218" s="449"/>
      <c r="O218" s="449"/>
      <c r="P218" s="449"/>
      <c r="Q218" s="449"/>
      <c r="R218" s="449"/>
      <c r="S218" s="449"/>
      <c r="T218" s="449"/>
      <c r="U218" s="449"/>
      <c r="V218" s="449"/>
      <c r="W218" s="449"/>
      <c r="X218" s="449"/>
      <c r="Y218" s="449"/>
      <c r="Z218" s="449"/>
      <c r="AA218" s="449"/>
      <c r="AB218" s="449"/>
    </row>
    <row r="219">
      <c r="A219" s="337"/>
      <c r="B219" s="338"/>
      <c r="C219" s="338"/>
      <c r="D219" s="338"/>
      <c r="E219" s="338"/>
      <c r="F219" s="337"/>
      <c r="G219" s="449"/>
      <c r="H219" s="449"/>
      <c r="I219" s="449"/>
      <c r="J219" s="449"/>
      <c r="K219" s="449"/>
      <c r="L219" s="449"/>
      <c r="M219" s="449"/>
      <c r="N219" s="449"/>
      <c r="O219" s="449"/>
      <c r="P219" s="449"/>
      <c r="Q219" s="449"/>
      <c r="R219" s="449"/>
      <c r="S219" s="449"/>
      <c r="T219" s="449"/>
      <c r="U219" s="449"/>
      <c r="V219" s="449"/>
      <c r="W219" s="449"/>
      <c r="X219" s="449"/>
      <c r="Y219" s="449"/>
      <c r="Z219" s="449"/>
      <c r="AA219" s="449"/>
      <c r="AB219" s="449"/>
    </row>
    <row r="220">
      <c r="A220" s="337"/>
      <c r="B220" s="338"/>
      <c r="C220" s="338"/>
      <c r="D220" s="338"/>
      <c r="E220" s="338"/>
      <c r="F220" s="337"/>
      <c r="G220" s="449"/>
      <c r="H220" s="449"/>
      <c r="I220" s="449"/>
      <c r="J220" s="449"/>
      <c r="K220" s="449"/>
      <c r="L220" s="449"/>
      <c r="M220" s="449"/>
      <c r="N220" s="449"/>
      <c r="O220" s="449"/>
      <c r="P220" s="449"/>
      <c r="Q220" s="449"/>
      <c r="R220" s="449"/>
      <c r="S220" s="449"/>
      <c r="T220" s="449"/>
      <c r="U220" s="449"/>
      <c r="V220" s="449"/>
      <c r="W220" s="449"/>
      <c r="X220" s="449"/>
      <c r="Y220" s="449"/>
      <c r="Z220" s="449"/>
      <c r="AA220" s="449"/>
      <c r="AB220" s="449"/>
    </row>
    <row r="221">
      <c r="A221" s="337"/>
      <c r="B221" s="338"/>
      <c r="C221" s="338"/>
      <c r="D221" s="338"/>
      <c r="E221" s="338"/>
      <c r="F221" s="337"/>
      <c r="G221" s="449"/>
      <c r="H221" s="449"/>
      <c r="I221" s="449"/>
      <c r="J221" s="449"/>
      <c r="K221" s="449"/>
      <c r="L221" s="449"/>
      <c r="M221" s="449"/>
      <c r="N221" s="449"/>
      <c r="O221" s="449"/>
      <c r="P221" s="449"/>
      <c r="Q221" s="449"/>
      <c r="R221" s="449"/>
      <c r="S221" s="449"/>
      <c r="T221" s="449"/>
      <c r="U221" s="449"/>
      <c r="V221" s="449"/>
      <c r="W221" s="449"/>
      <c r="X221" s="449"/>
      <c r="Y221" s="449"/>
      <c r="Z221" s="449"/>
      <c r="AA221" s="449"/>
      <c r="AB221" s="449"/>
    </row>
    <row r="222">
      <c r="A222" s="337"/>
      <c r="B222" s="338"/>
      <c r="C222" s="338"/>
      <c r="D222" s="338"/>
      <c r="E222" s="338"/>
      <c r="F222" s="337"/>
      <c r="G222" s="449"/>
      <c r="H222" s="449"/>
      <c r="I222" s="449"/>
      <c r="J222" s="449"/>
      <c r="K222" s="449"/>
      <c r="L222" s="449"/>
      <c r="M222" s="449"/>
      <c r="N222" s="449"/>
      <c r="O222" s="449"/>
      <c r="P222" s="449"/>
      <c r="Q222" s="449"/>
      <c r="R222" s="449"/>
      <c r="S222" s="449"/>
      <c r="T222" s="449"/>
      <c r="U222" s="449"/>
      <c r="V222" s="449"/>
      <c r="W222" s="449"/>
      <c r="X222" s="449"/>
      <c r="Y222" s="449"/>
      <c r="Z222" s="449"/>
      <c r="AA222" s="449"/>
      <c r="AB222" s="449"/>
    </row>
    <row r="223">
      <c r="A223" s="337"/>
      <c r="B223" s="338"/>
      <c r="C223" s="338"/>
      <c r="D223" s="338"/>
      <c r="E223" s="338"/>
      <c r="F223" s="337"/>
      <c r="G223" s="449"/>
      <c r="H223" s="449"/>
      <c r="I223" s="449"/>
      <c r="J223" s="449"/>
      <c r="K223" s="449"/>
      <c r="L223" s="449"/>
      <c r="M223" s="449"/>
      <c r="N223" s="449"/>
      <c r="O223" s="449"/>
      <c r="P223" s="449"/>
      <c r="Q223" s="449"/>
      <c r="R223" s="449"/>
      <c r="S223" s="449"/>
      <c r="T223" s="449"/>
      <c r="U223" s="449"/>
      <c r="V223" s="449"/>
      <c r="W223" s="449"/>
      <c r="X223" s="449"/>
      <c r="Y223" s="449"/>
      <c r="Z223" s="449"/>
      <c r="AA223" s="449"/>
      <c r="AB223" s="449"/>
    </row>
    <row r="224">
      <c r="A224" s="337"/>
      <c r="B224" s="338"/>
      <c r="C224" s="338"/>
      <c r="D224" s="338"/>
      <c r="E224" s="338"/>
      <c r="F224" s="337"/>
      <c r="G224" s="449"/>
      <c r="H224" s="449"/>
      <c r="I224" s="449"/>
      <c r="J224" s="449"/>
      <c r="K224" s="449"/>
      <c r="L224" s="449"/>
      <c r="M224" s="449"/>
      <c r="N224" s="449"/>
      <c r="O224" s="449"/>
      <c r="P224" s="449"/>
      <c r="Q224" s="449"/>
      <c r="R224" s="449"/>
      <c r="S224" s="449"/>
      <c r="T224" s="449"/>
      <c r="U224" s="449"/>
      <c r="V224" s="449"/>
      <c r="W224" s="449"/>
      <c r="X224" s="449"/>
      <c r="Y224" s="449"/>
      <c r="Z224" s="449"/>
      <c r="AA224" s="449"/>
      <c r="AB224" s="449"/>
    </row>
    <row r="225">
      <c r="A225" s="337"/>
      <c r="B225" s="338"/>
      <c r="C225" s="338"/>
      <c r="D225" s="338"/>
      <c r="E225" s="338"/>
      <c r="F225" s="337"/>
      <c r="G225" s="449"/>
      <c r="H225" s="449"/>
      <c r="I225" s="449"/>
      <c r="J225" s="449"/>
      <c r="K225" s="449"/>
      <c r="L225" s="449"/>
      <c r="M225" s="449"/>
      <c r="N225" s="449"/>
      <c r="O225" s="449"/>
      <c r="P225" s="449"/>
      <c r="Q225" s="449"/>
      <c r="R225" s="449"/>
      <c r="S225" s="449"/>
      <c r="T225" s="449"/>
      <c r="U225" s="449"/>
      <c r="V225" s="449"/>
      <c r="W225" s="449"/>
      <c r="X225" s="449"/>
      <c r="Y225" s="449"/>
      <c r="Z225" s="449"/>
      <c r="AA225" s="449"/>
      <c r="AB225" s="449"/>
    </row>
    <row r="226">
      <c r="A226" s="337"/>
      <c r="B226" s="338"/>
      <c r="C226" s="338"/>
      <c r="D226" s="338"/>
      <c r="E226" s="338"/>
      <c r="F226" s="337"/>
      <c r="G226" s="449"/>
      <c r="H226" s="449"/>
      <c r="I226" s="449"/>
      <c r="J226" s="449"/>
      <c r="K226" s="449"/>
      <c r="L226" s="449"/>
      <c r="M226" s="449"/>
      <c r="N226" s="449"/>
      <c r="O226" s="449"/>
      <c r="P226" s="449"/>
      <c r="Q226" s="449"/>
      <c r="R226" s="449"/>
      <c r="S226" s="449"/>
      <c r="T226" s="449"/>
      <c r="U226" s="449"/>
      <c r="V226" s="449"/>
      <c r="W226" s="449"/>
      <c r="X226" s="449"/>
      <c r="Y226" s="449"/>
      <c r="Z226" s="449"/>
      <c r="AA226" s="449"/>
      <c r="AB226" s="449"/>
    </row>
    <row r="227">
      <c r="A227" s="337"/>
      <c r="B227" s="338"/>
      <c r="C227" s="338"/>
      <c r="D227" s="338"/>
      <c r="E227" s="338"/>
      <c r="F227" s="337"/>
      <c r="G227" s="449"/>
      <c r="H227" s="449"/>
      <c r="I227" s="449"/>
      <c r="J227" s="449"/>
      <c r="K227" s="449"/>
      <c r="L227" s="449"/>
      <c r="M227" s="449"/>
      <c r="N227" s="449"/>
      <c r="O227" s="449"/>
      <c r="P227" s="449"/>
      <c r="Q227" s="449"/>
      <c r="R227" s="449"/>
      <c r="S227" s="449"/>
      <c r="T227" s="449"/>
      <c r="U227" s="449"/>
      <c r="V227" s="449"/>
      <c r="W227" s="449"/>
      <c r="X227" s="449"/>
      <c r="Y227" s="449"/>
      <c r="Z227" s="449"/>
      <c r="AA227" s="449"/>
      <c r="AB227" s="449"/>
    </row>
    <row r="228">
      <c r="A228" s="337"/>
      <c r="B228" s="338"/>
      <c r="C228" s="338"/>
      <c r="D228" s="338"/>
      <c r="E228" s="338"/>
      <c r="F228" s="337"/>
      <c r="G228" s="449"/>
      <c r="H228" s="449"/>
      <c r="I228" s="449"/>
      <c r="J228" s="449"/>
      <c r="K228" s="449"/>
      <c r="L228" s="449"/>
      <c r="M228" s="449"/>
      <c r="N228" s="449"/>
      <c r="O228" s="449"/>
      <c r="P228" s="449"/>
      <c r="Q228" s="449"/>
      <c r="R228" s="449"/>
      <c r="S228" s="449"/>
      <c r="T228" s="449"/>
      <c r="U228" s="449"/>
      <c r="V228" s="449"/>
      <c r="W228" s="449"/>
      <c r="X228" s="449"/>
      <c r="Y228" s="449"/>
      <c r="Z228" s="449"/>
      <c r="AA228" s="449"/>
      <c r="AB228" s="449"/>
    </row>
    <row r="229">
      <c r="A229" s="337"/>
      <c r="B229" s="338"/>
      <c r="C229" s="338"/>
      <c r="D229" s="338"/>
      <c r="E229" s="338"/>
      <c r="F229" s="337"/>
      <c r="G229" s="449"/>
      <c r="H229" s="449"/>
      <c r="I229" s="449"/>
      <c r="J229" s="449"/>
      <c r="K229" s="449"/>
      <c r="L229" s="449"/>
      <c r="M229" s="449"/>
      <c r="N229" s="449"/>
      <c r="O229" s="449"/>
      <c r="P229" s="449"/>
      <c r="Q229" s="449"/>
      <c r="R229" s="449"/>
      <c r="S229" s="449"/>
      <c r="T229" s="449"/>
      <c r="U229" s="449"/>
      <c r="V229" s="449"/>
      <c r="W229" s="449"/>
      <c r="X229" s="449"/>
      <c r="Y229" s="449"/>
      <c r="Z229" s="449"/>
      <c r="AA229" s="449"/>
      <c r="AB229" s="449"/>
    </row>
    <row r="230">
      <c r="A230" s="337"/>
      <c r="B230" s="338"/>
      <c r="C230" s="338"/>
      <c r="D230" s="338"/>
      <c r="E230" s="338"/>
      <c r="F230" s="337"/>
      <c r="G230" s="449"/>
      <c r="H230" s="449"/>
      <c r="I230" s="449"/>
      <c r="J230" s="449"/>
      <c r="K230" s="449"/>
      <c r="L230" s="449"/>
      <c r="M230" s="449"/>
      <c r="N230" s="449"/>
      <c r="O230" s="449"/>
      <c r="P230" s="449"/>
      <c r="Q230" s="449"/>
      <c r="R230" s="449"/>
      <c r="S230" s="449"/>
      <c r="T230" s="449"/>
      <c r="U230" s="449"/>
      <c r="V230" s="449"/>
      <c r="W230" s="449"/>
      <c r="X230" s="449"/>
      <c r="Y230" s="449"/>
      <c r="Z230" s="449"/>
      <c r="AA230" s="449"/>
      <c r="AB230" s="449"/>
    </row>
    <row r="231">
      <c r="A231" s="337"/>
      <c r="B231" s="338"/>
      <c r="C231" s="338"/>
      <c r="D231" s="338"/>
      <c r="E231" s="338"/>
      <c r="F231" s="337"/>
      <c r="G231" s="449"/>
      <c r="H231" s="449"/>
      <c r="I231" s="449"/>
      <c r="J231" s="449"/>
      <c r="K231" s="449"/>
      <c r="L231" s="449"/>
      <c r="M231" s="449"/>
      <c r="N231" s="449"/>
      <c r="O231" s="449"/>
      <c r="P231" s="449"/>
      <c r="Q231" s="449"/>
      <c r="R231" s="449"/>
      <c r="S231" s="449"/>
      <c r="T231" s="449"/>
      <c r="U231" s="449"/>
      <c r="V231" s="449"/>
      <c r="W231" s="449"/>
      <c r="X231" s="449"/>
      <c r="Y231" s="449"/>
      <c r="Z231" s="449"/>
      <c r="AA231" s="449"/>
      <c r="AB231" s="449"/>
    </row>
    <row r="232">
      <c r="A232" s="337"/>
      <c r="B232" s="338"/>
      <c r="C232" s="338"/>
      <c r="D232" s="338"/>
      <c r="E232" s="338"/>
      <c r="F232" s="337"/>
      <c r="G232" s="449"/>
      <c r="H232" s="449"/>
      <c r="I232" s="449"/>
      <c r="J232" s="449"/>
      <c r="K232" s="449"/>
      <c r="L232" s="449"/>
      <c r="M232" s="449"/>
      <c r="N232" s="449"/>
      <c r="O232" s="449"/>
      <c r="P232" s="449"/>
      <c r="Q232" s="449"/>
      <c r="R232" s="449"/>
      <c r="S232" s="449"/>
      <c r="T232" s="449"/>
      <c r="U232" s="449"/>
      <c r="V232" s="449"/>
      <c r="W232" s="449"/>
      <c r="X232" s="449"/>
      <c r="Y232" s="449"/>
      <c r="Z232" s="449"/>
      <c r="AA232" s="449"/>
      <c r="AB232" s="449"/>
    </row>
    <row r="233">
      <c r="A233" s="337"/>
      <c r="B233" s="338"/>
      <c r="C233" s="338"/>
      <c r="D233" s="338"/>
      <c r="E233" s="338"/>
      <c r="F233" s="337"/>
      <c r="G233" s="449"/>
      <c r="H233" s="449"/>
      <c r="I233" s="449"/>
      <c r="J233" s="449"/>
      <c r="K233" s="449"/>
      <c r="L233" s="449"/>
      <c r="M233" s="449"/>
      <c r="N233" s="449"/>
      <c r="O233" s="449"/>
      <c r="P233" s="449"/>
      <c r="Q233" s="449"/>
      <c r="R233" s="449"/>
      <c r="S233" s="449"/>
      <c r="T233" s="449"/>
      <c r="U233" s="449"/>
      <c r="V233" s="449"/>
      <c r="W233" s="449"/>
      <c r="X233" s="449"/>
      <c r="Y233" s="449"/>
      <c r="Z233" s="449"/>
      <c r="AA233" s="449"/>
      <c r="AB233" s="449"/>
    </row>
    <row r="234">
      <c r="A234" s="337"/>
      <c r="B234" s="338"/>
      <c r="C234" s="338"/>
      <c r="D234" s="338"/>
      <c r="E234" s="338"/>
      <c r="F234" s="337"/>
      <c r="G234" s="449"/>
      <c r="H234" s="449"/>
      <c r="I234" s="449"/>
      <c r="J234" s="449"/>
      <c r="K234" s="449"/>
      <c r="L234" s="449"/>
      <c r="M234" s="449"/>
      <c r="N234" s="449"/>
      <c r="O234" s="449"/>
      <c r="P234" s="449"/>
      <c r="Q234" s="449"/>
      <c r="R234" s="449"/>
      <c r="S234" s="449"/>
      <c r="T234" s="449"/>
      <c r="U234" s="449"/>
      <c r="V234" s="449"/>
      <c r="W234" s="449"/>
      <c r="X234" s="449"/>
      <c r="Y234" s="449"/>
      <c r="Z234" s="449"/>
      <c r="AA234" s="449"/>
      <c r="AB234" s="449"/>
    </row>
    <row r="235">
      <c r="A235" s="337"/>
      <c r="B235" s="338"/>
      <c r="C235" s="338"/>
      <c r="D235" s="338"/>
      <c r="E235" s="338"/>
      <c r="F235" s="337"/>
      <c r="G235" s="449"/>
      <c r="H235" s="449"/>
      <c r="I235" s="449"/>
      <c r="J235" s="449"/>
      <c r="K235" s="449"/>
      <c r="L235" s="449"/>
      <c r="M235" s="449"/>
      <c r="N235" s="449"/>
      <c r="O235" s="449"/>
      <c r="P235" s="449"/>
      <c r="Q235" s="449"/>
      <c r="R235" s="449"/>
      <c r="S235" s="449"/>
      <c r="T235" s="449"/>
      <c r="U235" s="449"/>
      <c r="V235" s="449"/>
      <c r="W235" s="449"/>
      <c r="X235" s="449"/>
      <c r="Y235" s="449"/>
      <c r="Z235" s="449"/>
      <c r="AA235" s="449"/>
      <c r="AB235" s="449"/>
    </row>
    <row r="236">
      <c r="A236" s="337"/>
      <c r="B236" s="338"/>
      <c r="C236" s="338"/>
      <c r="D236" s="338"/>
      <c r="E236" s="338"/>
      <c r="F236" s="337"/>
      <c r="G236" s="449"/>
      <c r="H236" s="449"/>
      <c r="I236" s="449"/>
      <c r="J236" s="449"/>
      <c r="K236" s="449"/>
      <c r="L236" s="449"/>
      <c r="M236" s="449"/>
      <c r="N236" s="449"/>
      <c r="O236" s="449"/>
      <c r="P236" s="449"/>
      <c r="Q236" s="449"/>
      <c r="R236" s="449"/>
      <c r="S236" s="449"/>
      <c r="T236" s="449"/>
      <c r="U236" s="449"/>
      <c r="V236" s="449"/>
      <c r="W236" s="449"/>
      <c r="X236" s="449"/>
      <c r="Y236" s="449"/>
      <c r="Z236" s="449"/>
      <c r="AA236" s="449"/>
      <c r="AB236" s="449"/>
    </row>
    <row r="237">
      <c r="A237" s="337"/>
      <c r="B237" s="338"/>
      <c r="C237" s="338"/>
      <c r="D237" s="338"/>
      <c r="E237" s="338"/>
      <c r="F237" s="337"/>
      <c r="G237" s="449"/>
      <c r="H237" s="449"/>
      <c r="I237" s="449"/>
      <c r="J237" s="449"/>
      <c r="K237" s="449"/>
      <c r="L237" s="449"/>
      <c r="M237" s="449"/>
      <c r="N237" s="449"/>
      <c r="O237" s="449"/>
      <c r="P237" s="449"/>
      <c r="Q237" s="449"/>
      <c r="R237" s="449"/>
      <c r="S237" s="449"/>
      <c r="T237" s="449"/>
      <c r="U237" s="449"/>
      <c r="V237" s="449"/>
      <c r="W237" s="449"/>
      <c r="X237" s="449"/>
      <c r="Y237" s="449"/>
      <c r="Z237" s="449"/>
      <c r="AA237" s="449"/>
      <c r="AB237" s="449"/>
    </row>
    <row r="238">
      <c r="A238" s="337"/>
      <c r="B238" s="338"/>
      <c r="C238" s="338"/>
      <c r="D238" s="338"/>
      <c r="E238" s="338"/>
      <c r="F238" s="337"/>
      <c r="G238" s="449"/>
      <c r="H238" s="449"/>
      <c r="I238" s="449"/>
      <c r="J238" s="449"/>
      <c r="K238" s="449"/>
      <c r="L238" s="449"/>
      <c r="M238" s="449"/>
      <c r="N238" s="449"/>
      <c r="O238" s="449"/>
      <c r="P238" s="449"/>
      <c r="Q238" s="449"/>
      <c r="R238" s="449"/>
      <c r="S238" s="449"/>
      <c r="T238" s="449"/>
      <c r="U238" s="449"/>
      <c r="V238" s="449"/>
      <c r="W238" s="449"/>
      <c r="X238" s="449"/>
      <c r="Y238" s="449"/>
      <c r="Z238" s="449"/>
      <c r="AA238" s="449"/>
      <c r="AB238" s="449"/>
    </row>
    <row r="239">
      <c r="A239" s="337"/>
      <c r="B239" s="338"/>
      <c r="C239" s="338"/>
      <c r="D239" s="338"/>
      <c r="E239" s="338"/>
      <c r="F239" s="337"/>
      <c r="G239" s="449"/>
      <c r="H239" s="449"/>
      <c r="I239" s="449"/>
      <c r="J239" s="449"/>
      <c r="K239" s="449"/>
      <c r="L239" s="449"/>
      <c r="M239" s="449"/>
      <c r="N239" s="449"/>
      <c r="O239" s="449"/>
      <c r="P239" s="449"/>
      <c r="Q239" s="449"/>
      <c r="R239" s="449"/>
      <c r="S239" s="449"/>
      <c r="T239" s="449"/>
      <c r="U239" s="449"/>
      <c r="V239" s="449"/>
      <c r="W239" s="449"/>
      <c r="X239" s="449"/>
      <c r="Y239" s="449"/>
      <c r="Z239" s="449"/>
      <c r="AA239" s="449"/>
      <c r="AB239" s="449"/>
    </row>
    <row r="240">
      <c r="A240" s="337"/>
      <c r="B240" s="338"/>
      <c r="C240" s="338"/>
      <c r="D240" s="338"/>
      <c r="E240" s="338"/>
      <c r="F240" s="337"/>
      <c r="G240" s="449"/>
      <c r="H240" s="449"/>
      <c r="I240" s="449"/>
      <c r="J240" s="449"/>
      <c r="K240" s="449"/>
      <c r="L240" s="449"/>
      <c r="M240" s="449"/>
      <c r="N240" s="449"/>
      <c r="O240" s="449"/>
      <c r="P240" s="449"/>
      <c r="Q240" s="449"/>
      <c r="R240" s="449"/>
      <c r="S240" s="449"/>
      <c r="T240" s="449"/>
      <c r="U240" s="449"/>
      <c r="V240" s="449"/>
      <c r="W240" s="449"/>
      <c r="X240" s="449"/>
      <c r="Y240" s="449"/>
      <c r="Z240" s="449"/>
      <c r="AA240" s="449"/>
      <c r="AB240" s="449"/>
    </row>
    <row r="241">
      <c r="A241" s="337"/>
      <c r="B241" s="338"/>
      <c r="C241" s="338"/>
      <c r="D241" s="338"/>
      <c r="E241" s="338"/>
      <c r="F241" s="337"/>
      <c r="G241" s="449"/>
      <c r="H241" s="449"/>
      <c r="I241" s="449"/>
      <c r="J241" s="449"/>
      <c r="K241" s="449"/>
      <c r="L241" s="449"/>
      <c r="M241" s="449"/>
      <c r="N241" s="449"/>
      <c r="O241" s="449"/>
      <c r="P241" s="449"/>
      <c r="Q241" s="449"/>
      <c r="R241" s="449"/>
      <c r="S241" s="449"/>
      <c r="T241" s="449"/>
      <c r="U241" s="449"/>
      <c r="V241" s="449"/>
      <c r="W241" s="449"/>
      <c r="X241" s="449"/>
      <c r="Y241" s="449"/>
      <c r="Z241" s="449"/>
      <c r="AA241" s="449"/>
      <c r="AB241" s="449"/>
    </row>
    <row r="242">
      <c r="A242" s="337"/>
      <c r="B242" s="338"/>
      <c r="C242" s="338"/>
      <c r="D242" s="338"/>
      <c r="E242" s="338"/>
      <c r="F242" s="337"/>
      <c r="G242" s="449"/>
      <c r="H242" s="449"/>
      <c r="I242" s="449"/>
      <c r="J242" s="449"/>
      <c r="K242" s="449"/>
      <c r="L242" s="449"/>
      <c r="M242" s="449"/>
      <c r="N242" s="449"/>
      <c r="O242" s="449"/>
      <c r="P242" s="449"/>
      <c r="Q242" s="449"/>
      <c r="R242" s="449"/>
      <c r="S242" s="449"/>
      <c r="T242" s="449"/>
      <c r="U242" s="449"/>
      <c r="V242" s="449"/>
      <c r="W242" s="449"/>
      <c r="X242" s="449"/>
      <c r="Y242" s="449"/>
      <c r="Z242" s="449"/>
      <c r="AA242" s="449"/>
      <c r="AB242" s="449"/>
    </row>
    <row r="243">
      <c r="A243" s="337"/>
      <c r="B243" s="338"/>
      <c r="C243" s="338"/>
      <c r="D243" s="338"/>
      <c r="E243" s="338"/>
      <c r="F243" s="337"/>
      <c r="G243" s="449"/>
      <c r="H243" s="449"/>
      <c r="I243" s="449"/>
      <c r="J243" s="449"/>
      <c r="K243" s="449"/>
      <c r="L243" s="449"/>
      <c r="M243" s="449"/>
      <c r="N243" s="449"/>
      <c r="O243" s="449"/>
      <c r="P243" s="449"/>
      <c r="Q243" s="449"/>
      <c r="R243" s="449"/>
      <c r="S243" s="449"/>
      <c r="T243" s="449"/>
      <c r="U243" s="449"/>
      <c r="V243" s="449"/>
      <c r="W243" s="449"/>
      <c r="X243" s="449"/>
      <c r="Y243" s="449"/>
      <c r="Z243" s="449"/>
      <c r="AA243" s="449"/>
      <c r="AB243" s="449"/>
    </row>
    <row r="244">
      <c r="A244" s="337"/>
      <c r="B244" s="338"/>
      <c r="C244" s="338"/>
      <c r="D244" s="338"/>
      <c r="E244" s="338"/>
      <c r="F244" s="337"/>
      <c r="G244" s="449"/>
      <c r="H244" s="449"/>
      <c r="I244" s="449"/>
      <c r="J244" s="449"/>
      <c r="K244" s="449"/>
      <c r="L244" s="449"/>
      <c r="M244" s="449"/>
      <c r="N244" s="449"/>
      <c r="O244" s="449"/>
      <c r="P244" s="449"/>
      <c r="Q244" s="449"/>
      <c r="R244" s="449"/>
      <c r="S244" s="449"/>
      <c r="T244" s="449"/>
      <c r="U244" s="449"/>
      <c r="V244" s="449"/>
      <c r="W244" s="449"/>
      <c r="X244" s="449"/>
      <c r="Y244" s="449"/>
      <c r="Z244" s="449"/>
      <c r="AA244" s="449"/>
      <c r="AB244" s="449"/>
    </row>
    <row r="245">
      <c r="A245" s="337"/>
      <c r="B245" s="338"/>
      <c r="C245" s="338"/>
      <c r="D245" s="338"/>
      <c r="E245" s="338"/>
      <c r="F245" s="337"/>
      <c r="G245" s="449"/>
      <c r="H245" s="449"/>
      <c r="I245" s="449"/>
      <c r="J245" s="449"/>
      <c r="K245" s="449"/>
      <c r="L245" s="449"/>
      <c r="M245" s="449"/>
      <c r="N245" s="449"/>
      <c r="O245" s="449"/>
      <c r="P245" s="449"/>
      <c r="Q245" s="449"/>
      <c r="R245" s="449"/>
      <c r="S245" s="449"/>
      <c r="T245" s="449"/>
      <c r="U245" s="449"/>
      <c r="V245" s="449"/>
      <c r="W245" s="449"/>
      <c r="X245" s="449"/>
      <c r="Y245" s="449"/>
      <c r="Z245" s="449"/>
      <c r="AA245" s="449"/>
      <c r="AB245" s="449"/>
    </row>
    <row r="246">
      <c r="A246" s="337"/>
      <c r="B246" s="338"/>
      <c r="C246" s="338"/>
      <c r="D246" s="338"/>
      <c r="E246" s="338"/>
      <c r="F246" s="337"/>
      <c r="G246" s="449"/>
      <c r="H246" s="449"/>
      <c r="I246" s="449"/>
      <c r="J246" s="449"/>
      <c r="K246" s="449"/>
      <c r="L246" s="449"/>
      <c r="M246" s="449"/>
      <c r="N246" s="449"/>
      <c r="O246" s="449"/>
      <c r="P246" s="449"/>
      <c r="Q246" s="449"/>
      <c r="R246" s="449"/>
      <c r="S246" s="449"/>
      <c r="T246" s="449"/>
      <c r="U246" s="449"/>
      <c r="V246" s="449"/>
      <c r="W246" s="449"/>
      <c r="X246" s="449"/>
      <c r="Y246" s="449"/>
      <c r="Z246" s="449"/>
      <c r="AA246" s="449"/>
      <c r="AB246" s="449"/>
    </row>
    <row r="247">
      <c r="A247" s="337"/>
      <c r="B247" s="338"/>
      <c r="C247" s="338"/>
      <c r="D247" s="338"/>
      <c r="E247" s="338"/>
      <c r="F247" s="337"/>
      <c r="G247" s="449"/>
      <c r="H247" s="449"/>
      <c r="I247" s="449"/>
      <c r="J247" s="449"/>
      <c r="K247" s="449"/>
      <c r="L247" s="449"/>
      <c r="M247" s="449"/>
      <c r="N247" s="449"/>
      <c r="O247" s="449"/>
      <c r="P247" s="449"/>
      <c r="Q247" s="449"/>
      <c r="R247" s="449"/>
      <c r="S247" s="449"/>
      <c r="T247" s="449"/>
      <c r="U247" s="449"/>
      <c r="V247" s="449"/>
      <c r="W247" s="449"/>
      <c r="X247" s="449"/>
      <c r="Y247" s="449"/>
      <c r="Z247" s="449"/>
      <c r="AA247" s="449"/>
      <c r="AB247" s="449"/>
    </row>
    <row r="248">
      <c r="A248" s="337"/>
      <c r="B248" s="338"/>
      <c r="C248" s="338"/>
      <c r="D248" s="338"/>
      <c r="E248" s="338"/>
      <c r="F248" s="337"/>
      <c r="G248" s="449"/>
      <c r="H248" s="449"/>
      <c r="I248" s="449"/>
      <c r="J248" s="449"/>
      <c r="K248" s="449"/>
      <c r="L248" s="449"/>
      <c r="M248" s="449"/>
      <c r="N248" s="449"/>
      <c r="O248" s="449"/>
      <c r="P248" s="449"/>
      <c r="Q248" s="449"/>
      <c r="R248" s="449"/>
      <c r="S248" s="449"/>
      <c r="T248" s="449"/>
      <c r="U248" s="449"/>
      <c r="V248" s="449"/>
      <c r="W248" s="449"/>
      <c r="X248" s="449"/>
      <c r="Y248" s="449"/>
      <c r="Z248" s="449"/>
      <c r="AA248" s="449"/>
      <c r="AB248" s="449"/>
    </row>
    <row r="249">
      <c r="A249" s="337"/>
      <c r="B249" s="338"/>
      <c r="C249" s="338"/>
      <c r="D249" s="338"/>
      <c r="E249" s="338"/>
      <c r="F249" s="337"/>
      <c r="G249" s="449"/>
      <c r="H249" s="449"/>
      <c r="I249" s="449"/>
      <c r="J249" s="449"/>
      <c r="K249" s="449"/>
      <c r="L249" s="449"/>
      <c r="M249" s="449"/>
      <c r="N249" s="449"/>
      <c r="O249" s="449"/>
      <c r="P249" s="449"/>
      <c r="Q249" s="449"/>
      <c r="R249" s="449"/>
      <c r="S249" s="449"/>
      <c r="T249" s="449"/>
      <c r="U249" s="449"/>
      <c r="V249" s="449"/>
      <c r="W249" s="449"/>
      <c r="X249" s="449"/>
      <c r="Y249" s="449"/>
      <c r="Z249" s="449"/>
      <c r="AA249" s="449"/>
      <c r="AB249" s="449"/>
    </row>
    <row r="250">
      <c r="A250" s="337"/>
      <c r="B250" s="338"/>
      <c r="C250" s="338"/>
      <c r="D250" s="338"/>
      <c r="E250" s="338"/>
      <c r="F250" s="337"/>
      <c r="G250" s="449"/>
      <c r="H250" s="449"/>
      <c r="I250" s="449"/>
      <c r="J250" s="449"/>
      <c r="K250" s="449"/>
      <c r="L250" s="449"/>
      <c r="M250" s="449"/>
      <c r="N250" s="449"/>
      <c r="O250" s="449"/>
      <c r="P250" s="449"/>
      <c r="Q250" s="449"/>
      <c r="R250" s="449"/>
      <c r="S250" s="449"/>
      <c r="T250" s="449"/>
      <c r="U250" s="449"/>
      <c r="V250" s="449"/>
      <c r="W250" s="449"/>
      <c r="X250" s="449"/>
      <c r="Y250" s="449"/>
      <c r="Z250" s="449"/>
      <c r="AA250" s="449"/>
      <c r="AB250" s="449"/>
    </row>
    <row r="251">
      <c r="A251" s="337"/>
      <c r="B251" s="338"/>
      <c r="C251" s="338"/>
      <c r="D251" s="338"/>
      <c r="E251" s="338"/>
      <c r="F251" s="337"/>
      <c r="G251" s="449"/>
      <c r="H251" s="449"/>
      <c r="I251" s="449"/>
      <c r="J251" s="449"/>
      <c r="K251" s="449"/>
      <c r="L251" s="449"/>
      <c r="M251" s="449"/>
      <c r="N251" s="449"/>
      <c r="O251" s="449"/>
      <c r="P251" s="449"/>
      <c r="Q251" s="449"/>
      <c r="R251" s="449"/>
      <c r="S251" s="449"/>
      <c r="T251" s="449"/>
      <c r="U251" s="449"/>
      <c r="V251" s="449"/>
      <c r="W251" s="449"/>
      <c r="X251" s="449"/>
      <c r="Y251" s="449"/>
      <c r="Z251" s="449"/>
      <c r="AA251" s="449"/>
      <c r="AB251" s="449"/>
    </row>
    <row r="252">
      <c r="A252" s="337"/>
      <c r="B252" s="338"/>
      <c r="C252" s="338"/>
      <c r="D252" s="338"/>
      <c r="E252" s="338"/>
      <c r="F252" s="337"/>
      <c r="G252" s="449"/>
      <c r="H252" s="449"/>
      <c r="I252" s="449"/>
      <c r="J252" s="449"/>
      <c r="K252" s="449"/>
      <c r="L252" s="449"/>
      <c r="M252" s="449"/>
      <c r="N252" s="449"/>
      <c r="O252" s="449"/>
      <c r="P252" s="449"/>
      <c r="Q252" s="449"/>
      <c r="R252" s="449"/>
      <c r="S252" s="449"/>
      <c r="T252" s="449"/>
      <c r="U252" s="449"/>
      <c r="V252" s="449"/>
      <c r="W252" s="449"/>
      <c r="X252" s="449"/>
      <c r="Y252" s="449"/>
      <c r="Z252" s="449"/>
      <c r="AA252" s="449"/>
      <c r="AB252" s="449"/>
    </row>
    <row r="253">
      <c r="A253" s="337"/>
      <c r="B253" s="338"/>
      <c r="C253" s="338"/>
      <c r="D253" s="338"/>
      <c r="E253" s="338"/>
      <c r="F253" s="337"/>
      <c r="G253" s="449"/>
      <c r="H253" s="449"/>
      <c r="I253" s="449"/>
      <c r="J253" s="449"/>
      <c r="K253" s="449"/>
      <c r="L253" s="449"/>
      <c r="M253" s="449"/>
      <c r="N253" s="449"/>
      <c r="O253" s="449"/>
      <c r="P253" s="449"/>
      <c r="Q253" s="449"/>
      <c r="R253" s="449"/>
      <c r="S253" s="449"/>
      <c r="T253" s="449"/>
      <c r="U253" s="449"/>
      <c r="V253" s="449"/>
      <c r="W253" s="449"/>
      <c r="X253" s="449"/>
      <c r="Y253" s="449"/>
      <c r="Z253" s="449"/>
      <c r="AA253" s="449"/>
      <c r="AB253" s="449"/>
    </row>
    <row r="254">
      <c r="A254" s="337"/>
      <c r="B254" s="338"/>
      <c r="C254" s="338"/>
      <c r="D254" s="338"/>
      <c r="E254" s="338"/>
      <c r="F254" s="337"/>
      <c r="G254" s="449"/>
      <c r="H254" s="449"/>
      <c r="I254" s="449"/>
      <c r="J254" s="449"/>
      <c r="K254" s="449"/>
      <c r="L254" s="449"/>
      <c r="M254" s="449"/>
      <c r="N254" s="449"/>
      <c r="O254" s="449"/>
      <c r="P254" s="449"/>
      <c r="Q254" s="449"/>
      <c r="R254" s="449"/>
      <c r="S254" s="449"/>
      <c r="T254" s="449"/>
      <c r="U254" s="449"/>
      <c r="V254" s="449"/>
      <c r="W254" s="449"/>
      <c r="X254" s="449"/>
      <c r="Y254" s="449"/>
      <c r="Z254" s="449"/>
      <c r="AA254" s="449"/>
      <c r="AB254" s="449"/>
    </row>
    <row r="255">
      <c r="A255" s="337"/>
      <c r="B255" s="338"/>
      <c r="C255" s="338"/>
      <c r="D255" s="338"/>
      <c r="E255" s="338"/>
      <c r="F255" s="337"/>
      <c r="G255" s="449"/>
      <c r="H255" s="449"/>
      <c r="I255" s="449"/>
      <c r="J255" s="449"/>
      <c r="K255" s="449"/>
      <c r="L255" s="449"/>
      <c r="M255" s="449"/>
      <c r="N255" s="449"/>
      <c r="O255" s="449"/>
      <c r="P255" s="449"/>
      <c r="Q255" s="449"/>
      <c r="R255" s="449"/>
      <c r="S255" s="449"/>
      <c r="T255" s="449"/>
      <c r="U255" s="449"/>
      <c r="V255" s="449"/>
      <c r="W255" s="449"/>
      <c r="X255" s="449"/>
      <c r="Y255" s="449"/>
      <c r="Z255" s="449"/>
      <c r="AA255" s="449"/>
      <c r="AB255" s="449"/>
    </row>
    <row r="256">
      <c r="A256" s="337"/>
      <c r="B256" s="338"/>
      <c r="C256" s="338"/>
      <c r="D256" s="338"/>
      <c r="E256" s="338"/>
      <c r="F256" s="337"/>
      <c r="G256" s="449"/>
      <c r="H256" s="449"/>
      <c r="I256" s="449"/>
      <c r="J256" s="449"/>
      <c r="K256" s="449"/>
      <c r="L256" s="449"/>
      <c r="M256" s="449"/>
      <c r="N256" s="449"/>
      <c r="O256" s="449"/>
      <c r="P256" s="449"/>
      <c r="Q256" s="449"/>
      <c r="R256" s="449"/>
      <c r="S256" s="449"/>
      <c r="T256" s="449"/>
      <c r="U256" s="449"/>
      <c r="V256" s="449"/>
      <c r="W256" s="449"/>
      <c r="X256" s="449"/>
      <c r="Y256" s="449"/>
      <c r="Z256" s="449"/>
      <c r="AA256" s="449"/>
      <c r="AB256" s="449"/>
    </row>
    <row r="257">
      <c r="A257" s="337"/>
      <c r="B257" s="338"/>
      <c r="C257" s="338"/>
      <c r="D257" s="338"/>
      <c r="E257" s="338"/>
      <c r="F257" s="337"/>
      <c r="G257" s="449"/>
      <c r="H257" s="449"/>
      <c r="I257" s="449"/>
      <c r="J257" s="449"/>
      <c r="K257" s="449"/>
      <c r="L257" s="449"/>
      <c r="M257" s="449"/>
      <c r="N257" s="449"/>
      <c r="O257" s="449"/>
      <c r="P257" s="449"/>
      <c r="Q257" s="449"/>
      <c r="R257" s="449"/>
      <c r="S257" s="449"/>
      <c r="T257" s="449"/>
      <c r="U257" s="449"/>
      <c r="V257" s="449"/>
      <c r="W257" s="449"/>
      <c r="X257" s="449"/>
      <c r="Y257" s="449"/>
      <c r="Z257" s="449"/>
      <c r="AA257" s="449"/>
      <c r="AB257" s="449"/>
    </row>
    <row r="258">
      <c r="A258" s="337"/>
      <c r="B258" s="338"/>
      <c r="C258" s="338"/>
      <c r="D258" s="338"/>
      <c r="E258" s="338"/>
      <c r="F258" s="337"/>
      <c r="G258" s="449"/>
      <c r="H258" s="449"/>
      <c r="I258" s="449"/>
      <c r="J258" s="449"/>
      <c r="K258" s="449"/>
      <c r="L258" s="449"/>
      <c r="M258" s="449"/>
      <c r="N258" s="449"/>
      <c r="O258" s="449"/>
      <c r="P258" s="449"/>
      <c r="Q258" s="449"/>
      <c r="R258" s="449"/>
      <c r="S258" s="449"/>
      <c r="T258" s="449"/>
      <c r="U258" s="449"/>
      <c r="V258" s="449"/>
      <c r="W258" s="449"/>
      <c r="X258" s="449"/>
      <c r="Y258" s="449"/>
      <c r="Z258" s="449"/>
      <c r="AA258" s="449"/>
      <c r="AB258" s="449"/>
    </row>
    <row r="259">
      <c r="A259" s="337"/>
      <c r="B259" s="338"/>
      <c r="C259" s="338"/>
      <c r="D259" s="338"/>
      <c r="E259" s="338"/>
      <c r="F259" s="337"/>
      <c r="G259" s="449"/>
      <c r="H259" s="449"/>
      <c r="I259" s="449"/>
      <c r="J259" s="449"/>
      <c r="K259" s="449"/>
      <c r="L259" s="449"/>
      <c r="M259" s="449"/>
      <c r="N259" s="449"/>
      <c r="O259" s="449"/>
      <c r="P259" s="449"/>
      <c r="Q259" s="449"/>
      <c r="R259" s="449"/>
      <c r="S259" s="449"/>
      <c r="T259" s="449"/>
      <c r="U259" s="449"/>
      <c r="V259" s="449"/>
      <c r="W259" s="449"/>
      <c r="X259" s="449"/>
      <c r="Y259" s="449"/>
      <c r="Z259" s="449"/>
      <c r="AA259" s="449"/>
      <c r="AB259" s="449"/>
    </row>
    <row r="260">
      <c r="A260" s="337"/>
      <c r="B260" s="338"/>
      <c r="C260" s="338"/>
      <c r="D260" s="338"/>
      <c r="E260" s="338"/>
      <c r="F260" s="337"/>
      <c r="G260" s="449"/>
      <c r="H260" s="449"/>
      <c r="I260" s="449"/>
      <c r="J260" s="449"/>
      <c r="K260" s="449"/>
      <c r="L260" s="449"/>
      <c r="M260" s="449"/>
      <c r="N260" s="449"/>
      <c r="O260" s="449"/>
      <c r="P260" s="449"/>
      <c r="Q260" s="449"/>
      <c r="R260" s="449"/>
      <c r="S260" s="449"/>
      <c r="T260" s="449"/>
      <c r="U260" s="449"/>
      <c r="V260" s="449"/>
      <c r="W260" s="449"/>
      <c r="X260" s="449"/>
      <c r="Y260" s="449"/>
      <c r="Z260" s="449"/>
      <c r="AA260" s="449"/>
      <c r="AB260" s="449"/>
    </row>
    <row r="261">
      <c r="A261" s="337"/>
      <c r="B261" s="338"/>
      <c r="C261" s="338"/>
      <c r="D261" s="338"/>
      <c r="E261" s="338"/>
      <c r="F261" s="337"/>
      <c r="G261" s="449"/>
      <c r="H261" s="449"/>
      <c r="I261" s="449"/>
      <c r="J261" s="449"/>
      <c r="K261" s="449"/>
      <c r="L261" s="449"/>
      <c r="M261" s="449"/>
      <c r="N261" s="449"/>
      <c r="O261" s="449"/>
      <c r="P261" s="449"/>
      <c r="Q261" s="449"/>
      <c r="R261" s="449"/>
      <c r="S261" s="449"/>
      <c r="T261" s="449"/>
      <c r="U261" s="449"/>
      <c r="V261" s="449"/>
      <c r="W261" s="449"/>
      <c r="X261" s="449"/>
      <c r="Y261" s="449"/>
      <c r="Z261" s="449"/>
      <c r="AA261" s="449"/>
      <c r="AB261" s="449"/>
    </row>
    <row r="262">
      <c r="A262" s="337"/>
      <c r="B262" s="338"/>
      <c r="C262" s="338"/>
      <c r="D262" s="338"/>
      <c r="E262" s="338"/>
      <c r="F262" s="337"/>
      <c r="G262" s="449"/>
      <c r="H262" s="449"/>
      <c r="I262" s="449"/>
      <c r="J262" s="449"/>
      <c r="K262" s="449"/>
      <c r="L262" s="449"/>
      <c r="M262" s="449"/>
      <c r="N262" s="449"/>
      <c r="O262" s="449"/>
      <c r="P262" s="449"/>
      <c r="Q262" s="449"/>
      <c r="R262" s="449"/>
      <c r="S262" s="449"/>
      <c r="T262" s="449"/>
      <c r="U262" s="449"/>
      <c r="V262" s="449"/>
      <c r="W262" s="449"/>
      <c r="X262" s="449"/>
      <c r="Y262" s="449"/>
      <c r="Z262" s="449"/>
      <c r="AA262" s="449"/>
      <c r="AB262" s="449"/>
    </row>
    <row r="263">
      <c r="A263" s="337"/>
      <c r="B263" s="338"/>
      <c r="C263" s="338"/>
      <c r="D263" s="338"/>
      <c r="E263" s="338"/>
      <c r="F263" s="337"/>
      <c r="G263" s="449"/>
      <c r="H263" s="449"/>
      <c r="I263" s="449"/>
      <c r="J263" s="449"/>
      <c r="K263" s="449"/>
      <c r="L263" s="449"/>
      <c r="M263" s="449"/>
      <c r="N263" s="449"/>
      <c r="O263" s="449"/>
      <c r="P263" s="449"/>
      <c r="Q263" s="449"/>
      <c r="R263" s="449"/>
      <c r="S263" s="449"/>
      <c r="T263" s="449"/>
      <c r="U263" s="449"/>
      <c r="V263" s="449"/>
      <c r="W263" s="449"/>
      <c r="X263" s="449"/>
      <c r="Y263" s="449"/>
      <c r="Z263" s="449"/>
      <c r="AA263" s="449"/>
      <c r="AB263" s="449"/>
    </row>
    <row r="264">
      <c r="A264" s="337"/>
      <c r="B264" s="338"/>
      <c r="C264" s="338"/>
      <c r="D264" s="338"/>
      <c r="E264" s="338"/>
      <c r="F264" s="337"/>
      <c r="G264" s="449"/>
      <c r="H264" s="449"/>
      <c r="I264" s="449"/>
      <c r="J264" s="449"/>
      <c r="K264" s="449"/>
      <c r="L264" s="449"/>
      <c r="M264" s="449"/>
      <c r="N264" s="449"/>
      <c r="O264" s="449"/>
      <c r="P264" s="449"/>
      <c r="Q264" s="449"/>
      <c r="R264" s="449"/>
      <c r="S264" s="449"/>
      <c r="T264" s="449"/>
      <c r="U264" s="449"/>
      <c r="V264" s="449"/>
      <c r="W264" s="449"/>
      <c r="X264" s="449"/>
      <c r="Y264" s="449"/>
      <c r="Z264" s="449"/>
      <c r="AA264" s="449"/>
      <c r="AB264" s="449"/>
    </row>
    <row r="265">
      <c r="A265" s="337"/>
      <c r="B265" s="338"/>
      <c r="C265" s="338"/>
      <c r="D265" s="338"/>
      <c r="E265" s="338"/>
      <c r="F265" s="337"/>
      <c r="G265" s="449"/>
      <c r="H265" s="449"/>
      <c r="I265" s="449"/>
      <c r="J265" s="449"/>
      <c r="K265" s="449"/>
      <c r="L265" s="449"/>
      <c r="M265" s="449"/>
      <c r="N265" s="449"/>
      <c r="O265" s="449"/>
      <c r="P265" s="449"/>
      <c r="Q265" s="449"/>
      <c r="R265" s="449"/>
      <c r="S265" s="449"/>
      <c r="T265" s="449"/>
      <c r="U265" s="449"/>
      <c r="V265" s="449"/>
      <c r="W265" s="449"/>
      <c r="X265" s="449"/>
      <c r="Y265" s="449"/>
      <c r="Z265" s="449"/>
      <c r="AA265" s="449"/>
      <c r="AB265" s="449"/>
    </row>
    <row r="266">
      <c r="A266" s="337"/>
      <c r="B266" s="338"/>
      <c r="C266" s="338"/>
      <c r="D266" s="338"/>
      <c r="E266" s="338"/>
      <c r="F266" s="337"/>
      <c r="G266" s="449"/>
      <c r="H266" s="449"/>
      <c r="I266" s="449"/>
      <c r="J266" s="449"/>
      <c r="K266" s="449"/>
      <c r="L266" s="449"/>
      <c r="M266" s="449"/>
      <c r="N266" s="449"/>
      <c r="O266" s="449"/>
      <c r="P266" s="449"/>
      <c r="Q266" s="449"/>
      <c r="R266" s="449"/>
      <c r="S266" s="449"/>
      <c r="T266" s="449"/>
      <c r="U266" s="449"/>
      <c r="V266" s="449"/>
      <c r="W266" s="449"/>
      <c r="X266" s="449"/>
      <c r="Y266" s="449"/>
      <c r="Z266" s="449"/>
      <c r="AA266" s="449"/>
      <c r="AB266" s="449"/>
    </row>
    <row r="267">
      <c r="A267" s="337"/>
      <c r="B267" s="338"/>
      <c r="C267" s="338"/>
      <c r="D267" s="338"/>
      <c r="E267" s="338"/>
      <c r="F267" s="337"/>
      <c r="G267" s="449"/>
      <c r="H267" s="449"/>
      <c r="I267" s="449"/>
      <c r="J267" s="449"/>
      <c r="K267" s="449"/>
      <c r="L267" s="449"/>
      <c r="M267" s="449"/>
      <c r="N267" s="449"/>
      <c r="O267" s="449"/>
      <c r="P267" s="449"/>
      <c r="Q267" s="449"/>
      <c r="R267" s="449"/>
      <c r="S267" s="449"/>
      <c r="T267" s="449"/>
      <c r="U267" s="449"/>
      <c r="V267" s="449"/>
      <c r="W267" s="449"/>
      <c r="X267" s="449"/>
      <c r="Y267" s="449"/>
      <c r="Z267" s="449"/>
      <c r="AA267" s="449"/>
      <c r="AB267" s="449"/>
    </row>
    <row r="268">
      <c r="A268" s="337"/>
      <c r="B268" s="338"/>
      <c r="C268" s="338"/>
      <c r="D268" s="338"/>
      <c r="E268" s="338"/>
      <c r="F268" s="337"/>
      <c r="G268" s="449"/>
      <c r="H268" s="449"/>
      <c r="I268" s="449"/>
      <c r="J268" s="449"/>
      <c r="K268" s="449"/>
      <c r="L268" s="449"/>
      <c r="M268" s="449"/>
      <c r="N268" s="449"/>
      <c r="O268" s="449"/>
      <c r="P268" s="449"/>
      <c r="Q268" s="449"/>
      <c r="R268" s="449"/>
      <c r="S268" s="449"/>
      <c r="T268" s="449"/>
      <c r="U268" s="449"/>
      <c r="V268" s="449"/>
      <c r="W268" s="449"/>
      <c r="X268" s="449"/>
      <c r="Y268" s="449"/>
      <c r="Z268" s="449"/>
      <c r="AA268" s="449"/>
      <c r="AB268" s="449"/>
    </row>
    <row r="269">
      <c r="A269" s="337"/>
      <c r="B269" s="338"/>
      <c r="C269" s="338"/>
      <c r="D269" s="338"/>
      <c r="E269" s="338"/>
      <c r="F269" s="337"/>
      <c r="G269" s="449"/>
      <c r="H269" s="449"/>
      <c r="I269" s="449"/>
      <c r="J269" s="449"/>
      <c r="K269" s="449"/>
      <c r="L269" s="449"/>
      <c r="M269" s="449"/>
      <c r="N269" s="449"/>
      <c r="O269" s="449"/>
      <c r="P269" s="449"/>
      <c r="Q269" s="449"/>
      <c r="R269" s="449"/>
      <c r="S269" s="449"/>
      <c r="T269" s="449"/>
      <c r="U269" s="449"/>
      <c r="V269" s="449"/>
      <c r="W269" s="449"/>
      <c r="X269" s="449"/>
      <c r="Y269" s="449"/>
      <c r="Z269" s="449"/>
      <c r="AA269" s="449"/>
      <c r="AB269" s="449"/>
    </row>
    <row r="270">
      <c r="A270" s="337"/>
      <c r="B270" s="338"/>
      <c r="C270" s="338"/>
      <c r="D270" s="338"/>
      <c r="E270" s="338"/>
      <c r="F270" s="337"/>
      <c r="G270" s="449"/>
      <c r="H270" s="449"/>
      <c r="I270" s="449"/>
      <c r="J270" s="449"/>
      <c r="K270" s="449"/>
      <c r="L270" s="449"/>
      <c r="M270" s="449"/>
      <c r="N270" s="449"/>
      <c r="O270" s="449"/>
      <c r="P270" s="449"/>
      <c r="Q270" s="449"/>
      <c r="R270" s="449"/>
      <c r="S270" s="449"/>
      <c r="T270" s="449"/>
      <c r="U270" s="449"/>
      <c r="V270" s="449"/>
      <c r="W270" s="449"/>
      <c r="X270" s="449"/>
      <c r="Y270" s="449"/>
      <c r="Z270" s="449"/>
      <c r="AA270" s="449"/>
      <c r="AB270" s="449"/>
    </row>
    <row r="271">
      <c r="A271" s="337"/>
      <c r="B271" s="338"/>
      <c r="C271" s="338"/>
      <c r="D271" s="338"/>
      <c r="E271" s="338"/>
      <c r="F271" s="337"/>
      <c r="G271" s="449"/>
      <c r="H271" s="449"/>
      <c r="I271" s="449"/>
      <c r="J271" s="449"/>
      <c r="K271" s="449"/>
      <c r="L271" s="449"/>
      <c r="M271" s="449"/>
      <c r="N271" s="449"/>
      <c r="O271" s="449"/>
      <c r="P271" s="449"/>
      <c r="Q271" s="449"/>
      <c r="R271" s="449"/>
      <c r="S271" s="449"/>
      <c r="T271" s="449"/>
      <c r="U271" s="449"/>
      <c r="V271" s="449"/>
      <c r="W271" s="449"/>
      <c r="X271" s="449"/>
      <c r="Y271" s="449"/>
      <c r="Z271" s="449"/>
      <c r="AA271" s="449"/>
      <c r="AB271" s="449"/>
    </row>
    <row r="272">
      <c r="A272" s="337"/>
      <c r="B272" s="338"/>
      <c r="C272" s="338"/>
      <c r="D272" s="338"/>
      <c r="E272" s="338"/>
      <c r="F272" s="337"/>
      <c r="G272" s="449"/>
      <c r="H272" s="449"/>
      <c r="I272" s="449"/>
      <c r="J272" s="449"/>
      <c r="K272" s="449"/>
      <c r="L272" s="449"/>
      <c r="M272" s="449"/>
      <c r="N272" s="449"/>
      <c r="O272" s="449"/>
      <c r="P272" s="449"/>
      <c r="Q272" s="449"/>
      <c r="R272" s="449"/>
      <c r="S272" s="449"/>
      <c r="T272" s="449"/>
      <c r="U272" s="449"/>
      <c r="V272" s="449"/>
      <c r="W272" s="449"/>
      <c r="X272" s="449"/>
      <c r="Y272" s="449"/>
      <c r="Z272" s="449"/>
      <c r="AA272" s="449"/>
      <c r="AB272" s="449"/>
    </row>
    <row r="273">
      <c r="A273" s="337"/>
      <c r="B273" s="338"/>
      <c r="C273" s="338"/>
      <c r="D273" s="338"/>
      <c r="E273" s="338"/>
      <c r="F273" s="337"/>
      <c r="G273" s="449"/>
      <c r="H273" s="449"/>
      <c r="I273" s="449"/>
      <c r="J273" s="449"/>
      <c r="K273" s="449"/>
      <c r="L273" s="449"/>
      <c r="M273" s="449"/>
      <c r="N273" s="449"/>
      <c r="O273" s="449"/>
      <c r="P273" s="449"/>
      <c r="Q273" s="449"/>
      <c r="R273" s="449"/>
      <c r="S273" s="449"/>
      <c r="T273" s="449"/>
      <c r="U273" s="449"/>
      <c r="V273" s="449"/>
      <c r="W273" s="449"/>
      <c r="X273" s="449"/>
      <c r="Y273" s="449"/>
      <c r="Z273" s="449"/>
      <c r="AA273" s="449"/>
      <c r="AB273" s="449"/>
    </row>
    <row r="274">
      <c r="A274" s="337"/>
      <c r="B274" s="338"/>
      <c r="C274" s="338"/>
      <c r="D274" s="338"/>
      <c r="E274" s="338"/>
      <c r="F274" s="337"/>
      <c r="G274" s="449"/>
      <c r="H274" s="449"/>
      <c r="I274" s="449"/>
      <c r="J274" s="449"/>
      <c r="K274" s="449"/>
      <c r="L274" s="449"/>
      <c r="M274" s="449"/>
      <c r="N274" s="449"/>
      <c r="O274" s="449"/>
      <c r="P274" s="449"/>
      <c r="Q274" s="449"/>
      <c r="R274" s="449"/>
      <c r="S274" s="449"/>
      <c r="T274" s="449"/>
      <c r="U274" s="449"/>
      <c r="V274" s="449"/>
      <c r="W274" s="449"/>
      <c r="X274" s="449"/>
      <c r="Y274" s="449"/>
      <c r="Z274" s="449"/>
      <c r="AA274" s="449"/>
      <c r="AB274" s="449"/>
    </row>
    <row r="275">
      <c r="A275" s="337"/>
      <c r="B275" s="338"/>
      <c r="C275" s="338"/>
      <c r="D275" s="338"/>
      <c r="E275" s="338"/>
      <c r="F275" s="337"/>
      <c r="G275" s="449"/>
      <c r="H275" s="449"/>
      <c r="I275" s="449"/>
      <c r="J275" s="449"/>
      <c r="K275" s="449"/>
      <c r="L275" s="449"/>
      <c r="M275" s="449"/>
      <c r="N275" s="449"/>
      <c r="O275" s="449"/>
      <c r="P275" s="449"/>
      <c r="Q275" s="449"/>
      <c r="R275" s="449"/>
      <c r="S275" s="449"/>
      <c r="T275" s="449"/>
      <c r="U275" s="449"/>
      <c r="V275" s="449"/>
      <c r="W275" s="449"/>
      <c r="X275" s="449"/>
      <c r="Y275" s="449"/>
      <c r="Z275" s="449"/>
      <c r="AA275" s="449"/>
      <c r="AB275" s="449"/>
    </row>
    <row r="276">
      <c r="A276" s="337"/>
      <c r="B276" s="338"/>
      <c r="C276" s="338"/>
      <c r="D276" s="338"/>
      <c r="E276" s="338"/>
      <c r="F276" s="337"/>
      <c r="G276" s="449"/>
      <c r="H276" s="449"/>
      <c r="I276" s="449"/>
      <c r="J276" s="449"/>
      <c r="K276" s="449"/>
      <c r="L276" s="449"/>
      <c r="M276" s="449"/>
      <c r="N276" s="449"/>
      <c r="O276" s="449"/>
      <c r="P276" s="449"/>
      <c r="Q276" s="449"/>
      <c r="R276" s="449"/>
      <c r="S276" s="449"/>
      <c r="T276" s="449"/>
      <c r="U276" s="449"/>
      <c r="V276" s="449"/>
      <c r="W276" s="449"/>
      <c r="X276" s="449"/>
      <c r="Y276" s="449"/>
      <c r="Z276" s="449"/>
      <c r="AA276" s="449"/>
      <c r="AB276" s="449"/>
    </row>
    <row r="277">
      <c r="A277" s="337"/>
      <c r="B277" s="338"/>
      <c r="C277" s="338"/>
      <c r="D277" s="338"/>
      <c r="E277" s="338"/>
      <c r="F277" s="337"/>
      <c r="G277" s="449"/>
      <c r="H277" s="449"/>
      <c r="I277" s="449"/>
      <c r="J277" s="449"/>
      <c r="K277" s="449"/>
      <c r="L277" s="449"/>
      <c r="M277" s="449"/>
      <c r="N277" s="449"/>
      <c r="O277" s="449"/>
      <c r="P277" s="449"/>
      <c r="Q277" s="449"/>
      <c r="R277" s="449"/>
      <c r="S277" s="449"/>
      <c r="T277" s="449"/>
      <c r="U277" s="449"/>
      <c r="V277" s="449"/>
      <c r="W277" s="449"/>
      <c r="X277" s="449"/>
      <c r="Y277" s="449"/>
      <c r="Z277" s="449"/>
      <c r="AA277" s="449"/>
      <c r="AB277" s="449"/>
    </row>
    <row r="278">
      <c r="A278" s="337"/>
      <c r="B278" s="338"/>
      <c r="C278" s="338"/>
      <c r="D278" s="338"/>
      <c r="E278" s="338"/>
      <c r="F278" s="337"/>
      <c r="G278" s="449"/>
      <c r="H278" s="449"/>
      <c r="I278" s="449"/>
      <c r="J278" s="449"/>
      <c r="K278" s="449"/>
      <c r="L278" s="449"/>
      <c r="M278" s="449"/>
      <c r="N278" s="449"/>
      <c r="O278" s="449"/>
      <c r="P278" s="449"/>
      <c r="Q278" s="449"/>
      <c r="R278" s="449"/>
      <c r="S278" s="449"/>
      <c r="T278" s="449"/>
      <c r="U278" s="449"/>
      <c r="V278" s="449"/>
      <c r="W278" s="449"/>
      <c r="X278" s="449"/>
      <c r="Y278" s="449"/>
      <c r="Z278" s="449"/>
      <c r="AA278" s="449"/>
      <c r="AB278" s="449"/>
    </row>
    <row r="279">
      <c r="A279" s="337"/>
      <c r="B279" s="338"/>
      <c r="C279" s="338"/>
      <c r="D279" s="338"/>
      <c r="E279" s="338"/>
      <c r="F279" s="337"/>
      <c r="G279" s="449"/>
      <c r="H279" s="449"/>
      <c r="I279" s="449"/>
      <c r="J279" s="449"/>
      <c r="K279" s="449"/>
      <c r="L279" s="449"/>
      <c r="M279" s="449"/>
      <c r="N279" s="449"/>
      <c r="O279" s="449"/>
      <c r="P279" s="449"/>
      <c r="Q279" s="449"/>
      <c r="R279" s="449"/>
      <c r="S279" s="449"/>
      <c r="T279" s="449"/>
      <c r="U279" s="449"/>
      <c r="V279" s="449"/>
      <c r="W279" s="449"/>
      <c r="X279" s="449"/>
      <c r="Y279" s="449"/>
      <c r="Z279" s="449"/>
      <c r="AA279" s="449"/>
      <c r="AB279" s="449"/>
    </row>
    <row r="280">
      <c r="A280" s="337"/>
      <c r="B280" s="338"/>
      <c r="C280" s="338"/>
      <c r="D280" s="338"/>
      <c r="E280" s="338"/>
      <c r="F280" s="337"/>
      <c r="G280" s="449"/>
      <c r="H280" s="449"/>
      <c r="I280" s="449"/>
      <c r="J280" s="449"/>
      <c r="K280" s="449"/>
      <c r="L280" s="449"/>
      <c r="M280" s="449"/>
      <c r="N280" s="449"/>
      <c r="O280" s="449"/>
      <c r="P280" s="449"/>
      <c r="Q280" s="449"/>
      <c r="R280" s="449"/>
      <c r="S280" s="449"/>
      <c r="T280" s="449"/>
      <c r="U280" s="449"/>
      <c r="V280" s="449"/>
      <c r="W280" s="449"/>
      <c r="X280" s="449"/>
      <c r="Y280" s="449"/>
      <c r="Z280" s="449"/>
      <c r="AA280" s="449"/>
      <c r="AB280" s="449"/>
    </row>
    <row r="281">
      <c r="A281" s="337"/>
      <c r="B281" s="338"/>
      <c r="C281" s="338"/>
      <c r="D281" s="338"/>
      <c r="E281" s="338"/>
      <c r="F281" s="337"/>
      <c r="G281" s="449"/>
      <c r="H281" s="449"/>
      <c r="I281" s="449"/>
      <c r="J281" s="449"/>
      <c r="K281" s="449"/>
      <c r="L281" s="449"/>
      <c r="M281" s="449"/>
      <c r="N281" s="449"/>
      <c r="O281" s="449"/>
      <c r="P281" s="449"/>
      <c r="Q281" s="449"/>
      <c r="R281" s="449"/>
      <c r="S281" s="449"/>
      <c r="T281" s="449"/>
      <c r="U281" s="449"/>
      <c r="V281" s="449"/>
      <c r="W281" s="449"/>
      <c r="X281" s="449"/>
      <c r="Y281" s="449"/>
      <c r="Z281" s="449"/>
      <c r="AA281" s="449"/>
      <c r="AB281" s="449"/>
    </row>
    <row r="282">
      <c r="A282" s="337"/>
      <c r="B282" s="338"/>
      <c r="C282" s="338"/>
      <c r="D282" s="338"/>
      <c r="E282" s="338"/>
      <c r="F282" s="337"/>
      <c r="G282" s="449"/>
      <c r="H282" s="449"/>
      <c r="I282" s="449"/>
      <c r="J282" s="449"/>
      <c r="K282" s="449"/>
      <c r="L282" s="449"/>
      <c r="M282" s="449"/>
      <c r="N282" s="449"/>
      <c r="O282" s="449"/>
      <c r="P282" s="449"/>
      <c r="Q282" s="449"/>
      <c r="R282" s="449"/>
      <c r="S282" s="449"/>
      <c r="T282" s="449"/>
      <c r="U282" s="449"/>
      <c r="V282" s="449"/>
      <c r="W282" s="449"/>
      <c r="X282" s="449"/>
      <c r="Y282" s="449"/>
      <c r="Z282" s="449"/>
      <c r="AA282" s="449"/>
      <c r="AB282" s="449"/>
    </row>
    <row r="283">
      <c r="A283" s="337"/>
      <c r="B283" s="338"/>
      <c r="C283" s="338"/>
      <c r="D283" s="338"/>
      <c r="E283" s="338"/>
      <c r="F283" s="337"/>
      <c r="G283" s="449"/>
      <c r="H283" s="449"/>
      <c r="I283" s="449"/>
      <c r="J283" s="449"/>
      <c r="K283" s="449"/>
      <c r="L283" s="449"/>
      <c r="M283" s="449"/>
      <c r="N283" s="449"/>
      <c r="O283" s="449"/>
      <c r="P283" s="449"/>
      <c r="Q283" s="449"/>
      <c r="R283" s="449"/>
      <c r="S283" s="449"/>
      <c r="T283" s="449"/>
      <c r="U283" s="449"/>
      <c r="V283" s="449"/>
      <c r="W283" s="449"/>
      <c r="X283" s="449"/>
      <c r="Y283" s="449"/>
      <c r="Z283" s="449"/>
      <c r="AA283" s="449"/>
      <c r="AB283" s="449"/>
    </row>
    <row r="284">
      <c r="A284" s="337"/>
      <c r="B284" s="338"/>
      <c r="C284" s="338"/>
      <c r="D284" s="338"/>
      <c r="E284" s="338"/>
      <c r="F284" s="337"/>
      <c r="G284" s="449"/>
      <c r="H284" s="449"/>
      <c r="I284" s="449"/>
      <c r="J284" s="449"/>
      <c r="K284" s="449"/>
      <c r="L284" s="449"/>
      <c r="M284" s="449"/>
      <c r="N284" s="449"/>
      <c r="O284" s="449"/>
      <c r="P284" s="449"/>
      <c r="Q284" s="449"/>
      <c r="R284" s="449"/>
      <c r="S284" s="449"/>
      <c r="T284" s="449"/>
      <c r="U284" s="449"/>
      <c r="V284" s="449"/>
      <c r="W284" s="449"/>
      <c r="X284" s="449"/>
      <c r="Y284" s="449"/>
      <c r="Z284" s="449"/>
      <c r="AA284" s="449"/>
      <c r="AB284" s="449"/>
    </row>
    <row r="285">
      <c r="A285" s="337"/>
      <c r="B285" s="338"/>
      <c r="C285" s="338"/>
      <c r="D285" s="338"/>
      <c r="E285" s="338"/>
      <c r="F285" s="337"/>
      <c r="G285" s="449"/>
      <c r="H285" s="449"/>
      <c r="I285" s="449"/>
      <c r="J285" s="449"/>
      <c r="K285" s="449"/>
      <c r="L285" s="449"/>
      <c r="M285" s="449"/>
      <c r="N285" s="449"/>
      <c r="O285" s="449"/>
      <c r="P285" s="449"/>
      <c r="Q285" s="449"/>
      <c r="R285" s="449"/>
      <c r="S285" s="449"/>
      <c r="T285" s="449"/>
      <c r="U285" s="449"/>
      <c r="V285" s="449"/>
      <c r="W285" s="449"/>
      <c r="X285" s="449"/>
      <c r="Y285" s="449"/>
      <c r="Z285" s="449"/>
      <c r="AA285" s="449"/>
      <c r="AB285" s="449"/>
    </row>
    <row r="286">
      <c r="A286" s="337"/>
      <c r="B286" s="338"/>
      <c r="C286" s="338"/>
      <c r="D286" s="338"/>
      <c r="E286" s="338"/>
      <c r="F286" s="337"/>
      <c r="G286" s="449"/>
      <c r="H286" s="449"/>
      <c r="I286" s="449"/>
      <c r="J286" s="449"/>
      <c r="K286" s="449"/>
      <c r="L286" s="449"/>
      <c r="M286" s="449"/>
      <c r="N286" s="449"/>
      <c r="O286" s="449"/>
      <c r="P286" s="449"/>
      <c r="Q286" s="449"/>
      <c r="R286" s="449"/>
      <c r="S286" s="449"/>
      <c r="T286" s="449"/>
      <c r="U286" s="449"/>
      <c r="V286" s="449"/>
      <c r="W286" s="449"/>
      <c r="X286" s="449"/>
      <c r="Y286" s="449"/>
      <c r="Z286" s="449"/>
      <c r="AA286" s="449"/>
      <c r="AB286" s="449"/>
    </row>
    <row r="287">
      <c r="A287" s="337"/>
      <c r="B287" s="338"/>
      <c r="C287" s="338"/>
      <c r="D287" s="338"/>
      <c r="E287" s="338"/>
      <c r="F287" s="337"/>
      <c r="G287" s="449"/>
      <c r="H287" s="449"/>
      <c r="I287" s="449"/>
      <c r="J287" s="449"/>
      <c r="K287" s="449"/>
      <c r="L287" s="449"/>
      <c r="M287" s="449"/>
      <c r="N287" s="449"/>
      <c r="O287" s="449"/>
      <c r="P287" s="449"/>
      <c r="Q287" s="449"/>
      <c r="R287" s="449"/>
      <c r="S287" s="449"/>
      <c r="T287" s="449"/>
      <c r="U287" s="449"/>
      <c r="V287" s="449"/>
      <c r="W287" s="449"/>
      <c r="X287" s="449"/>
      <c r="Y287" s="449"/>
      <c r="Z287" s="449"/>
      <c r="AA287" s="449"/>
      <c r="AB287" s="449"/>
    </row>
    <row r="288">
      <c r="A288" s="337"/>
      <c r="B288" s="338"/>
      <c r="C288" s="338"/>
      <c r="D288" s="338"/>
      <c r="E288" s="338"/>
      <c r="F288" s="337"/>
      <c r="G288" s="449"/>
      <c r="H288" s="449"/>
      <c r="I288" s="449"/>
      <c r="J288" s="449"/>
      <c r="K288" s="449"/>
      <c r="L288" s="449"/>
      <c r="M288" s="449"/>
      <c r="N288" s="449"/>
      <c r="O288" s="449"/>
      <c r="P288" s="449"/>
      <c r="Q288" s="449"/>
      <c r="R288" s="449"/>
      <c r="S288" s="449"/>
      <c r="T288" s="449"/>
      <c r="U288" s="449"/>
      <c r="V288" s="449"/>
      <c r="W288" s="449"/>
      <c r="X288" s="449"/>
      <c r="Y288" s="449"/>
      <c r="Z288" s="449"/>
      <c r="AA288" s="449"/>
      <c r="AB288" s="449"/>
    </row>
    <row r="289">
      <c r="A289" s="337"/>
      <c r="B289" s="338"/>
      <c r="C289" s="338"/>
      <c r="D289" s="338"/>
      <c r="E289" s="338"/>
      <c r="F289" s="337"/>
      <c r="G289" s="449"/>
      <c r="H289" s="449"/>
      <c r="I289" s="449"/>
      <c r="J289" s="449"/>
      <c r="K289" s="449"/>
      <c r="L289" s="449"/>
      <c r="M289" s="449"/>
      <c r="N289" s="449"/>
      <c r="O289" s="449"/>
      <c r="P289" s="449"/>
      <c r="Q289" s="449"/>
      <c r="R289" s="449"/>
      <c r="S289" s="449"/>
      <c r="T289" s="449"/>
      <c r="U289" s="449"/>
      <c r="V289" s="449"/>
      <c r="W289" s="449"/>
      <c r="X289" s="449"/>
      <c r="Y289" s="449"/>
      <c r="Z289" s="449"/>
      <c r="AA289" s="449"/>
      <c r="AB289" s="449"/>
    </row>
    <row r="290">
      <c r="A290" s="337"/>
      <c r="B290" s="338"/>
      <c r="C290" s="338"/>
      <c r="D290" s="338"/>
      <c r="E290" s="338"/>
      <c r="F290" s="337"/>
      <c r="G290" s="449"/>
      <c r="H290" s="449"/>
      <c r="I290" s="449"/>
      <c r="J290" s="449"/>
      <c r="K290" s="449"/>
      <c r="L290" s="449"/>
      <c r="M290" s="449"/>
      <c r="N290" s="449"/>
      <c r="O290" s="449"/>
      <c r="P290" s="449"/>
      <c r="Q290" s="449"/>
      <c r="R290" s="449"/>
      <c r="S290" s="449"/>
      <c r="T290" s="449"/>
      <c r="U290" s="449"/>
      <c r="V290" s="449"/>
      <c r="W290" s="449"/>
      <c r="X290" s="449"/>
      <c r="Y290" s="449"/>
      <c r="Z290" s="449"/>
      <c r="AA290" s="449"/>
      <c r="AB290" s="449"/>
    </row>
    <row r="291">
      <c r="A291" s="337"/>
      <c r="B291" s="338"/>
      <c r="C291" s="338"/>
      <c r="D291" s="338"/>
      <c r="E291" s="338"/>
      <c r="F291" s="337"/>
      <c r="G291" s="449"/>
      <c r="H291" s="449"/>
      <c r="I291" s="449"/>
      <c r="J291" s="449"/>
      <c r="K291" s="449"/>
      <c r="L291" s="449"/>
      <c r="M291" s="449"/>
      <c r="N291" s="449"/>
      <c r="O291" s="449"/>
      <c r="P291" s="449"/>
      <c r="Q291" s="449"/>
      <c r="R291" s="449"/>
      <c r="S291" s="449"/>
      <c r="T291" s="449"/>
      <c r="U291" s="449"/>
      <c r="V291" s="449"/>
      <c r="W291" s="449"/>
      <c r="X291" s="449"/>
      <c r="Y291" s="449"/>
      <c r="Z291" s="449"/>
      <c r="AA291" s="449"/>
      <c r="AB291" s="449"/>
    </row>
    <row r="292">
      <c r="A292" s="337"/>
      <c r="B292" s="338"/>
      <c r="C292" s="338"/>
      <c r="D292" s="338"/>
      <c r="E292" s="338"/>
      <c r="F292" s="337"/>
      <c r="G292" s="449"/>
      <c r="H292" s="449"/>
      <c r="I292" s="449"/>
      <c r="J292" s="449"/>
      <c r="K292" s="449"/>
      <c r="L292" s="449"/>
      <c r="M292" s="449"/>
      <c r="N292" s="449"/>
      <c r="O292" s="449"/>
      <c r="P292" s="449"/>
      <c r="Q292" s="449"/>
      <c r="R292" s="449"/>
      <c r="S292" s="449"/>
      <c r="T292" s="449"/>
      <c r="U292" s="449"/>
      <c r="V292" s="449"/>
      <c r="W292" s="449"/>
      <c r="X292" s="449"/>
      <c r="Y292" s="449"/>
      <c r="Z292" s="449"/>
      <c r="AA292" s="449"/>
      <c r="AB292" s="449"/>
    </row>
    <row r="293">
      <c r="A293" s="337"/>
      <c r="B293" s="338"/>
      <c r="C293" s="338"/>
      <c r="D293" s="338"/>
      <c r="E293" s="338"/>
      <c r="F293" s="337"/>
      <c r="G293" s="449"/>
      <c r="H293" s="449"/>
      <c r="I293" s="449"/>
      <c r="J293" s="449"/>
      <c r="K293" s="449"/>
      <c r="L293" s="449"/>
      <c r="M293" s="449"/>
      <c r="N293" s="449"/>
      <c r="O293" s="449"/>
      <c r="P293" s="449"/>
      <c r="Q293" s="449"/>
      <c r="R293" s="449"/>
      <c r="S293" s="449"/>
      <c r="T293" s="449"/>
      <c r="U293" s="449"/>
      <c r="V293" s="449"/>
      <c r="W293" s="449"/>
      <c r="X293" s="449"/>
      <c r="Y293" s="449"/>
      <c r="Z293" s="449"/>
      <c r="AA293" s="449"/>
      <c r="AB293" s="449"/>
    </row>
    <row r="294">
      <c r="A294" s="337"/>
      <c r="B294" s="338"/>
      <c r="C294" s="338"/>
      <c r="D294" s="338"/>
      <c r="E294" s="338"/>
      <c r="F294" s="337"/>
      <c r="G294" s="449"/>
      <c r="H294" s="449"/>
      <c r="I294" s="449"/>
      <c r="J294" s="449"/>
      <c r="K294" s="449"/>
      <c r="L294" s="449"/>
      <c r="M294" s="449"/>
      <c r="N294" s="449"/>
      <c r="O294" s="449"/>
      <c r="P294" s="449"/>
      <c r="Q294" s="449"/>
      <c r="R294" s="449"/>
      <c r="S294" s="449"/>
      <c r="T294" s="449"/>
      <c r="U294" s="449"/>
      <c r="V294" s="449"/>
      <c r="W294" s="449"/>
      <c r="X294" s="449"/>
      <c r="Y294" s="449"/>
      <c r="Z294" s="449"/>
      <c r="AA294" s="449"/>
      <c r="AB294" s="449"/>
    </row>
    <row r="295">
      <c r="A295" s="337"/>
      <c r="B295" s="338"/>
      <c r="C295" s="338"/>
      <c r="D295" s="338"/>
      <c r="E295" s="338"/>
      <c r="F295" s="337"/>
      <c r="G295" s="449"/>
      <c r="H295" s="449"/>
      <c r="I295" s="449"/>
      <c r="J295" s="449"/>
      <c r="K295" s="449"/>
      <c r="L295" s="449"/>
      <c r="M295" s="449"/>
      <c r="N295" s="449"/>
      <c r="O295" s="449"/>
      <c r="P295" s="449"/>
      <c r="Q295" s="449"/>
      <c r="R295" s="449"/>
      <c r="S295" s="449"/>
      <c r="T295" s="449"/>
      <c r="U295" s="449"/>
      <c r="V295" s="449"/>
      <c r="W295" s="449"/>
      <c r="X295" s="449"/>
      <c r="Y295" s="449"/>
      <c r="Z295" s="449"/>
      <c r="AA295" s="449"/>
      <c r="AB295" s="449"/>
    </row>
    <row r="296">
      <c r="A296" s="337"/>
      <c r="B296" s="338"/>
      <c r="C296" s="338"/>
      <c r="D296" s="338"/>
      <c r="E296" s="338"/>
      <c r="F296" s="337"/>
      <c r="G296" s="449"/>
      <c r="H296" s="449"/>
      <c r="I296" s="449"/>
      <c r="J296" s="449"/>
      <c r="K296" s="449"/>
      <c r="L296" s="449"/>
      <c r="M296" s="449"/>
      <c r="N296" s="449"/>
      <c r="O296" s="449"/>
      <c r="P296" s="449"/>
      <c r="Q296" s="449"/>
      <c r="R296" s="449"/>
      <c r="S296" s="449"/>
      <c r="T296" s="449"/>
      <c r="U296" s="449"/>
      <c r="V296" s="449"/>
      <c r="W296" s="449"/>
      <c r="X296" s="449"/>
      <c r="Y296" s="449"/>
      <c r="Z296" s="449"/>
      <c r="AA296" s="449"/>
      <c r="AB296" s="449"/>
    </row>
    <row r="297">
      <c r="A297" s="337"/>
      <c r="B297" s="338"/>
      <c r="C297" s="338"/>
      <c r="D297" s="338"/>
      <c r="E297" s="338"/>
      <c r="F297" s="337"/>
      <c r="G297" s="449"/>
      <c r="H297" s="449"/>
      <c r="I297" s="449"/>
      <c r="J297" s="449"/>
      <c r="K297" s="449"/>
      <c r="L297" s="449"/>
      <c r="M297" s="449"/>
      <c r="N297" s="449"/>
      <c r="O297" s="449"/>
      <c r="P297" s="449"/>
      <c r="Q297" s="449"/>
      <c r="R297" s="449"/>
      <c r="S297" s="449"/>
      <c r="T297" s="449"/>
      <c r="U297" s="449"/>
      <c r="V297" s="449"/>
      <c r="W297" s="449"/>
      <c r="X297" s="449"/>
      <c r="Y297" s="449"/>
      <c r="Z297" s="449"/>
      <c r="AA297" s="449"/>
      <c r="AB297" s="449"/>
    </row>
    <row r="298">
      <c r="A298" s="337"/>
      <c r="B298" s="338"/>
      <c r="C298" s="338"/>
      <c r="D298" s="338"/>
      <c r="E298" s="338"/>
      <c r="F298" s="337"/>
      <c r="G298" s="449"/>
      <c r="H298" s="449"/>
      <c r="I298" s="449"/>
      <c r="J298" s="449"/>
      <c r="K298" s="449"/>
      <c r="L298" s="449"/>
      <c r="M298" s="449"/>
      <c r="N298" s="449"/>
      <c r="O298" s="449"/>
      <c r="P298" s="449"/>
      <c r="Q298" s="449"/>
      <c r="R298" s="449"/>
      <c r="S298" s="449"/>
      <c r="T298" s="449"/>
      <c r="U298" s="449"/>
      <c r="V298" s="449"/>
      <c r="W298" s="449"/>
      <c r="X298" s="449"/>
      <c r="Y298" s="449"/>
      <c r="Z298" s="449"/>
      <c r="AA298" s="449"/>
      <c r="AB298" s="449"/>
    </row>
    <row r="299">
      <c r="A299" s="337"/>
      <c r="B299" s="338"/>
      <c r="C299" s="338"/>
      <c r="D299" s="338"/>
      <c r="E299" s="338"/>
      <c r="F299" s="337"/>
      <c r="G299" s="449"/>
      <c r="H299" s="449"/>
      <c r="I299" s="449"/>
      <c r="J299" s="449"/>
      <c r="K299" s="449"/>
      <c r="L299" s="449"/>
      <c r="M299" s="449"/>
      <c r="N299" s="449"/>
      <c r="O299" s="449"/>
      <c r="P299" s="449"/>
      <c r="Q299" s="449"/>
      <c r="R299" s="449"/>
      <c r="S299" s="449"/>
      <c r="T299" s="449"/>
      <c r="U299" s="449"/>
      <c r="V299" s="449"/>
      <c r="W299" s="449"/>
      <c r="X299" s="449"/>
      <c r="Y299" s="449"/>
      <c r="Z299" s="449"/>
      <c r="AA299" s="449"/>
      <c r="AB299" s="449"/>
    </row>
    <row r="300">
      <c r="A300" s="337"/>
      <c r="B300" s="338"/>
      <c r="C300" s="338"/>
      <c r="D300" s="338"/>
      <c r="E300" s="338"/>
      <c r="F300" s="337"/>
      <c r="G300" s="449"/>
      <c r="H300" s="449"/>
      <c r="I300" s="449"/>
      <c r="J300" s="449"/>
      <c r="K300" s="449"/>
      <c r="L300" s="449"/>
      <c r="M300" s="449"/>
      <c r="N300" s="449"/>
      <c r="O300" s="449"/>
      <c r="P300" s="449"/>
      <c r="Q300" s="449"/>
      <c r="R300" s="449"/>
      <c r="S300" s="449"/>
      <c r="T300" s="449"/>
      <c r="U300" s="449"/>
      <c r="V300" s="449"/>
      <c r="W300" s="449"/>
      <c r="X300" s="449"/>
      <c r="Y300" s="449"/>
      <c r="Z300" s="449"/>
      <c r="AA300" s="449"/>
      <c r="AB300" s="449"/>
    </row>
    <row r="301">
      <c r="A301" s="337"/>
      <c r="B301" s="338"/>
      <c r="C301" s="338"/>
      <c r="D301" s="338"/>
      <c r="E301" s="338"/>
      <c r="F301" s="337"/>
      <c r="G301" s="449"/>
      <c r="H301" s="449"/>
      <c r="I301" s="449"/>
      <c r="J301" s="449"/>
      <c r="K301" s="449"/>
      <c r="L301" s="449"/>
      <c r="M301" s="449"/>
      <c r="N301" s="449"/>
      <c r="O301" s="449"/>
      <c r="P301" s="449"/>
      <c r="Q301" s="449"/>
      <c r="R301" s="449"/>
      <c r="S301" s="449"/>
      <c r="T301" s="449"/>
      <c r="U301" s="449"/>
      <c r="V301" s="449"/>
      <c r="W301" s="449"/>
      <c r="X301" s="449"/>
      <c r="Y301" s="449"/>
      <c r="Z301" s="449"/>
      <c r="AA301" s="449"/>
      <c r="AB301" s="449"/>
    </row>
    <row r="302">
      <c r="A302" s="337"/>
      <c r="B302" s="338"/>
      <c r="C302" s="338"/>
      <c r="D302" s="338"/>
      <c r="E302" s="338"/>
      <c r="F302" s="337"/>
      <c r="G302" s="449"/>
      <c r="H302" s="449"/>
      <c r="I302" s="449"/>
      <c r="J302" s="449"/>
      <c r="K302" s="449"/>
      <c r="L302" s="449"/>
      <c r="M302" s="449"/>
      <c r="N302" s="449"/>
      <c r="O302" s="449"/>
      <c r="P302" s="449"/>
      <c r="Q302" s="449"/>
      <c r="R302" s="449"/>
      <c r="S302" s="449"/>
      <c r="T302" s="449"/>
      <c r="U302" s="449"/>
      <c r="V302" s="449"/>
      <c r="W302" s="449"/>
      <c r="X302" s="449"/>
      <c r="Y302" s="449"/>
      <c r="Z302" s="449"/>
      <c r="AA302" s="449"/>
      <c r="AB302" s="449"/>
    </row>
    <row r="303">
      <c r="A303" s="337"/>
      <c r="B303" s="338"/>
      <c r="C303" s="338"/>
      <c r="D303" s="338"/>
      <c r="E303" s="338"/>
      <c r="F303" s="337"/>
      <c r="G303" s="449"/>
      <c r="H303" s="449"/>
      <c r="I303" s="449"/>
      <c r="J303" s="449"/>
      <c r="K303" s="449"/>
      <c r="L303" s="449"/>
      <c r="M303" s="449"/>
      <c r="N303" s="449"/>
      <c r="O303" s="449"/>
      <c r="P303" s="449"/>
      <c r="Q303" s="449"/>
      <c r="R303" s="449"/>
      <c r="S303" s="449"/>
      <c r="T303" s="449"/>
      <c r="U303" s="449"/>
      <c r="V303" s="449"/>
      <c r="W303" s="449"/>
      <c r="X303" s="449"/>
      <c r="Y303" s="449"/>
      <c r="Z303" s="449"/>
      <c r="AA303" s="449"/>
      <c r="AB303" s="449"/>
    </row>
    <row r="304">
      <c r="A304" s="337"/>
      <c r="B304" s="338"/>
      <c r="C304" s="338"/>
      <c r="D304" s="338"/>
      <c r="E304" s="338"/>
      <c r="F304" s="337"/>
      <c r="G304" s="449"/>
      <c r="H304" s="449"/>
      <c r="I304" s="449"/>
      <c r="J304" s="449"/>
      <c r="K304" s="449"/>
      <c r="L304" s="449"/>
      <c r="M304" s="449"/>
      <c r="N304" s="449"/>
      <c r="O304" s="449"/>
      <c r="P304" s="449"/>
      <c r="Q304" s="449"/>
      <c r="R304" s="449"/>
      <c r="S304" s="449"/>
      <c r="T304" s="449"/>
      <c r="U304" s="449"/>
      <c r="V304" s="449"/>
      <c r="W304" s="449"/>
      <c r="X304" s="449"/>
      <c r="Y304" s="449"/>
      <c r="Z304" s="449"/>
      <c r="AA304" s="449"/>
      <c r="AB304" s="449"/>
    </row>
    <row r="305">
      <c r="A305" s="337"/>
      <c r="B305" s="338"/>
      <c r="C305" s="338"/>
      <c r="D305" s="338"/>
      <c r="E305" s="338"/>
      <c r="F305" s="337"/>
      <c r="G305" s="449"/>
      <c r="H305" s="449"/>
      <c r="I305" s="449"/>
      <c r="J305" s="449"/>
      <c r="K305" s="449"/>
      <c r="L305" s="449"/>
      <c r="M305" s="449"/>
      <c r="N305" s="449"/>
      <c r="O305" s="449"/>
      <c r="P305" s="449"/>
      <c r="Q305" s="449"/>
      <c r="R305" s="449"/>
      <c r="S305" s="449"/>
      <c r="T305" s="449"/>
      <c r="U305" s="449"/>
      <c r="V305" s="449"/>
      <c r="W305" s="449"/>
      <c r="X305" s="449"/>
      <c r="Y305" s="449"/>
      <c r="Z305" s="449"/>
      <c r="AA305" s="449"/>
      <c r="AB305" s="449"/>
    </row>
    <row r="306">
      <c r="A306" s="337"/>
      <c r="B306" s="338"/>
      <c r="C306" s="338"/>
      <c r="D306" s="338"/>
      <c r="E306" s="338"/>
      <c r="F306" s="337"/>
      <c r="G306" s="449"/>
      <c r="H306" s="449"/>
      <c r="I306" s="449"/>
      <c r="J306" s="449"/>
      <c r="K306" s="449"/>
      <c r="L306" s="449"/>
      <c r="M306" s="449"/>
      <c r="N306" s="449"/>
      <c r="O306" s="449"/>
      <c r="P306" s="449"/>
      <c r="Q306" s="449"/>
      <c r="R306" s="449"/>
      <c r="S306" s="449"/>
      <c r="T306" s="449"/>
      <c r="U306" s="449"/>
      <c r="V306" s="449"/>
      <c r="W306" s="449"/>
      <c r="X306" s="449"/>
      <c r="Y306" s="449"/>
      <c r="Z306" s="449"/>
      <c r="AA306" s="449"/>
      <c r="AB306" s="449"/>
    </row>
    <row r="307">
      <c r="A307" s="337"/>
      <c r="B307" s="338"/>
      <c r="C307" s="338"/>
      <c r="D307" s="338"/>
      <c r="E307" s="338"/>
      <c r="F307" s="337"/>
      <c r="G307" s="449"/>
      <c r="H307" s="449"/>
      <c r="I307" s="449"/>
      <c r="J307" s="449"/>
      <c r="K307" s="449"/>
      <c r="L307" s="449"/>
      <c r="M307" s="449"/>
      <c r="N307" s="449"/>
      <c r="O307" s="449"/>
      <c r="P307" s="449"/>
      <c r="Q307" s="449"/>
      <c r="R307" s="449"/>
      <c r="S307" s="449"/>
      <c r="T307" s="449"/>
      <c r="U307" s="449"/>
      <c r="V307" s="449"/>
      <c r="W307" s="449"/>
      <c r="X307" s="449"/>
      <c r="Y307" s="449"/>
      <c r="Z307" s="449"/>
      <c r="AA307" s="449"/>
      <c r="AB307" s="449"/>
    </row>
    <row r="308">
      <c r="A308" s="337"/>
      <c r="B308" s="338"/>
      <c r="C308" s="338"/>
      <c r="D308" s="338"/>
      <c r="E308" s="338"/>
      <c r="F308" s="337"/>
      <c r="G308" s="449"/>
      <c r="H308" s="449"/>
      <c r="I308" s="449"/>
      <c r="J308" s="449"/>
      <c r="K308" s="449"/>
      <c r="L308" s="449"/>
      <c r="M308" s="449"/>
      <c r="N308" s="449"/>
      <c r="O308" s="449"/>
      <c r="P308" s="449"/>
      <c r="Q308" s="449"/>
      <c r="R308" s="449"/>
      <c r="S308" s="449"/>
      <c r="T308" s="449"/>
      <c r="U308" s="449"/>
      <c r="V308" s="449"/>
      <c r="W308" s="449"/>
      <c r="X308" s="449"/>
      <c r="Y308" s="449"/>
      <c r="Z308" s="449"/>
      <c r="AA308" s="449"/>
      <c r="AB308" s="449"/>
    </row>
    <row r="309">
      <c r="A309" s="337"/>
      <c r="B309" s="338"/>
      <c r="C309" s="338"/>
      <c r="D309" s="338"/>
      <c r="E309" s="338"/>
      <c r="F309" s="337"/>
      <c r="G309" s="449"/>
      <c r="H309" s="449"/>
      <c r="I309" s="449"/>
      <c r="J309" s="449"/>
      <c r="K309" s="449"/>
      <c r="L309" s="449"/>
      <c r="M309" s="449"/>
      <c r="N309" s="449"/>
      <c r="O309" s="449"/>
      <c r="P309" s="449"/>
      <c r="Q309" s="449"/>
      <c r="R309" s="449"/>
      <c r="S309" s="449"/>
      <c r="T309" s="449"/>
      <c r="U309" s="449"/>
      <c r="V309" s="449"/>
      <c r="W309" s="449"/>
      <c r="X309" s="449"/>
      <c r="Y309" s="449"/>
      <c r="Z309" s="449"/>
      <c r="AA309" s="449"/>
      <c r="AB309" s="449"/>
    </row>
    <row r="310">
      <c r="A310" s="337"/>
      <c r="B310" s="338"/>
      <c r="C310" s="338"/>
      <c r="D310" s="338"/>
      <c r="E310" s="338"/>
      <c r="F310" s="337"/>
      <c r="G310" s="449"/>
      <c r="H310" s="449"/>
      <c r="I310" s="449"/>
      <c r="J310" s="449"/>
      <c r="K310" s="449"/>
      <c r="L310" s="449"/>
      <c r="M310" s="449"/>
      <c r="N310" s="449"/>
      <c r="O310" s="449"/>
      <c r="P310" s="449"/>
      <c r="Q310" s="449"/>
      <c r="R310" s="449"/>
      <c r="S310" s="449"/>
      <c r="T310" s="449"/>
      <c r="U310" s="449"/>
      <c r="V310" s="449"/>
      <c r="W310" s="449"/>
      <c r="X310" s="449"/>
      <c r="Y310" s="449"/>
      <c r="Z310" s="449"/>
      <c r="AA310" s="449"/>
      <c r="AB310" s="449"/>
    </row>
    <row r="311">
      <c r="A311" s="337"/>
      <c r="B311" s="338"/>
      <c r="C311" s="338"/>
      <c r="D311" s="338"/>
      <c r="E311" s="338"/>
      <c r="F311" s="337"/>
      <c r="G311" s="449"/>
      <c r="H311" s="449"/>
      <c r="I311" s="449"/>
      <c r="J311" s="449"/>
      <c r="K311" s="449"/>
      <c r="L311" s="449"/>
      <c r="M311" s="449"/>
      <c r="N311" s="449"/>
      <c r="O311" s="449"/>
      <c r="P311" s="449"/>
      <c r="Q311" s="449"/>
      <c r="R311" s="449"/>
      <c r="S311" s="449"/>
      <c r="T311" s="449"/>
      <c r="U311" s="449"/>
      <c r="V311" s="449"/>
      <c r="W311" s="449"/>
      <c r="X311" s="449"/>
      <c r="Y311" s="449"/>
      <c r="Z311" s="449"/>
      <c r="AA311" s="449"/>
      <c r="AB311" s="449"/>
    </row>
    <row r="312">
      <c r="A312" s="337"/>
      <c r="B312" s="338"/>
      <c r="C312" s="338"/>
      <c r="D312" s="338"/>
      <c r="E312" s="338"/>
      <c r="F312" s="337"/>
      <c r="G312" s="449"/>
      <c r="H312" s="449"/>
      <c r="I312" s="449"/>
      <c r="J312" s="449"/>
      <c r="K312" s="449"/>
      <c r="L312" s="449"/>
      <c r="M312" s="449"/>
      <c r="N312" s="449"/>
      <c r="O312" s="449"/>
      <c r="P312" s="449"/>
      <c r="Q312" s="449"/>
      <c r="R312" s="449"/>
      <c r="S312" s="449"/>
      <c r="T312" s="449"/>
      <c r="U312" s="449"/>
      <c r="V312" s="449"/>
      <c r="W312" s="449"/>
      <c r="X312" s="449"/>
      <c r="Y312" s="449"/>
      <c r="Z312" s="449"/>
      <c r="AA312" s="449"/>
      <c r="AB312" s="449"/>
    </row>
    <row r="313">
      <c r="A313" s="337"/>
      <c r="B313" s="338"/>
      <c r="C313" s="338"/>
      <c r="D313" s="338"/>
      <c r="E313" s="338"/>
      <c r="F313" s="337"/>
      <c r="G313" s="449"/>
      <c r="H313" s="449"/>
      <c r="I313" s="449"/>
      <c r="J313" s="449"/>
      <c r="K313" s="449"/>
      <c r="L313" s="449"/>
      <c r="M313" s="449"/>
      <c r="N313" s="449"/>
      <c r="O313" s="449"/>
      <c r="P313" s="449"/>
      <c r="Q313" s="449"/>
      <c r="R313" s="449"/>
      <c r="S313" s="449"/>
      <c r="T313" s="449"/>
      <c r="U313" s="449"/>
      <c r="V313" s="449"/>
      <c r="W313" s="449"/>
      <c r="X313" s="449"/>
      <c r="Y313" s="449"/>
      <c r="Z313" s="449"/>
      <c r="AA313" s="449"/>
      <c r="AB313" s="449"/>
    </row>
    <row r="314">
      <c r="A314" s="337"/>
      <c r="B314" s="338"/>
      <c r="C314" s="338"/>
      <c r="D314" s="338"/>
      <c r="E314" s="338"/>
      <c r="F314" s="337"/>
      <c r="G314" s="449"/>
      <c r="H314" s="449"/>
      <c r="I314" s="449"/>
      <c r="J314" s="449"/>
      <c r="K314" s="449"/>
      <c r="L314" s="449"/>
      <c r="M314" s="449"/>
      <c r="N314" s="449"/>
      <c r="O314" s="449"/>
      <c r="P314" s="449"/>
      <c r="Q314" s="449"/>
      <c r="R314" s="449"/>
      <c r="S314" s="449"/>
      <c r="T314" s="449"/>
      <c r="U314" s="449"/>
      <c r="V314" s="449"/>
      <c r="W314" s="449"/>
      <c r="X314" s="449"/>
      <c r="Y314" s="449"/>
      <c r="Z314" s="449"/>
      <c r="AA314" s="449"/>
      <c r="AB314" s="449"/>
    </row>
    <row r="315">
      <c r="A315" s="337"/>
      <c r="B315" s="338"/>
      <c r="C315" s="338"/>
      <c r="D315" s="338"/>
      <c r="E315" s="338"/>
      <c r="F315" s="337"/>
      <c r="G315" s="449"/>
      <c r="H315" s="449"/>
      <c r="I315" s="449"/>
      <c r="J315" s="449"/>
      <c r="K315" s="449"/>
      <c r="L315" s="449"/>
      <c r="M315" s="449"/>
      <c r="N315" s="449"/>
      <c r="O315" s="449"/>
      <c r="P315" s="449"/>
      <c r="Q315" s="449"/>
      <c r="R315" s="449"/>
      <c r="S315" s="449"/>
      <c r="T315" s="449"/>
      <c r="U315" s="449"/>
      <c r="V315" s="449"/>
      <c r="W315" s="449"/>
      <c r="X315" s="449"/>
      <c r="Y315" s="449"/>
      <c r="Z315" s="449"/>
      <c r="AA315" s="449"/>
      <c r="AB315" s="449"/>
    </row>
    <row r="316">
      <c r="A316" s="337"/>
      <c r="B316" s="338"/>
      <c r="C316" s="338"/>
      <c r="D316" s="338"/>
      <c r="E316" s="338"/>
      <c r="F316" s="337"/>
      <c r="G316" s="449"/>
      <c r="H316" s="449"/>
      <c r="I316" s="449"/>
      <c r="J316" s="449"/>
      <c r="K316" s="449"/>
      <c r="L316" s="449"/>
      <c r="M316" s="449"/>
      <c r="N316" s="449"/>
      <c r="O316" s="449"/>
      <c r="P316" s="449"/>
      <c r="Q316" s="449"/>
      <c r="R316" s="449"/>
      <c r="S316" s="449"/>
      <c r="T316" s="449"/>
      <c r="U316" s="449"/>
      <c r="V316" s="449"/>
      <c r="W316" s="449"/>
      <c r="X316" s="449"/>
      <c r="Y316" s="449"/>
      <c r="Z316" s="449"/>
      <c r="AA316" s="449"/>
      <c r="AB316" s="449"/>
    </row>
    <row r="317">
      <c r="A317" s="337"/>
      <c r="B317" s="338"/>
      <c r="C317" s="338"/>
      <c r="D317" s="338"/>
      <c r="E317" s="338"/>
      <c r="F317" s="337"/>
      <c r="G317" s="449"/>
      <c r="H317" s="449"/>
      <c r="I317" s="449"/>
      <c r="J317" s="449"/>
      <c r="K317" s="449"/>
      <c r="L317" s="449"/>
      <c r="M317" s="449"/>
      <c r="N317" s="449"/>
      <c r="O317" s="449"/>
      <c r="P317" s="449"/>
      <c r="Q317" s="449"/>
      <c r="R317" s="449"/>
      <c r="S317" s="449"/>
      <c r="T317" s="449"/>
      <c r="U317" s="449"/>
      <c r="V317" s="449"/>
      <c r="W317" s="449"/>
      <c r="X317" s="449"/>
      <c r="Y317" s="449"/>
      <c r="Z317" s="449"/>
      <c r="AA317" s="449"/>
      <c r="AB317" s="449"/>
    </row>
    <row r="318">
      <c r="A318" s="337"/>
      <c r="B318" s="338"/>
      <c r="C318" s="338"/>
      <c r="D318" s="338"/>
      <c r="E318" s="338"/>
      <c r="F318" s="337"/>
      <c r="G318" s="449"/>
      <c r="H318" s="449"/>
      <c r="I318" s="449"/>
      <c r="J318" s="449"/>
      <c r="K318" s="449"/>
      <c r="L318" s="449"/>
      <c r="M318" s="449"/>
      <c r="N318" s="449"/>
      <c r="O318" s="449"/>
      <c r="P318" s="449"/>
      <c r="Q318" s="449"/>
      <c r="R318" s="449"/>
      <c r="S318" s="449"/>
      <c r="T318" s="449"/>
      <c r="U318" s="449"/>
      <c r="V318" s="449"/>
      <c r="W318" s="449"/>
      <c r="X318" s="449"/>
      <c r="Y318" s="449"/>
      <c r="Z318" s="449"/>
      <c r="AA318" s="449"/>
      <c r="AB318" s="449"/>
    </row>
    <row r="319">
      <c r="A319" s="337"/>
      <c r="B319" s="338"/>
      <c r="C319" s="338"/>
      <c r="D319" s="338"/>
      <c r="E319" s="338"/>
      <c r="F319" s="337"/>
      <c r="G319" s="449"/>
      <c r="H319" s="449"/>
      <c r="I319" s="449"/>
      <c r="J319" s="449"/>
      <c r="K319" s="449"/>
      <c r="L319" s="449"/>
      <c r="M319" s="449"/>
      <c r="N319" s="449"/>
      <c r="O319" s="449"/>
      <c r="P319" s="449"/>
      <c r="Q319" s="449"/>
      <c r="R319" s="449"/>
      <c r="S319" s="449"/>
      <c r="T319" s="449"/>
      <c r="U319" s="449"/>
      <c r="V319" s="449"/>
      <c r="W319" s="449"/>
      <c r="X319" s="449"/>
      <c r="Y319" s="449"/>
      <c r="Z319" s="449"/>
      <c r="AA319" s="449"/>
      <c r="AB319" s="449"/>
    </row>
    <row r="320">
      <c r="A320" s="337"/>
      <c r="B320" s="338"/>
      <c r="C320" s="338"/>
      <c r="D320" s="338"/>
      <c r="E320" s="338"/>
      <c r="F320" s="337"/>
      <c r="G320" s="449"/>
      <c r="H320" s="449"/>
      <c r="I320" s="449"/>
      <c r="J320" s="449"/>
      <c r="K320" s="449"/>
      <c r="L320" s="449"/>
      <c r="M320" s="449"/>
      <c r="N320" s="449"/>
      <c r="O320" s="449"/>
      <c r="P320" s="449"/>
      <c r="Q320" s="449"/>
      <c r="R320" s="449"/>
      <c r="S320" s="449"/>
      <c r="T320" s="449"/>
      <c r="U320" s="449"/>
      <c r="V320" s="449"/>
      <c r="W320" s="449"/>
      <c r="X320" s="449"/>
      <c r="Y320" s="449"/>
      <c r="Z320" s="449"/>
      <c r="AA320" s="449"/>
      <c r="AB320" s="449"/>
    </row>
    <row r="321">
      <c r="A321" s="337"/>
      <c r="B321" s="338"/>
      <c r="C321" s="338"/>
      <c r="D321" s="338"/>
      <c r="E321" s="338"/>
      <c r="F321" s="337"/>
      <c r="G321" s="449"/>
      <c r="H321" s="449"/>
      <c r="I321" s="449"/>
      <c r="J321" s="449"/>
      <c r="K321" s="449"/>
      <c r="L321" s="449"/>
      <c r="M321" s="449"/>
      <c r="N321" s="449"/>
      <c r="O321" s="449"/>
      <c r="P321" s="449"/>
      <c r="Q321" s="449"/>
      <c r="R321" s="449"/>
      <c r="S321" s="449"/>
      <c r="T321" s="449"/>
      <c r="U321" s="449"/>
      <c r="V321" s="449"/>
      <c r="W321" s="449"/>
      <c r="X321" s="449"/>
      <c r="Y321" s="449"/>
      <c r="Z321" s="449"/>
      <c r="AA321" s="449"/>
      <c r="AB321" s="449"/>
    </row>
    <row r="322">
      <c r="A322" s="337"/>
      <c r="B322" s="338"/>
      <c r="C322" s="338"/>
      <c r="D322" s="338"/>
      <c r="E322" s="338"/>
      <c r="F322" s="337"/>
      <c r="G322" s="449"/>
      <c r="H322" s="449"/>
      <c r="I322" s="449"/>
      <c r="J322" s="449"/>
      <c r="K322" s="449"/>
      <c r="L322" s="449"/>
      <c r="M322" s="449"/>
      <c r="N322" s="449"/>
      <c r="O322" s="449"/>
      <c r="P322" s="449"/>
      <c r="Q322" s="449"/>
      <c r="R322" s="449"/>
      <c r="S322" s="449"/>
      <c r="T322" s="449"/>
      <c r="U322" s="449"/>
      <c r="V322" s="449"/>
      <c r="W322" s="449"/>
      <c r="X322" s="449"/>
      <c r="Y322" s="449"/>
      <c r="Z322" s="449"/>
      <c r="AA322" s="449"/>
      <c r="AB322" s="449"/>
    </row>
    <row r="323">
      <c r="A323" s="337"/>
      <c r="B323" s="338"/>
      <c r="C323" s="338"/>
      <c r="D323" s="338"/>
      <c r="E323" s="338"/>
      <c r="F323" s="337"/>
      <c r="G323" s="449"/>
      <c r="H323" s="449"/>
      <c r="I323" s="449"/>
      <c r="J323" s="449"/>
      <c r="K323" s="449"/>
      <c r="L323" s="449"/>
      <c r="M323" s="449"/>
      <c r="N323" s="449"/>
      <c r="O323" s="449"/>
      <c r="P323" s="449"/>
      <c r="Q323" s="449"/>
      <c r="R323" s="449"/>
      <c r="S323" s="449"/>
      <c r="T323" s="449"/>
      <c r="U323" s="449"/>
      <c r="V323" s="449"/>
      <c r="W323" s="449"/>
      <c r="X323" s="449"/>
      <c r="Y323" s="449"/>
      <c r="Z323" s="449"/>
      <c r="AA323" s="449"/>
      <c r="AB323" s="449"/>
    </row>
    <row r="324">
      <c r="A324" s="337"/>
      <c r="B324" s="338"/>
      <c r="C324" s="338"/>
      <c r="D324" s="338"/>
      <c r="E324" s="338"/>
      <c r="F324" s="337"/>
      <c r="G324" s="449"/>
      <c r="H324" s="449"/>
      <c r="I324" s="449"/>
      <c r="J324" s="449"/>
      <c r="K324" s="449"/>
      <c r="L324" s="449"/>
      <c r="M324" s="449"/>
      <c r="N324" s="449"/>
      <c r="O324" s="449"/>
      <c r="P324" s="449"/>
      <c r="Q324" s="449"/>
      <c r="R324" s="449"/>
      <c r="S324" s="449"/>
      <c r="T324" s="449"/>
      <c r="U324" s="449"/>
      <c r="V324" s="449"/>
      <c r="W324" s="449"/>
      <c r="X324" s="449"/>
      <c r="Y324" s="449"/>
      <c r="Z324" s="449"/>
      <c r="AA324" s="449"/>
      <c r="AB324" s="449"/>
    </row>
    <row r="325">
      <c r="A325" s="337"/>
      <c r="B325" s="338"/>
      <c r="C325" s="338"/>
      <c r="D325" s="338"/>
      <c r="E325" s="338"/>
      <c r="F325" s="337"/>
      <c r="G325" s="449"/>
      <c r="H325" s="449"/>
      <c r="I325" s="449"/>
      <c r="J325" s="449"/>
      <c r="K325" s="449"/>
      <c r="L325" s="449"/>
      <c r="M325" s="449"/>
      <c r="N325" s="449"/>
      <c r="O325" s="449"/>
      <c r="P325" s="449"/>
      <c r="Q325" s="449"/>
      <c r="R325" s="449"/>
      <c r="S325" s="449"/>
      <c r="T325" s="449"/>
      <c r="U325" s="449"/>
      <c r="V325" s="449"/>
      <c r="W325" s="449"/>
      <c r="X325" s="449"/>
      <c r="Y325" s="449"/>
      <c r="Z325" s="449"/>
      <c r="AA325" s="449"/>
      <c r="AB325" s="449"/>
    </row>
    <row r="326">
      <c r="A326" s="337"/>
      <c r="B326" s="338"/>
      <c r="C326" s="338"/>
      <c r="D326" s="338"/>
      <c r="E326" s="338"/>
      <c r="F326" s="337"/>
      <c r="G326" s="449"/>
      <c r="H326" s="449"/>
      <c r="I326" s="449"/>
      <c r="J326" s="449"/>
      <c r="K326" s="449"/>
      <c r="L326" s="449"/>
      <c r="M326" s="449"/>
      <c r="N326" s="449"/>
      <c r="O326" s="449"/>
      <c r="P326" s="449"/>
      <c r="Q326" s="449"/>
      <c r="R326" s="449"/>
      <c r="S326" s="449"/>
      <c r="T326" s="449"/>
      <c r="U326" s="449"/>
      <c r="V326" s="449"/>
      <c r="W326" s="449"/>
      <c r="X326" s="449"/>
      <c r="Y326" s="449"/>
      <c r="Z326" s="449"/>
      <c r="AA326" s="449"/>
      <c r="AB326" s="449"/>
    </row>
    <row r="327">
      <c r="A327" s="337"/>
      <c r="B327" s="338"/>
      <c r="C327" s="338"/>
      <c r="D327" s="338"/>
      <c r="E327" s="338"/>
      <c r="F327" s="337"/>
      <c r="G327" s="449"/>
      <c r="H327" s="449"/>
      <c r="I327" s="449"/>
      <c r="J327" s="449"/>
      <c r="K327" s="449"/>
      <c r="L327" s="449"/>
      <c r="M327" s="449"/>
      <c r="N327" s="449"/>
      <c r="O327" s="449"/>
      <c r="P327" s="449"/>
      <c r="Q327" s="449"/>
      <c r="R327" s="449"/>
      <c r="S327" s="449"/>
      <c r="T327" s="449"/>
      <c r="U327" s="449"/>
      <c r="V327" s="449"/>
      <c r="W327" s="449"/>
      <c r="X327" s="449"/>
      <c r="Y327" s="449"/>
      <c r="Z327" s="449"/>
      <c r="AA327" s="449"/>
      <c r="AB327" s="449"/>
    </row>
    <row r="328">
      <c r="A328" s="337"/>
      <c r="B328" s="338"/>
      <c r="C328" s="338"/>
      <c r="D328" s="338"/>
      <c r="E328" s="338"/>
      <c r="F328" s="337"/>
      <c r="G328" s="449"/>
      <c r="H328" s="449"/>
      <c r="I328" s="449"/>
      <c r="J328" s="449"/>
      <c r="K328" s="449"/>
      <c r="L328" s="449"/>
      <c r="M328" s="449"/>
      <c r="N328" s="449"/>
      <c r="O328" s="449"/>
      <c r="P328" s="449"/>
      <c r="Q328" s="449"/>
      <c r="R328" s="449"/>
      <c r="S328" s="449"/>
      <c r="T328" s="449"/>
      <c r="U328" s="449"/>
      <c r="V328" s="449"/>
      <c r="W328" s="449"/>
      <c r="X328" s="449"/>
      <c r="Y328" s="449"/>
      <c r="Z328" s="449"/>
      <c r="AA328" s="449"/>
      <c r="AB328" s="449"/>
    </row>
    <row r="329">
      <c r="A329" s="337"/>
      <c r="B329" s="338"/>
      <c r="C329" s="338"/>
      <c r="D329" s="338"/>
      <c r="E329" s="338"/>
      <c r="F329" s="337"/>
      <c r="G329" s="449"/>
      <c r="H329" s="449"/>
      <c r="I329" s="449"/>
      <c r="J329" s="449"/>
      <c r="K329" s="449"/>
      <c r="L329" s="449"/>
      <c r="M329" s="449"/>
      <c r="N329" s="449"/>
      <c r="O329" s="449"/>
      <c r="P329" s="449"/>
      <c r="Q329" s="449"/>
      <c r="R329" s="449"/>
      <c r="S329" s="449"/>
      <c r="T329" s="449"/>
      <c r="U329" s="449"/>
      <c r="V329" s="449"/>
      <c r="W329" s="449"/>
      <c r="X329" s="449"/>
      <c r="Y329" s="449"/>
      <c r="Z329" s="449"/>
      <c r="AA329" s="449"/>
      <c r="AB329" s="449"/>
    </row>
    <row r="330">
      <c r="A330" s="337"/>
      <c r="B330" s="338"/>
      <c r="C330" s="338"/>
      <c r="D330" s="338"/>
      <c r="E330" s="338"/>
      <c r="F330" s="337"/>
      <c r="G330" s="449"/>
      <c r="H330" s="449"/>
      <c r="I330" s="449"/>
      <c r="J330" s="449"/>
      <c r="K330" s="449"/>
      <c r="L330" s="449"/>
      <c r="M330" s="449"/>
      <c r="N330" s="449"/>
      <c r="O330" s="449"/>
      <c r="P330" s="449"/>
      <c r="Q330" s="449"/>
      <c r="R330" s="449"/>
      <c r="S330" s="449"/>
      <c r="T330" s="449"/>
      <c r="U330" s="449"/>
      <c r="V330" s="449"/>
      <c r="W330" s="449"/>
      <c r="X330" s="449"/>
      <c r="Y330" s="449"/>
      <c r="Z330" s="449"/>
      <c r="AA330" s="449"/>
      <c r="AB330" s="449"/>
    </row>
    <row r="331">
      <c r="A331" s="337"/>
      <c r="B331" s="338"/>
      <c r="C331" s="338"/>
      <c r="D331" s="338"/>
      <c r="E331" s="338"/>
      <c r="F331" s="337"/>
      <c r="G331" s="449"/>
      <c r="H331" s="449"/>
      <c r="I331" s="449"/>
      <c r="J331" s="449"/>
      <c r="K331" s="449"/>
      <c r="L331" s="449"/>
      <c r="M331" s="449"/>
      <c r="N331" s="449"/>
      <c r="O331" s="449"/>
      <c r="P331" s="449"/>
      <c r="Q331" s="449"/>
      <c r="R331" s="449"/>
      <c r="S331" s="449"/>
      <c r="T331" s="449"/>
      <c r="U331" s="449"/>
      <c r="V331" s="449"/>
      <c r="W331" s="449"/>
      <c r="X331" s="449"/>
      <c r="Y331" s="449"/>
      <c r="Z331" s="449"/>
      <c r="AA331" s="449"/>
      <c r="AB331" s="449"/>
    </row>
    <row r="332">
      <c r="A332" s="337"/>
      <c r="B332" s="338"/>
      <c r="C332" s="338"/>
      <c r="D332" s="338"/>
      <c r="E332" s="338"/>
      <c r="F332" s="337"/>
      <c r="G332" s="449"/>
      <c r="H332" s="449"/>
      <c r="I332" s="449"/>
      <c r="J332" s="449"/>
      <c r="K332" s="449"/>
      <c r="L332" s="449"/>
      <c r="M332" s="449"/>
      <c r="N332" s="449"/>
      <c r="O332" s="449"/>
      <c r="P332" s="449"/>
      <c r="Q332" s="449"/>
      <c r="R332" s="449"/>
      <c r="S332" s="449"/>
      <c r="T332" s="449"/>
      <c r="U332" s="449"/>
      <c r="V332" s="449"/>
      <c r="W332" s="449"/>
      <c r="X332" s="449"/>
      <c r="Y332" s="449"/>
      <c r="Z332" s="449"/>
      <c r="AA332" s="449"/>
      <c r="AB332" s="449"/>
    </row>
    <row r="333">
      <c r="A333" s="337"/>
      <c r="B333" s="338"/>
      <c r="C333" s="338"/>
      <c r="D333" s="338"/>
      <c r="E333" s="338"/>
      <c r="F333" s="337"/>
      <c r="G333" s="449"/>
      <c r="H333" s="449"/>
      <c r="I333" s="449"/>
      <c r="J333" s="449"/>
      <c r="K333" s="449"/>
      <c r="L333" s="449"/>
      <c r="M333" s="449"/>
      <c r="N333" s="449"/>
      <c r="O333" s="449"/>
      <c r="P333" s="449"/>
      <c r="Q333" s="449"/>
      <c r="R333" s="449"/>
      <c r="S333" s="449"/>
      <c r="T333" s="449"/>
      <c r="U333" s="449"/>
      <c r="V333" s="449"/>
      <c r="W333" s="449"/>
      <c r="X333" s="449"/>
      <c r="Y333" s="449"/>
      <c r="Z333" s="449"/>
      <c r="AA333" s="449"/>
      <c r="AB333" s="449"/>
    </row>
    <row r="334">
      <c r="A334" s="337"/>
      <c r="B334" s="338"/>
      <c r="C334" s="338"/>
      <c r="D334" s="338"/>
      <c r="E334" s="338"/>
      <c r="F334" s="337"/>
      <c r="G334" s="449"/>
      <c r="H334" s="449"/>
      <c r="I334" s="449"/>
      <c r="J334" s="449"/>
      <c r="K334" s="449"/>
      <c r="L334" s="449"/>
      <c r="M334" s="449"/>
      <c r="N334" s="449"/>
      <c r="O334" s="449"/>
      <c r="P334" s="449"/>
      <c r="Q334" s="449"/>
      <c r="R334" s="449"/>
      <c r="S334" s="449"/>
      <c r="T334" s="449"/>
      <c r="U334" s="449"/>
      <c r="V334" s="449"/>
      <c r="W334" s="449"/>
      <c r="X334" s="449"/>
      <c r="Y334" s="449"/>
      <c r="Z334" s="449"/>
      <c r="AA334" s="449"/>
      <c r="AB334" s="449"/>
    </row>
    <row r="335">
      <c r="A335" s="337"/>
      <c r="B335" s="338"/>
      <c r="C335" s="338"/>
      <c r="D335" s="338"/>
      <c r="E335" s="338"/>
      <c r="F335" s="337"/>
      <c r="G335" s="449"/>
      <c r="H335" s="449"/>
      <c r="I335" s="449"/>
      <c r="J335" s="449"/>
      <c r="K335" s="449"/>
      <c r="L335" s="449"/>
      <c r="M335" s="449"/>
      <c r="N335" s="449"/>
      <c r="O335" s="449"/>
      <c r="P335" s="449"/>
      <c r="Q335" s="449"/>
      <c r="R335" s="449"/>
      <c r="S335" s="449"/>
      <c r="T335" s="449"/>
      <c r="U335" s="449"/>
      <c r="V335" s="449"/>
      <c r="W335" s="449"/>
      <c r="X335" s="449"/>
      <c r="Y335" s="449"/>
      <c r="Z335" s="449"/>
      <c r="AA335" s="449"/>
      <c r="AB335" s="449"/>
    </row>
    <row r="336">
      <c r="A336" s="337"/>
      <c r="B336" s="338"/>
      <c r="C336" s="338"/>
      <c r="D336" s="338"/>
      <c r="E336" s="338"/>
      <c r="F336" s="337"/>
      <c r="G336" s="449"/>
      <c r="H336" s="449"/>
      <c r="I336" s="449"/>
      <c r="J336" s="449"/>
      <c r="K336" s="449"/>
      <c r="L336" s="449"/>
      <c r="M336" s="449"/>
      <c r="N336" s="449"/>
      <c r="O336" s="449"/>
      <c r="P336" s="449"/>
      <c r="Q336" s="449"/>
      <c r="R336" s="449"/>
      <c r="S336" s="449"/>
      <c r="T336" s="449"/>
      <c r="U336" s="449"/>
      <c r="V336" s="449"/>
      <c r="W336" s="449"/>
      <c r="X336" s="449"/>
      <c r="Y336" s="449"/>
      <c r="Z336" s="449"/>
      <c r="AA336" s="449"/>
      <c r="AB336" s="449"/>
    </row>
    <row r="337">
      <c r="A337" s="337"/>
      <c r="B337" s="338"/>
      <c r="C337" s="338"/>
      <c r="D337" s="338"/>
      <c r="E337" s="338"/>
      <c r="F337" s="337"/>
      <c r="G337" s="449"/>
      <c r="H337" s="449"/>
      <c r="I337" s="449"/>
      <c r="J337" s="449"/>
      <c r="K337" s="449"/>
      <c r="L337" s="449"/>
      <c r="M337" s="449"/>
      <c r="N337" s="449"/>
      <c r="O337" s="449"/>
      <c r="P337" s="449"/>
      <c r="Q337" s="449"/>
      <c r="R337" s="449"/>
      <c r="S337" s="449"/>
      <c r="T337" s="449"/>
      <c r="U337" s="449"/>
      <c r="V337" s="449"/>
      <c r="W337" s="449"/>
      <c r="X337" s="449"/>
      <c r="Y337" s="449"/>
      <c r="Z337" s="449"/>
      <c r="AA337" s="449"/>
      <c r="AB337" s="449"/>
    </row>
    <row r="338">
      <c r="A338" s="337"/>
      <c r="B338" s="338"/>
      <c r="C338" s="338"/>
      <c r="D338" s="338"/>
      <c r="E338" s="338"/>
      <c r="F338" s="337"/>
      <c r="G338" s="449"/>
      <c r="H338" s="449"/>
      <c r="I338" s="449"/>
      <c r="J338" s="449"/>
      <c r="K338" s="449"/>
      <c r="L338" s="449"/>
      <c r="M338" s="449"/>
      <c r="N338" s="449"/>
      <c r="O338" s="449"/>
      <c r="P338" s="449"/>
      <c r="Q338" s="449"/>
      <c r="R338" s="449"/>
      <c r="S338" s="449"/>
      <c r="T338" s="449"/>
      <c r="U338" s="449"/>
      <c r="V338" s="449"/>
      <c r="W338" s="449"/>
      <c r="X338" s="449"/>
      <c r="Y338" s="449"/>
      <c r="Z338" s="449"/>
      <c r="AA338" s="449"/>
      <c r="AB338" s="449"/>
    </row>
    <row r="339">
      <c r="A339" s="337"/>
      <c r="B339" s="338"/>
      <c r="C339" s="338"/>
      <c r="D339" s="338"/>
      <c r="E339" s="338"/>
      <c r="F339" s="337"/>
      <c r="G339" s="449"/>
      <c r="H339" s="449"/>
      <c r="I339" s="449"/>
      <c r="J339" s="449"/>
      <c r="K339" s="449"/>
      <c r="L339" s="449"/>
      <c r="M339" s="449"/>
      <c r="N339" s="449"/>
      <c r="O339" s="449"/>
      <c r="P339" s="449"/>
      <c r="Q339" s="449"/>
      <c r="R339" s="449"/>
      <c r="S339" s="449"/>
      <c r="T339" s="449"/>
      <c r="U339" s="449"/>
      <c r="V339" s="449"/>
      <c r="W339" s="449"/>
      <c r="X339" s="449"/>
      <c r="Y339" s="449"/>
      <c r="Z339" s="449"/>
      <c r="AA339" s="449"/>
      <c r="AB339" s="449"/>
    </row>
    <row r="340">
      <c r="A340" s="337"/>
      <c r="B340" s="338"/>
      <c r="C340" s="338"/>
      <c r="D340" s="338"/>
      <c r="E340" s="338"/>
      <c r="F340" s="337"/>
      <c r="G340" s="449"/>
      <c r="H340" s="449"/>
      <c r="I340" s="449"/>
      <c r="J340" s="449"/>
      <c r="K340" s="449"/>
      <c r="L340" s="449"/>
      <c r="M340" s="449"/>
      <c r="N340" s="449"/>
      <c r="O340" s="449"/>
      <c r="P340" s="449"/>
      <c r="Q340" s="449"/>
      <c r="R340" s="449"/>
      <c r="S340" s="449"/>
      <c r="T340" s="449"/>
      <c r="U340" s="449"/>
      <c r="V340" s="449"/>
      <c r="W340" s="449"/>
      <c r="X340" s="449"/>
      <c r="Y340" s="449"/>
      <c r="Z340" s="449"/>
      <c r="AA340" s="449"/>
      <c r="AB340" s="449"/>
    </row>
    <row r="341">
      <c r="A341" s="337"/>
      <c r="B341" s="338"/>
      <c r="C341" s="338"/>
      <c r="D341" s="338"/>
      <c r="E341" s="338"/>
      <c r="F341" s="337"/>
      <c r="G341" s="449"/>
      <c r="H341" s="449"/>
      <c r="I341" s="449"/>
      <c r="J341" s="449"/>
      <c r="K341" s="449"/>
      <c r="L341" s="449"/>
      <c r="M341" s="449"/>
      <c r="N341" s="449"/>
      <c r="O341" s="449"/>
      <c r="P341" s="449"/>
      <c r="Q341" s="449"/>
      <c r="R341" s="449"/>
      <c r="S341" s="449"/>
      <c r="T341" s="449"/>
      <c r="U341" s="449"/>
      <c r="V341" s="449"/>
      <c r="W341" s="449"/>
      <c r="X341" s="449"/>
      <c r="Y341" s="449"/>
      <c r="Z341" s="449"/>
      <c r="AA341" s="449"/>
      <c r="AB341" s="449"/>
    </row>
    <row r="342">
      <c r="A342" s="337"/>
      <c r="B342" s="338"/>
      <c r="C342" s="338"/>
      <c r="D342" s="338"/>
      <c r="E342" s="338"/>
      <c r="F342" s="337"/>
      <c r="G342" s="449"/>
      <c r="H342" s="449"/>
      <c r="I342" s="449"/>
      <c r="J342" s="449"/>
      <c r="K342" s="449"/>
      <c r="L342" s="449"/>
      <c r="M342" s="449"/>
      <c r="N342" s="449"/>
      <c r="O342" s="449"/>
      <c r="P342" s="449"/>
      <c r="Q342" s="449"/>
      <c r="R342" s="449"/>
      <c r="S342" s="449"/>
      <c r="T342" s="449"/>
      <c r="U342" s="449"/>
      <c r="V342" s="449"/>
      <c r="W342" s="449"/>
      <c r="X342" s="449"/>
      <c r="Y342" s="449"/>
      <c r="Z342" s="449"/>
      <c r="AA342" s="449"/>
      <c r="AB342" s="449"/>
    </row>
    <row r="343">
      <c r="A343" s="337"/>
      <c r="B343" s="338"/>
      <c r="C343" s="338"/>
      <c r="D343" s="338"/>
      <c r="E343" s="338"/>
      <c r="F343" s="337"/>
      <c r="G343" s="449"/>
      <c r="H343" s="449"/>
      <c r="I343" s="449"/>
      <c r="J343" s="449"/>
      <c r="K343" s="449"/>
      <c r="L343" s="449"/>
      <c r="M343" s="449"/>
      <c r="N343" s="449"/>
      <c r="O343" s="449"/>
      <c r="P343" s="449"/>
      <c r="Q343" s="449"/>
      <c r="R343" s="449"/>
      <c r="S343" s="449"/>
      <c r="T343" s="449"/>
      <c r="U343" s="449"/>
      <c r="V343" s="449"/>
      <c r="W343" s="449"/>
      <c r="X343" s="449"/>
      <c r="Y343" s="449"/>
      <c r="Z343" s="449"/>
      <c r="AA343" s="449"/>
      <c r="AB343" s="449"/>
    </row>
    <row r="344">
      <c r="A344" s="337"/>
      <c r="B344" s="338"/>
      <c r="C344" s="338"/>
      <c r="D344" s="338"/>
      <c r="E344" s="338"/>
      <c r="F344" s="337"/>
      <c r="G344" s="449"/>
      <c r="H344" s="449"/>
      <c r="I344" s="449"/>
      <c r="J344" s="449"/>
      <c r="K344" s="449"/>
      <c r="L344" s="449"/>
      <c r="M344" s="449"/>
      <c r="N344" s="449"/>
      <c r="O344" s="449"/>
      <c r="P344" s="449"/>
      <c r="Q344" s="449"/>
      <c r="R344" s="449"/>
      <c r="S344" s="449"/>
      <c r="T344" s="449"/>
      <c r="U344" s="449"/>
      <c r="V344" s="449"/>
      <c r="W344" s="449"/>
      <c r="X344" s="449"/>
      <c r="Y344" s="449"/>
      <c r="Z344" s="449"/>
      <c r="AA344" s="449"/>
      <c r="AB344" s="449"/>
    </row>
    <row r="345">
      <c r="A345" s="337"/>
      <c r="B345" s="338"/>
      <c r="C345" s="338"/>
      <c r="D345" s="338"/>
      <c r="E345" s="338"/>
      <c r="F345" s="337"/>
      <c r="G345" s="449"/>
      <c r="H345" s="449"/>
      <c r="I345" s="449"/>
      <c r="J345" s="449"/>
      <c r="K345" s="449"/>
      <c r="L345" s="449"/>
      <c r="M345" s="449"/>
      <c r="N345" s="449"/>
      <c r="O345" s="449"/>
      <c r="P345" s="449"/>
      <c r="Q345" s="449"/>
      <c r="R345" s="449"/>
      <c r="S345" s="449"/>
      <c r="T345" s="449"/>
      <c r="U345" s="449"/>
      <c r="V345" s="449"/>
      <c r="W345" s="449"/>
      <c r="X345" s="449"/>
      <c r="Y345" s="449"/>
      <c r="Z345" s="449"/>
      <c r="AA345" s="449"/>
      <c r="AB345" s="449"/>
    </row>
    <row r="346">
      <c r="A346" s="337"/>
      <c r="B346" s="338"/>
      <c r="C346" s="338"/>
      <c r="D346" s="338"/>
      <c r="E346" s="338"/>
      <c r="F346" s="337"/>
      <c r="G346" s="449"/>
      <c r="H346" s="449"/>
      <c r="I346" s="449"/>
      <c r="J346" s="449"/>
      <c r="K346" s="449"/>
      <c r="L346" s="449"/>
      <c r="M346" s="449"/>
      <c r="N346" s="449"/>
      <c r="O346" s="449"/>
      <c r="P346" s="449"/>
      <c r="Q346" s="449"/>
      <c r="R346" s="449"/>
      <c r="S346" s="449"/>
      <c r="T346" s="449"/>
      <c r="U346" s="449"/>
      <c r="V346" s="449"/>
      <c r="W346" s="449"/>
      <c r="X346" s="449"/>
      <c r="Y346" s="449"/>
      <c r="Z346" s="449"/>
      <c r="AA346" s="449"/>
      <c r="AB346" s="449"/>
    </row>
    <row r="347">
      <c r="A347" s="337"/>
      <c r="B347" s="338"/>
      <c r="C347" s="338"/>
      <c r="D347" s="338"/>
      <c r="E347" s="338"/>
      <c r="F347" s="337"/>
      <c r="G347" s="449"/>
      <c r="H347" s="449"/>
      <c r="I347" s="449"/>
      <c r="J347" s="449"/>
      <c r="K347" s="449"/>
      <c r="L347" s="449"/>
      <c r="M347" s="449"/>
      <c r="N347" s="449"/>
      <c r="O347" s="449"/>
      <c r="P347" s="449"/>
      <c r="Q347" s="449"/>
      <c r="R347" s="449"/>
      <c r="S347" s="449"/>
      <c r="T347" s="449"/>
      <c r="U347" s="449"/>
      <c r="V347" s="449"/>
      <c r="W347" s="449"/>
      <c r="X347" s="449"/>
      <c r="Y347" s="449"/>
      <c r="Z347" s="449"/>
      <c r="AA347" s="449"/>
      <c r="AB347" s="449"/>
    </row>
    <row r="348">
      <c r="A348" s="337"/>
      <c r="B348" s="338"/>
      <c r="C348" s="338"/>
      <c r="D348" s="338"/>
      <c r="E348" s="338"/>
      <c r="F348" s="337"/>
      <c r="G348" s="449"/>
      <c r="H348" s="449"/>
      <c r="I348" s="449"/>
      <c r="J348" s="449"/>
      <c r="K348" s="449"/>
      <c r="L348" s="449"/>
      <c r="M348" s="449"/>
      <c r="N348" s="449"/>
      <c r="O348" s="449"/>
      <c r="P348" s="449"/>
      <c r="Q348" s="449"/>
      <c r="R348" s="449"/>
      <c r="S348" s="449"/>
      <c r="T348" s="449"/>
      <c r="U348" s="449"/>
      <c r="V348" s="449"/>
      <c r="W348" s="449"/>
      <c r="X348" s="449"/>
      <c r="Y348" s="449"/>
      <c r="Z348" s="449"/>
      <c r="AA348" s="449"/>
      <c r="AB348" s="449"/>
    </row>
    <row r="349">
      <c r="A349" s="337"/>
      <c r="B349" s="338"/>
      <c r="C349" s="338"/>
      <c r="D349" s="338"/>
      <c r="E349" s="338"/>
      <c r="F349" s="337"/>
      <c r="G349" s="449"/>
      <c r="H349" s="449"/>
      <c r="I349" s="449"/>
      <c r="J349" s="449"/>
      <c r="K349" s="449"/>
      <c r="L349" s="449"/>
      <c r="M349" s="449"/>
      <c r="N349" s="449"/>
      <c r="O349" s="449"/>
      <c r="P349" s="449"/>
      <c r="Q349" s="449"/>
      <c r="R349" s="449"/>
      <c r="S349" s="449"/>
      <c r="T349" s="449"/>
      <c r="U349" s="449"/>
      <c r="V349" s="449"/>
      <c r="W349" s="449"/>
      <c r="X349" s="449"/>
      <c r="Y349" s="449"/>
      <c r="Z349" s="449"/>
      <c r="AA349" s="449"/>
      <c r="AB349" s="449"/>
    </row>
    <row r="350">
      <c r="A350" s="337"/>
      <c r="B350" s="338"/>
      <c r="C350" s="338"/>
      <c r="D350" s="338"/>
      <c r="E350" s="338"/>
      <c r="F350" s="337"/>
      <c r="G350" s="449"/>
      <c r="H350" s="449"/>
      <c r="I350" s="449"/>
      <c r="J350" s="449"/>
      <c r="K350" s="449"/>
      <c r="L350" s="449"/>
      <c r="M350" s="449"/>
      <c r="N350" s="449"/>
      <c r="O350" s="449"/>
      <c r="P350" s="449"/>
      <c r="Q350" s="449"/>
      <c r="R350" s="449"/>
      <c r="S350" s="449"/>
      <c r="T350" s="449"/>
      <c r="U350" s="449"/>
      <c r="V350" s="449"/>
      <c r="W350" s="449"/>
      <c r="X350" s="449"/>
      <c r="Y350" s="449"/>
      <c r="Z350" s="449"/>
      <c r="AA350" s="449"/>
      <c r="AB350" s="449"/>
    </row>
    <row r="351">
      <c r="A351" s="337"/>
      <c r="B351" s="338"/>
      <c r="C351" s="338"/>
      <c r="D351" s="338"/>
      <c r="E351" s="338"/>
      <c r="F351" s="337"/>
      <c r="G351" s="449"/>
      <c r="H351" s="449"/>
      <c r="I351" s="449"/>
      <c r="J351" s="449"/>
      <c r="K351" s="449"/>
      <c r="L351" s="449"/>
      <c r="M351" s="449"/>
      <c r="N351" s="449"/>
      <c r="O351" s="449"/>
      <c r="P351" s="449"/>
      <c r="Q351" s="449"/>
      <c r="R351" s="449"/>
      <c r="S351" s="449"/>
      <c r="T351" s="449"/>
      <c r="U351" s="449"/>
      <c r="V351" s="449"/>
      <c r="W351" s="449"/>
      <c r="X351" s="449"/>
      <c r="Y351" s="449"/>
      <c r="Z351" s="449"/>
      <c r="AA351" s="449"/>
      <c r="AB351" s="449"/>
    </row>
    <row r="352">
      <c r="A352" s="337"/>
      <c r="B352" s="338"/>
      <c r="C352" s="338"/>
      <c r="D352" s="338"/>
      <c r="E352" s="338"/>
      <c r="F352" s="337"/>
      <c r="G352" s="449"/>
      <c r="H352" s="449"/>
      <c r="I352" s="449"/>
      <c r="J352" s="449"/>
      <c r="K352" s="449"/>
      <c r="L352" s="449"/>
      <c r="M352" s="449"/>
      <c r="N352" s="449"/>
      <c r="O352" s="449"/>
      <c r="P352" s="449"/>
      <c r="Q352" s="449"/>
      <c r="R352" s="449"/>
      <c r="S352" s="449"/>
      <c r="T352" s="449"/>
      <c r="U352" s="449"/>
      <c r="V352" s="449"/>
      <c r="W352" s="449"/>
      <c r="X352" s="449"/>
      <c r="Y352" s="449"/>
      <c r="Z352" s="449"/>
      <c r="AA352" s="449"/>
      <c r="AB352" s="449"/>
    </row>
    <row r="353">
      <c r="A353" s="337"/>
      <c r="B353" s="338"/>
      <c r="C353" s="338"/>
      <c r="D353" s="338"/>
      <c r="E353" s="338"/>
      <c r="F353" s="337"/>
      <c r="G353" s="449"/>
      <c r="H353" s="449"/>
      <c r="I353" s="449"/>
      <c r="J353" s="449"/>
      <c r="K353" s="449"/>
      <c r="L353" s="449"/>
      <c r="M353" s="449"/>
      <c r="N353" s="449"/>
      <c r="O353" s="449"/>
      <c r="P353" s="449"/>
      <c r="Q353" s="449"/>
      <c r="R353" s="449"/>
      <c r="S353" s="449"/>
      <c r="T353" s="449"/>
      <c r="U353" s="449"/>
      <c r="V353" s="449"/>
      <c r="W353" s="449"/>
      <c r="X353" s="449"/>
      <c r="Y353" s="449"/>
      <c r="Z353" s="449"/>
      <c r="AA353" s="449"/>
      <c r="AB353" s="449"/>
    </row>
    <row r="354">
      <c r="A354" s="337"/>
      <c r="B354" s="338"/>
      <c r="C354" s="338"/>
      <c r="D354" s="338"/>
      <c r="E354" s="338"/>
      <c r="F354" s="337"/>
      <c r="G354" s="449"/>
      <c r="H354" s="449"/>
      <c r="I354" s="449"/>
      <c r="J354" s="449"/>
      <c r="K354" s="449"/>
      <c r="L354" s="449"/>
      <c r="M354" s="449"/>
      <c r="N354" s="449"/>
      <c r="O354" s="449"/>
      <c r="P354" s="449"/>
      <c r="Q354" s="449"/>
      <c r="R354" s="449"/>
      <c r="S354" s="449"/>
      <c r="T354" s="449"/>
      <c r="U354" s="449"/>
      <c r="V354" s="449"/>
      <c r="W354" s="449"/>
      <c r="X354" s="449"/>
      <c r="Y354" s="449"/>
      <c r="Z354" s="449"/>
      <c r="AA354" s="449"/>
      <c r="AB354" s="449"/>
    </row>
    <row r="355">
      <c r="A355" s="337"/>
      <c r="B355" s="338"/>
      <c r="C355" s="338"/>
      <c r="D355" s="338"/>
      <c r="E355" s="338"/>
      <c r="F355" s="337"/>
      <c r="G355" s="449"/>
      <c r="H355" s="449"/>
      <c r="I355" s="449"/>
      <c r="J355" s="449"/>
      <c r="K355" s="449"/>
      <c r="L355" s="449"/>
      <c r="M355" s="449"/>
      <c r="N355" s="449"/>
      <c r="O355" s="449"/>
      <c r="P355" s="449"/>
      <c r="Q355" s="449"/>
      <c r="R355" s="449"/>
      <c r="S355" s="449"/>
      <c r="T355" s="449"/>
      <c r="U355" s="449"/>
      <c r="V355" s="449"/>
      <c r="W355" s="449"/>
      <c r="X355" s="449"/>
      <c r="Y355" s="449"/>
      <c r="Z355" s="449"/>
      <c r="AA355" s="449"/>
      <c r="AB355" s="449"/>
    </row>
    <row r="356">
      <c r="A356" s="337"/>
      <c r="B356" s="338"/>
      <c r="C356" s="338"/>
      <c r="D356" s="338"/>
      <c r="E356" s="338"/>
      <c r="F356" s="337"/>
      <c r="G356" s="449"/>
      <c r="H356" s="449"/>
      <c r="I356" s="449"/>
      <c r="J356" s="449"/>
      <c r="K356" s="449"/>
      <c r="L356" s="449"/>
      <c r="M356" s="449"/>
      <c r="N356" s="449"/>
      <c r="O356" s="449"/>
      <c r="P356" s="449"/>
      <c r="Q356" s="449"/>
      <c r="R356" s="449"/>
      <c r="S356" s="449"/>
      <c r="T356" s="449"/>
      <c r="U356" s="449"/>
      <c r="V356" s="449"/>
      <c r="W356" s="449"/>
      <c r="X356" s="449"/>
      <c r="Y356" s="449"/>
      <c r="Z356" s="449"/>
      <c r="AA356" s="449"/>
      <c r="AB356" s="449"/>
    </row>
    <row r="357">
      <c r="A357" s="337"/>
      <c r="B357" s="338"/>
      <c r="C357" s="338"/>
      <c r="D357" s="338"/>
      <c r="E357" s="338"/>
      <c r="F357" s="337"/>
      <c r="G357" s="449"/>
      <c r="H357" s="449"/>
      <c r="I357" s="449"/>
      <c r="J357" s="449"/>
      <c r="K357" s="449"/>
      <c r="L357" s="449"/>
      <c r="M357" s="449"/>
      <c r="N357" s="449"/>
      <c r="O357" s="449"/>
      <c r="P357" s="449"/>
      <c r="Q357" s="449"/>
      <c r="R357" s="449"/>
      <c r="S357" s="449"/>
      <c r="T357" s="449"/>
      <c r="U357" s="449"/>
      <c r="V357" s="449"/>
      <c r="W357" s="449"/>
      <c r="X357" s="449"/>
      <c r="Y357" s="449"/>
      <c r="Z357" s="449"/>
      <c r="AA357" s="449"/>
      <c r="AB357" s="449"/>
    </row>
    <row r="358">
      <c r="A358" s="337"/>
      <c r="B358" s="338"/>
      <c r="C358" s="338"/>
      <c r="D358" s="338"/>
      <c r="E358" s="338"/>
      <c r="F358" s="337"/>
      <c r="G358" s="449"/>
      <c r="H358" s="449"/>
      <c r="I358" s="449"/>
      <c r="J358" s="449"/>
      <c r="K358" s="449"/>
      <c r="L358" s="449"/>
      <c r="M358" s="449"/>
      <c r="N358" s="449"/>
      <c r="O358" s="449"/>
      <c r="P358" s="449"/>
      <c r="Q358" s="449"/>
      <c r="R358" s="449"/>
      <c r="S358" s="449"/>
      <c r="T358" s="449"/>
      <c r="U358" s="449"/>
      <c r="V358" s="449"/>
      <c r="W358" s="449"/>
      <c r="X358" s="449"/>
      <c r="Y358" s="449"/>
      <c r="Z358" s="449"/>
      <c r="AA358" s="449"/>
      <c r="AB358" s="449"/>
    </row>
    <row r="359">
      <c r="A359" s="337"/>
      <c r="B359" s="338"/>
      <c r="C359" s="338"/>
      <c r="D359" s="338"/>
      <c r="E359" s="338"/>
      <c r="F359" s="337"/>
      <c r="G359" s="449"/>
      <c r="H359" s="449"/>
      <c r="I359" s="449"/>
      <c r="J359" s="449"/>
      <c r="K359" s="449"/>
      <c r="L359" s="449"/>
      <c r="M359" s="449"/>
      <c r="N359" s="449"/>
      <c r="O359" s="449"/>
      <c r="P359" s="449"/>
      <c r="Q359" s="449"/>
      <c r="R359" s="449"/>
      <c r="S359" s="449"/>
      <c r="T359" s="449"/>
      <c r="U359" s="449"/>
      <c r="V359" s="449"/>
      <c r="W359" s="449"/>
      <c r="X359" s="449"/>
      <c r="Y359" s="449"/>
      <c r="Z359" s="449"/>
      <c r="AA359" s="449"/>
      <c r="AB359" s="449"/>
    </row>
    <row r="360">
      <c r="A360" s="337"/>
      <c r="B360" s="338"/>
      <c r="C360" s="338"/>
      <c r="D360" s="338"/>
      <c r="E360" s="338"/>
      <c r="F360" s="337"/>
      <c r="G360" s="449"/>
      <c r="H360" s="449"/>
      <c r="I360" s="449"/>
      <c r="J360" s="449"/>
      <c r="K360" s="449"/>
      <c r="L360" s="449"/>
      <c r="M360" s="449"/>
      <c r="N360" s="449"/>
      <c r="O360" s="449"/>
      <c r="P360" s="449"/>
      <c r="Q360" s="449"/>
      <c r="R360" s="449"/>
      <c r="S360" s="449"/>
      <c r="T360" s="449"/>
      <c r="U360" s="449"/>
      <c r="V360" s="449"/>
      <c r="W360" s="449"/>
      <c r="X360" s="449"/>
      <c r="Y360" s="449"/>
      <c r="Z360" s="449"/>
      <c r="AA360" s="449"/>
      <c r="AB360" s="449"/>
    </row>
    <row r="361">
      <c r="A361" s="337"/>
      <c r="B361" s="338"/>
      <c r="C361" s="338"/>
      <c r="D361" s="338"/>
      <c r="E361" s="338"/>
      <c r="F361" s="337"/>
      <c r="G361" s="449"/>
      <c r="H361" s="449"/>
      <c r="I361" s="449"/>
      <c r="J361" s="449"/>
      <c r="K361" s="449"/>
      <c r="L361" s="449"/>
      <c r="M361" s="449"/>
      <c r="N361" s="449"/>
      <c r="O361" s="449"/>
      <c r="P361" s="449"/>
      <c r="Q361" s="449"/>
      <c r="R361" s="449"/>
      <c r="S361" s="449"/>
      <c r="T361" s="449"/>
      <c r="U361" s="449"/>
      <c r="V361" s="449"/>
      <c r="W361" s="449"/>
      <c r="X361" s="449"/>
      <c r="Y361" s="449"/>
      <c r="Z361" s="449"/>
      <c r="AA361" s="449"/>
      <c r="AB361" s="449"/>
    </row>
    <row r="362">
      <c r="A362" s="337"/>
      <c r="B362" s="338"/>
      <c r="C362" s="338"/>
      <c r="D362" s="338"/>
      <c r="E362" s="338"/>
      <c r="F362" s="337"/>
      <c r="G362" s="449"/>
      <c r="H362" s="449"/>
      <c r="I362" s="449"/>
      <c r="J362" s="449"/>
      <c r="K362" s="449"/>
      <c r="L362" s="449"/>
      <c r="M362" s="449"/>
      <c r="N362" s="449"/>
      <c r="O362" s="449"/>
      <c r="P362" s="449"/>
      <c r="Q362" s="449"/>
      <c r="R362" s="449"/>
      <c r="S362" s="449"/>
      <c r="T362" s="449"/>
      <c r="U362" s="449"/>
      <c r="V362" s="449"/>
      <c r="W362" s="449"/>
      <c r="X362" s="449"/>
      <c r="Y362" s="449"/>
      <c r="Z362" s="449"/>
      <c r="AA362" s="449"/>
      <c r="AB362" s="449"/>
    </row>
    <row r="363">
      <c r="A363" s="337"/>
      <c r="B363" s="338"/>
      <c r="C363" s="338"/>
      <c r="D363" s="338"/>
      <c r="E363" s="338"/>
      <c r="F363" s="337"/>
      <c r="G363" s="449"/>
      <c r="H363" s="449"/>
      <c r="I363" s="449"/>
      <c r="J363" s="449"/>
      <c r="K363" s="449"/>
      <c r="L363" s="449"/>
      <c r="M363" s="449"/>
      <c r="N363" s="449"/>
      <c r="O363" s="449"/>
      <c r="P363" s="449"/>
      <c r="Q363" s="449"/>
      <c r="R363" s="449"/>
      <c r="S363" s="449"/>
      <c r="T363" s="449"/>
      <c r="U363" s="449"/>
      <c r="V363" s="449"/>
      <c r="W363" s="449"/>
      <c r="X363" s="449"/>
      <c r="Y363" s="449"/>
      <c r="Z363" s="449"/>
      <c r="AA363" s="449"/>
      <c r="AB363" s="449"/>
    </row>
    <row r="364">
      <c r="A364" s="337"/>
      <c r="B364" s="338"/>
      <c r="C364" s="338"/>
      <c r="D364" s="338"/>
      <c r="E364" s="338"/>
      <c r="F364" s="337"/>
      <c r="G364" s="449"/>
      <c r="H364" s="449"/>
      <c r="I364" s="449"/>
      <c r="J364" s="449"/>
      <c r="K364" s="449"/>
      <c r="L364" s="449"/>
      <c r="M364" s="449"/>
      <c r="N364" s="449"/>
      <c r="O364" s="449"/>
      <c r="P364" s="449"/>
      <c r="Q364" s="449"/>
      <c r="R364" s="449"/>
      <c r="S364" s="449"/>
      <c r="T364" s="449"/>
      <c r="U364" s="449"/>
      <c r="V364" s="449"/>
      <c r="W364" s="449"/>
      <c r="X364" s="449"/>
      <c r="Y364" s="449"/>
      <c r="Z364" s="449"/>
      <c r="AA364" s="449"/>
      <c r="AB364" s="449"/>
    </row>
    <row r="365">
      <c r="A365" s="337"/>
      <c r="B365" s="338"/>
      <c r="C365" s="338"/>
      <c r="D365" s="338"/>
      <c r="E365" s="338"/>
      <c r="F365" s="337"/>
      <c r="G365" s="449"/>
      <c r="H365" s="449"/>
      <c r="I365" s="449"/>
      <c r="J365" s="449"/>
      <c r="K365" s="449"/>
      <c r="L365" s="449"/>
      <c r="M365" s="449"/>
      <c r="N365" s="449"/>
      <c r="O365" s="449"/>
      <c r="P365" s="449"/>
      <c r="Q365" s="449"/>
      <c r="R365" s="449"/>
      <c r="S365" s="449"/>
      <c r="T365" s="449"/>
      <c r="U365" s="449"/>
      <c r="V365" s="449"/>
      <c r="W365" s="449"/>
      <c r="X365" s="449"/>
      <c r="Y365" s="449"/>
      <c r="Z365" s="449"/>
      <c r="AA365" s="449"/>
      <c r="AB365" s="449"/>
    </row>
    <row r="366">
      <c r="A366" s="337"/>
      <c r="B366" s="338"/>
      <c r="C366" s="338"/>
      <c r="D366" s="338"/>
      <c r="E366" s="338"/>
      <c r="F366" s="337"/>
      <c r="G366" s="449"/>
      <c r="H366" s="449"/>
      <c r="I366" s="449"/>
      <c r="J366" s="449"/>
      <c r="K366" s="449"/>
      <c r="L366" s="449"/>
      <c r="M366" s="449"/>
      <c r="N366" s="449"/>
      <c r="O366" s="449"/>
      <c r="P366" s="449"/>
      <c r="Q366" s="449"/>
      <c r="R366" s="449"/>
      <c r="S366" s="449"/>
      <c r="T366" s="449"/>
      <c r="U366" s="449"/>
      <c r="V366" s="449"/>
      <c r="W366" s="449"/>
      <c r="X366" s="449"/>
      <c r="Y366" s="449"/>
      <c r="Z366" s="449"/>
      <c r="AA366" s="449"/>
      <c r="AB366" s="449"/>
    </row>
    <row r="367">
      <c r="A367" s="337"/>
      <c r="B367" s="338"/>
      <c r="C367" s="338"/>
      <c r="D367" s="338"/>
      <c r="E367" s="338"/>
      <c r="F367" s="337"/>
      <c r="G367" s="449"/>
      <c r="H367" s="449"/>
      <c r="I367" s="449"/>
      <c r="J367" s="449"/>
      <c r="K367" s="449"/>
      <c r="L367" s="449"/>
      <c r="M367" s="449"/>
      <c r="N367" s="449"/>
      <c r="O367" s="449"/>
      <c r="P367" s="449"/>
      <c r="Q367" s="449"/>
      <c r="R367" s="449"/>
      <c r="S367" s="449"/>
      <c r="T367" s="449"/>
      <c r="U367" s="449"/>
      <c r="V367" s="449"/>
      <c r="W367" s="449"/>
      <c r="X367" s="449"/>
      <c r="Y367" s="449"/>
      <c r="Z367" s="449"/>
      <c r="AA367" s="449"/>
      <c r="AB367" s="449"/>
    </row>
    <row r="368">
      <c r="A368" s="337"/>
      <c r="B368" s="338"/>
      <c r="C368" s="338"/>
      <c r="D368" s="338"/>
      <c r="E368" s="338"/>
      <c r="F368" s="337"/>
      <c r="G368" s="449"/>
      <c r="H368" s="449"/>
      <c r="I368" s="449"/>
      <c r="J368" s="449"/>
      <c r="K368" s="449"/>
      <c r="L368" s="449"/>
      <c r="M368" s="449"/>
      <c r="N368" s="449"/>
      <c r="O368" s="449"/>
      <c r="P368" s="449"/>
      <c r="Q368" s="449"/>
      <c r="R368" s="449"/>
      <c r="S368" s="449"/>
      <c r="T368" s="449"/>
      <c r="U368" s="449"/>
      <c r="V368" s="449"/>
      <c r="W368" s="449"/>
      <c r="X368" s="449"/>
      <c r="Y368" s="449"/>
      <c r="Z368" s="449"/>
      <c r="AA368" s="449"/>
      <c r="AB368" s="449"/>
    </row>
    <row r="369">
      <c r="A369" s="337"/>
      <c r="B369" s="338"/>
      <c r="C369" s="338"/>
      <c r="D369" s="338"/>
      <c r="E369" s="338"/>
      <c r="F369" s="337"/>
      <c r="G369" s="449"/>
      <c r="H369" s="449"/>
      <c r="I369" s="449"/>
      <c r="J369" s="449"/>
      <c r="K369" s="449"/>
      <c r="L369" s="449"/>
      <c r="M369" s="449"/>
      <c r="N369" s="449"/>
      <c r="O369" s="449"/>
      <c r="P369" s="449"/>
      <c r="Q369" s="449"/>
      <c r="R369" s="449"/>
      <c r="S369" s="449"/>
      <c r="T369" s="449"/>
      <c r="U369" s="449"/>
      <c r="V369" s="449"/>
      <c r="W369" s="449"/>
      <c r="X369" s="449"/>
      <c r="Y369" s="449"/>
      <c r="Z369" s="449"/>
      <c r="AA369" s="449"/>
      <c r="AB369" s="449"/>
    </row>
    <row r="370">
      <c r="A370" s="337"/>
      <c r="B370" s="338"/>
      <c r="C370" s="338"/>
      <c r="D370" s="338"/>
      <c r="E370" s="338"/>
      <c r="F370" s="337"/>
      <c r="G370" s="449"/>
      <c r="H370" s="449"/>
      <c r="I370" s="449"/>
      <c r="J370" s="449"/>
      <c r="K370" s="449"/>
      <c r="L370" s="449"/>
      <c r="M370" s="449"/>
      <c r="N370" s="449"/>
      <c r="O370" s="449"/>
      <c r="P370" s="449"/>
      <c r="Q370" s="449"/>
      <c r="R370" s="449"/>
      <c r="S370" s="449"/>
      <c r="T370" s="449"/>
      <c r="U370" s="449"/>
      <c r="V370" s="449"/>
      <c r="W370" s="449"/>
      <c r="X370" s="449"/>
      <c r="Y370" s="449"/>
      <c r="Z370" s="449"/>
      <c r="AA370" s="449"/>
      <c r="AB370" s="449"/>
    </row>
    <row r="371">
      <c r="A371" s="337"/>
      <c r="B371" s="338"/>
      <c r="C371" s="338"/>
      <c r="D371" s="338"/>
      <c r="E371" s="338"/>
      <c r="F371" s="337"/>
      <c r="G371" s="449"/>
      <c r="H371" s="449"/>
      <c r="I371" s="449"/>
      <c r="J371" s="449"/>
      <c r="K371" s="449"/>
      <c r="L371" s="449"/>
      <c r="M371" s="449"/>
      <c r="N371" s="449"/>
      <c r="O371" s="449"/>
      <c r="P371" s="449"/>
      <c r="Q371" s="449"/>
      <c r="R371" s="449"/>
      <c r="S371" s="449"/>
      <c r="T371" s="449"/>
      <c r="U371" s="449"/>
      <c r="V371" s="449"/>
      <c r="W371" s="449"/>
      <c r="X371" s="449"/>
      <c r="Y371" s="449"/>
      <c r="Z371" s="449"/>
      <c r="AA371" s="449"/>
      <c r="AB371" s="449"/>
    </row>
    <row r="372">
      <c r="A372" s="337"/>
      <c r="B372" s="338"/>
      <c r="C372" s="338"/>
      <c r="D372" s="338"/>
      <c r="E372" s="338"/>
      <c r="F372" s="337"/>
      <c r="G372" s="449"/>
      <c r="H372" s="449"/>
      <c r="I372" s="449"/>
      <c r="J372" s="449"/>
      <c r="K372" s="449"/>
      <c r="L372" s="449"/>
      <c r="M372" s="449"/>
      <c r="N372" s="449"/>
      <c r="O372" s="449"/>
      <c r="P372" s="449"/>
      <c r="Q372" s="449"/>
      <c r="R372" s="449"/>
      <c r="S372" s="449"/>
      <c r="T372" s="449"/>
      <c r="U372" s="449"/>
      <c r="V372" s="449"/>
      <c r="W372" s="449"/>
      <c r="X372" s="449"/>
      <c r="Y372" s="449"/>
      <c r="Z372" s="449"/>
      <c r="AA372" s="449"/>
      <c r="AB372" s="449"/>
    </row>
    <row r="373">
      <c r="A373" s="337"/>
      <c r="B373" s="338"/>
      <c r="C373" s="338"/>
      <c r="D373" s="338"/>
      <c r="E373" s="338"/>
      <c r="F373" s="337"/>
      <c r="G373" s="449"/>
      <c r="H373" s="449"/>
      <c r="I373" s="449"/>
      <c r="J373" s="449"/>
      <c r="K373" s="449"/>
      <c r="L373" s="449"/>
      <c r="M373" s="449"/>
      <c r="N373" s="449"/>
      <c r="O373" s="449"/>
      <c r="P373" s="449"/>
      <c r="Q373" s="449"/>
      <c r="R373" s="449"/>
      <c r="S373" s="449"/>
      <c r="T373" s="449"/>
      <c r="U373" s="449"/>
      <c r="V373" s="449"/>
      <c r="W373" s="449"/>
      <c r="X373" s="449"/>
      <c r="Y373" s="449"/>
      <c r="Z373" s="449"/>
      <c r="AA373" s="449"/>
      <c r="AB373" s="449"/>
    </row>
    <row r="374">
      <c r="A374" s="337"/>
      <c r="B374" s="338"/>
      <c r="C374" s="338"/>
      <c r="D374" s="338"/>
      <c r="E374" s="338"/>
      <c r="F374" s="337"/>
      <c r="G374" s="449"/>
      <c r="H374" s="449"/>
      <c r="I374" s="449"/>
      <c r="J374" s="449"/>
      <c r="K374" s="449"/>
      <c r="L374" s="449"/>
      <c r="M374" s="449"/>
      <c r="N374" s="449"/>
      <c r="O374" s="449"/>
      <c r="P374" s="449"/>
      <c r="Q374" s="449"/>
      <c r="R374" s="449"/>
      <c r="S374" s="449"/>
      <c r="T374" s="449"/>
      <c r="U374" s="449"/>
      <c r="V374" s="449"/>
      <c r="W374" s="449"/>
      <c r="X374" s="449"/>
      <c r="Y374" s="449"/>
      <c r="Z374" s="449"/>
      <c r="AA374" s="449"/>
      <c r="AB374" s="449"/>
    </row>
    <row r="375">
      <c r="A375" s="337"/>
      <c r="B375" s="338"/>
      <c r="C375" s="338"/>
      <c r="D375" s="338"/>
      <c r="E375" s="338"/>
      <c r="F375" s="337"/>
      <c r="G375" s="449"/>
      <c r="H375" s="449"/>
      <c r="I375" s="449"/>
      <c r="J375" s="449"/>
      <c r="K375" s="449"/>
      <c r="L375" s="449"/>
      <c r="M375" s="449"/>
      <c r="N375" s="449"/>
      <c r="O375" s="449"/>
      <c r="P375" s="449"/>
      <c r="Q375" s="449"/>
      <c r="R375" s="449"/>
      <c r="S375" s="449"/>
      <c r="T375" s="449"/>
      <c r="U375" s="449"/>
      <c r="V375" s="449"/>
      <c r="W375" s="449"/>
      <c r="X375" s="449"/>
      <c r="Y375" s="449"/>
      <c r="Z375" s="449"/>
      <c r="AA375" s="449"/>
      <c r="AB375" s="449"/>
    </row>
    <row r="376">
      <c r="A376" s="337"/>
      <c r="B376" s="338"/>
      <c r="C376" s="338"/>
      <c r="D376" s="338"/>
      <c r="E376" s="338"/>
      <c r="F376" s="337"/>
      <c r="G376" s="449"/>
      <c r="H376" s="449"/>
      <c r="I376" s="449"/>
      <c r="J376" s="449"/>
      <c r="K376" s="449"/>
      <c r="L376" s="449"/>
      <c r="M376" s="449"/>
      <c r="N376" s="449"/>
      <c r="O376" s="449"/>
      <c r="P376" s="449"/>
      <c r="Q376" s="449"/>
      <c r="R376" s="449"/>
      <c r="S376" s="449"/>
      <c r="T376" s="449"/>
      <c r="U376" s="449"/>
      <c r="V376" s="449"/>
      <c r="W376" s="449"/>
      <c r="X376" s="449"/>
      <c r="Y376" s="449"/>
      <c r="Z376" s="449"/>
      <c r="AA376" s="449"/>
      <c r="AB376" s="449"/>
    </row>
    <row r="377">
      <c r="A377" s="337"/>
      <c r="B377" s="338"/>
      <c r="C377" s="338"/>
      <c r="D377" s="338"/>
      <c r="E377" s="338"/>
      <c r="F377" s="337"/>
      <c r="G377" s="449"/>
      <c r="H377" s="449"/>
      <c r="I377" s="449"/>
      <c r="J377" s="449"/>
      <c r="K377" s="449"/>
      <c r="L377" s="449"/>
      <c r="M377" s="449"/>
      <c r="N377" s="449"/>
      <c r="O377" s="449"/>
      <c r="P377" s="449"/>
      <c r="Q377" s="449"/>
      <c r="R377" s="449"/>
      <c r="S377" s="449"/>
      <c r="T377" s="449"/>
      <c r="U377" s="449"/>
      <c r="V377" s="449"/>
      <c r="W377" s="449"/>
      <c r="X377" s="449"/>
      <c r="Y377" s="449"/>
      <c r="Z377" s="449"/>
      <c r="AA377" s="449"/>
      <c r="AB377" s="449"/>
    </row>
    <row r="378">
      <c r="A378" s="337"/>
      <c r="B378" s="338"/>
      <c r="C378" s="338"/>
      <c r="D378" s="338"/>
      <c r="E378" s="338"/>
      <c r="F378" s="337"/>
      <c r="G378" s="449"/>
      <c r="H378" s="449"/>
      <c r="I378" s="449"/>
      <c r="J378" s="449"/>
      <c r="K378" s="449"/>
      <c r="L378" s="449"/>
      <c r="M378" s="449"/>
      <c r="N378" s="449"/>
      <c r="O378" s="449"/>
      <c r="P378" s="449"/>
      <c r="Q378" s="449"/>
      <c r="R378" s="449"/>
      <c r="S378" s="449"/>
      <c r="T378" s="449"/>
      <c r="U378" s="449"/>
      <c r="V378" s="449"/>
      <c r="W378" s="449"/>
      <c r="X378" s="449"/>
      <c r="Y378" s="449"/>
      <c r="Z378" s="449"/>
      <c r="AA378" s="449"/>
      <c r="AB378" s="449"/>
    </row>
    <row r="379">
      <c r="A379" s="337"/>
      <c r="B379" s="338"/>
      <c r="C379" s="338"/>
      <c r="D379" s="338"/>
      <c r="E379" s="338"/>
      <c r="F379" s="337"/>
      <c r="G379" s="449"/>
      <c r="H379" s="449"/>
      <c r="I379" s="449"/>
      <c r="J379" s="449"/>
      <c r="K379" s="449"/>
      <c r="L379" s="449"/>
      <c r="M379" s="449"/>
      <c r="N379" s="449"/>
      <c r="O379" s="449"/>
      <c r="P379" s="449"/>
      <c r="Q379" s="449"/>
      <c r="R379" s="449"/>
      <c r="S379" s="449"/>
      <c r="T379" s="449"/>
      <c r="U379" s="449"/>
      <c r="V379" s="449"/>
      <c r="W379" s="449"/>
      <c r="X379" s="449"/>
      <c r="Y379" s="449"/>
      <c r="Z379" s="449"/>
      <c r="AA379" s="449"/>
      <c r="AB379" s="449"/>
    </row>
    <row r="380">
      <c r="A380" s="337"/>
      <c r="B380" s="338"/>
      <c r="C380" s="338"/>
      <c r="D380" s="338"/>
      <c r="E380" s="338"/>
      <c r="F380" s="337"/>
      <c r="G380" s="449"/>
      <c r="H380" s="449"/>
      <c r="I380" s="449"/>
      <c r="J380" s="449"/>
      <c r="K380" s="449"/>
      <c r="L380" s="449"/>
      <c r="M380" s="449"/>
      <c r="N380" s="449"/>
      <c r="O380" s="449"/>
      <c r="P380" s="449"/>
      <c r="Q380" s="449"/>
      <c r="R380" s="449"/>
      <c r="S380" s="449"/>
      <c r="T380" s="449"/>
      <c r="U380" s="449"/>
      <c r="V380" s="449"/>
      <c r="W380" s="449"/>
      <c r="X380" s="449"/>
      <c r="Y380" s="449"/>
      <c r="Z380" s="449"/>
      <c r="AA380" s="449"/>
      <c r="AB380" s="449"/>
    </row>
    <row r="381">
      <c r="A381" s="337"/>
      <c r="B381" s="338"/>
      <c r="C381" s="338"/>
      <c r="D381" s="338"/>
      <c r="E381" s="338"/>
      <c r="F381" s="337"/>
      <c r="G381" s="449"/>
      <c r="H381" s="449"/>
      <c r="I381" s="449"/>
      <c r="J381" s="449"/>
      <c r="K381" s="449"/>
      <c r="L381" s="449"/>
      <c r="M381" s="449"/>
      <c r="N381" s="449"/>
      <c r="O381" s="449"/>
      <c r="P381" s="449"/>
      <c r="Q381" s="449"/>
      <c r="R381" s="449"/>
      <c r="S381" s="449"/>
      <c r="T381" s="449"/>
      <c r="U381" s="449"/>
      <c r="V381" s="449"/>
      <c r="W381" s="449"/>
      <c r="X381" s="449"/>
      <c r="Y381" s="449"/>
      <c r="Z381" s="449"/>
      <c r="AA381" s="449"/>
      <c r="AB381" s="449"/>
    </row>
    <row r="382">
      <c r="A382" s="337"/>
      <c r="B382" s="338"/>
      <c r="C382" s="338"/>
      <c r="D382" s="338"/>
      <c r="E382" s="338"/>
      <c r="F382" s="337"/>
      <c r="G382" s="449"/>
      <c r="H382" s="449"/>
      <c r="I382" s="449"/>
      <c r="J382" s="449"/>
      <c r="K382" s="449"/>
      <c r="L382" s="449"/>
      <c r="M382" s="449"/>
      <c r="N382" s="449"/>
      <c r="O382" s="449"/>
      <c r="P382" s="449"/>
      <c r="Q382" s="449"/>
      <c r="R382" s="449"/>
      <c r="S382" s="449"/>
      <c r="T382" s="449"/>
      <c r="U382" s="449"/>
      <c r="V382" s="449"/>
      <c r="W382" s="449"/>
      <c r="X382" s="449"/>
      <c r="Y382" s="449"/>
      <c r="Z382" s="449"/>
      <c r="AA382" s="449"/>
      <c r="AB382" s="449"/>
    </row>
    <row r="383">
      <c r="A383" s="337"/>
      <c r="B383" s="338"/>
      <c r="C383" s="338"/>
      <c r="D383" s="338"/>
      <c r="E383" s="338"/>
      <c r="F383" s="337"/>
      <c r="G383" s="449"/>
      <c r="H383" s="449"/>
      <c r="I383" s="449"/>
      <c r="J383" s="449"/>
      <c r="K383" s="449"/>
      <c r="L383" s="449"/>
      <c r="M383" s="449"/>
      <c r="N383" s="449"/>
      <c r="O383" s="449"/>
      <c r="P383" s="449"/>
      <c r="Q383" s="449"/>
      <c r="R383" s="449"/>
      <c r="S383" s="449"/>
      <c r="T383" s="449"/>
      <c r="U383" s="449"/>
      <c r="V383" s="449"/>
      <c r="W383" s="449"/>
      <c r="X383" s="449"/>
      <c r="Y383" s="449"/>
      <c r="Z383" s="449"/>
      <c r="AA383" s="449"/>
      <c r="AB383" s="449"/>
    </row>
    <row r="384">
      <c r="A384" s="337"/>
      <c r="B384" s="338"/>
      <c r="C384" s="338"/>
      <c r="D384" s="338"/>
      <c r="E384" s="338"/>
      <c r="F384" s="337"/>
      <c r="G384" s="449"/>
      <c r="H384" s="449"/>
      <c r="I384" s="449"/>
      <c r="J384" s="449"/>
      <c r="K384" s="449"/>
      <c r="L384" s="449"/>
      <c r="M384" s="449"/>
      <c r="N384" s="449"/>
      <c r="O384" s="449"/>
      <c r="P384" s="449"/>
      <c r="Q384" s="449"/>
      <c r="R384" s="449"/>
      <c r="S384" s="449"/>
      <c r="T384" s="449"/>
      <c r="U384" s="449"/>
      <c r="V384" s="449"/>
      <c r="W384" s="449"/>
      <c r="X384" s="449"/>
      <c r="Y384" s="449"/>
      <c r="Z384" s="449"/>
      <c r="AA384" s="449"/>
      <c r="AB384" s="449"/>
    </row>
    <row r="385">
      <c r="A385" s="337"/>
      <c r="B385" s="338"/>
      <c r="C385" s="338"/>
      <c r="D385" s="338"/>
      <c r="E385" s="338"/>
      <c r="F385" s="337"/>
      <c r="G385" s="449"/>
      <c r="H385" s="449"/>
      <c r="I385" s="449"/>
      <c r="J385" s="449"/>
      <c r="K385" s="449"/>
      <c r="L385" s="449"/>
      <c r="M385" s="449"/>
      <c r="N385" s="449"/>
      <c r="O385" s="449"/>
      <c r="P385" s="449"/>
      <c r="Q385" s="449"/>
      <c r="R385" s="449"/>
      <c r="S385" s="449"/>
      <c r="T385" s="449"/>
      <c r="U385" s="449"/>
      <c r="V385" s="449"/>
      <c r="W385" s="449"/>
      <c r="X385" s="449"/>
      <c r="Y385" s="449"/>
      <c r="Z385" s="449"/>
      <c r="AA385" s="449"/>
      <c r="AB385" s="449"/>
    </row>
    <row r="386">
      <c r="A386" s="337"/>
      <c r="B386" s="338"/>
      <c r="C386" s="338"/>
      <c r="D386" s="338"/>
      <c r="E386" s="338"/>
      <c r="F386" s="337"/>
      <c r="G386" s="449"/>
      <c r="H386" s="449"/>
      <c r="I386" s="449"/>
      <c r="J386" s="449"/>
      <c r="K386" s="449"/>
      <c r="L386" s="449"/>
      <c r="M386" s="449"/>
      <c r="N386" s="449"/>
      <c r="O386" s="449"/>
      <c r="P386" s="449"/>
      <c r="Q386" s="449"/>
      <c r="R386" s="449"/>
      <c r="S386" s="449"/>
      <c r="T386" s="449"/>
      <c r="U386" s="449"/>
      <c r="V386" s="449"/>
      <c r="W386" s="449"/>
      <c r="X386" s="449"/>
      <c r="Y386" s="449"/>
      <c r="Z386" s="449"/>
      <c r="AA386" s="449"/>
      <c r="AB386" s="449"/>
    </row>
    <row r="387">
      <c r="A387" s="337"/>
      <c r="B387" s="338"/>
      <c r="C387" s="338"/>
      <c r="D387" s="338"/>
      <c r="E387" s="338"/>
      <c r="F387" s="337"/>
      <c r="G387" s="449"/>
      <c r="H387" s="449"/>
      <c r="I387" s="449"/>
      <c r="J387" s="449"/>
      <c r="K387" s="449"/>
      <c r="L387" s="449"/>
      <c r="M387" s="449"/>
      <c r="N387" s="449"/>
      <c r="O387" s="449"/>
      <c r="P387" s="449"/>
      <c r="Q387" s="449"/>
      <c r="R387" s="449"/>
      <c r="S387" s="449"/>
      <c r="T387" s="449"/>
      <c r="U387" s="449"/>
      <c r="V387" s="449"/>
      <c r="W387" s="449"/>
      <c r="X387" s="449"/>
      <c r="Y387" s="449"/>
      <c r="Z387" s="449"/>
      <c r="AA387" s="449"/>
      <c r="AB387" s="449"/>
    </row>
    <row r="388">
      <c r="A388" s="337"/>
      <c r="B388" s="338"/>
      <c r="C388" s="338"/>
      <c r="D388" s="338"/>
      <c r="E388" s="338"/>
      <c r="F388" s="337"/>
      <c r="G388" s="449"/>
      <c r="H388" s="449"/>
      <c r="I388" s="449"/>
      <c r="J388" s="449"/>
      <c r="K388" s="449"/>
      <c r="L388" s="449"/>
      <c r="M388" s="449"/>
      <c r="N388" s="449"/>
      <c r="O388" s="449"/>
      <c r="P388" s="449"/>
      <c r="Q388" s="449"/>
      <c r="R388" s="449"/>
      <c r="S388" s="449"/>
      <c r="T388" s="449"/>
      <c r="U388" s="449"/>
      <c r="V388" s="449"/>
      <c r="W388" s="449"/>
      <c r="X388" s="449"/>
      <c r="Y388" s="449"/>
      <c r="Z388" s="449"/>
      <c r="AA388" s="449"/>
      <c r="AB388" s="449"/>
    </row>
    <row r="389">
      <c r="A389" s="337"/>
      <c r="B389" s="338"/>
      <c r="C389" s="338"/>
      <c r="D389" s="338"/>
      <c r="E389" s="338"/>
      <c r="F389" s="337"/>
      <c r="G389" s="449"/>
      <c r="H389" s="449"/>
      <c r="I389" s="449"/>
      <c r="J389" s="449"/>
      <c r="K389" s="449"/>
      <c r="L389" s="449"/>
      <c r="M389" s="449"/>
      <c r="N389" s="449"/>
      <c r="O389" s="449"/>
      <c r="P389" s="449"/>
      <c r="Q389" s="449"/>
      <c r="R389" s="449"/>
      <c r="S389" s="449"/>
      <c r="T389" s="449"/>
      <c r="U389" s="449"/>
      <c r="V389" s="449"/>
      <c r="W389" s="449"/>
      <c r="X389" s="449"/>
      <c r="Y389" s="449"/>
      <c r="Z389" s="449"/>
      <c r="AA389" s="449"/>
      <c r="AB389" s="449"/>
    </row>
    <row r="390">
      <c r="A390" s="337"/>
      <c r="B390" s="338"/>
      <c r="C390" s="338"/>
      <c r="D390" s="338"/>
      <c r="E390" s="338"/>
      <c r="F390" s="337"/>
      <c r="G390" s="449"/>
      <c r="H390" s="449"/>
      <c r="I390" s="449"/>
      <c r="J390" s="449"/>
      <c r="K390" s="449"/>
      <c r="L390" s="449"/>
      <c r="M390" s="449"/>
      <c r="N390" s="449"/>
      <c r="O390" s="449"/>
      <c r="P390" s="449"/>
      <c r="Q390" s="449"/>
      <c r="R390" s="449"/>
      <c r="S390" s="449"/>
      <c r="T390" s="449"/>
      <c r="U390" s="449"/>
      <c r="V390" s="449"/>
      <c r="W390" s="449"/>
      <c r="X390" s="449"/>
      <c r="Y390" s="449"/>
      <c r="Z390" s="449"/>
      <c r="AA390" s="449"/>
      <c r="AB390" s="449"/>
    </row>
    <row r="391">
      <c r="A391" s="337"/>
      <c r="B391" s="338"/>
      <c r="C391" s="338"/>
      <c r="D391" s="338"/>
      <c r="E391" s="338"/>
      <c r="F391" s="337"/>
      <c r="G391" s="449"/>
      <c r="H391" s="449"/>
      <c r="I391" s="449"/>
      <c r="J391" s="449"/>
      <c r="K391" s="449"/>
      <c r="L391" s="449"/>
      <c r="M391" s="449"/>
      <c r="N391" s="449"/>
      <c r="O391" s="449"/>
      <c r="P391" s="449"/>
      <c r="Q391" s="449"/>
      <c r="R391" s="449"/>
      <c r="S391" s="449"/>
      <c r="T391" s="449"/>
      <c r="U391" s="449"/>
      <c r="V391" s="449"/>
      <c r="W391" s="449"/>
      <c r="X391" s="449"/>
      <c r="Y391" s="449"/>
      <c r="Z391" s="449"/>
      <c r="AA391" s="449"/>
      <c r="AB391" s="449"/>
    </row>
    <row r="392">
      <c r="A392" s="337"/>
      <c r="B392" s="338"/>
      <c r="C392" s="338"/>
      <c r="D392" s="338"/>
      <c r="E392" s="338"/>
      <c r="F392" s="337"/>
      <c r="G392" s="449"/>
      <c r="H392" s="449"/>
      <c r="I392" s="449"/>
      <c r="J392" s="449"/>
      <c r="K392" s="449"/>
      <c r="L392" s="449"/>
      <c r="M392" s="449"/>
      <c r="N392" s="449"/>
      <c r="O392" s="449"/>
      <c r="P392" s="449"/>
      <c r="Q392" s="449"/>
      <c r="R392" s="449"/>
      <c r="S392" s="449"/>
      <c r="T392" s="449"/>
      <c r="U392" s="449"/>
      <c r="V392" s="449"/>
      <c r="W392" s="449"/>
      <c r="X392" s="449"/>
      <c r="Y392" s="449"/>
      <c r="Z392" s="449"/>
      <c r="AA392" s="449"/>
      <c r="AB392" s="449"/>
    </row>
    <row r="393">
      <c r="A393" s="337"/>
      <c r="B393" s="338"/>
      <c r="C393" s="338"/>
      <c r="D393" s="338"/>
      <c r="E393" s="338"/>
      <c r="F393" s="337"/>
      <c r="G393" s="449"/>
      <c r="H393" s="449"/>
      <c r="I393" s="449"/>
      <c r="J393" s="449"/>
      <c r="K393" s="449"/>
      <c r="L393" s="449"/>
      <c r="M393" s="449"/>
      <c r="N393" s="449"/>
      <c r="O393" s="449"/>
      <c r="P393" s="449"/>
      <c r="Q393" s="449"/>
      <c r="R393" s="449"/>
      <c r="S393" s="449"/>
      <c r="T393" s="449"/>
      <c r="U393" s="449"/>
      <c r="V393" s="449"/>
      <c r="W393" s="449"/>
      <c r="X393" s="449"/>
      <c r="Y393" s="449"/>
      <c r="Z393" s="449"/>
      <c r="AA393" s="449"/>
      <c r="AB393" s="449"/>
    </row>
    <row r="394">
      <c r="A394" s="337"/>
      <c r="B394" s="338"/>
      <c r="C394" s="338"/>
      <c r="D394" s="338"/>
      <c r="E394" s="338"/>
      <c r="F394" s="337"/>
      <c r="G394" s="449"/>
      <c r="H394" s="449"/>
      <c r="I394" s="449"/>
      <c r="J394" s="449"/>
      <c r="K394" s="449"/>
      <c r="L394" s="449"/>
      <c r="M394" s="449"/>
      <c r="N394" s="449"/>
      <c r="O394" s="449"/>
      <c r="P394" s="449"/>
      <c r="Q394" s="449"/>
      <c r="R394" s="449"/>
      <c r="S394" s="449"/>
      <c r="T394" s="449"/>
      <c r="U394" s="449"/>
      <c r="V394" s="449"/>
      <c r="W394" s="449"/>
      <c r="X394" s="449"/>
      <c r="Y394" s="449"/>
      <c r="Z394" s="449"/>
      <c r="AA394" s="449"/>
      <c r="AB394" s="449"/>
    </row>
    <row r="395">
      <c r="A395" s="337"/>
      <c r="B395" s="338"/>
      <c r="C395" s="338"/>
      <c r="D395" s="338"/>
      <c r="E395" s="338"/>
      <c r="F395" s="337"/>
      <c r="G395" s="449"/>
      <c r="H395" s="449"/>
      <c r="I395" s="449"/>
      <c r="J395" s="449"/>
      <c r="K395" s="449"/>
      <c r="L395" s="449"/>
      <c r="M395" s="449"/>
      <c r="N395" s="449"/>
      <c r="O395" s="449"/>
      <c r="P395" s="449"/>
      <c r="Q395" s="449"/>
      <c r="R395" s="449"/>
      <c r="S395" s="449"/>
      <c r="T395" s="449"/>
      <c r="U395" s="449"/>
      <c r="V395" s="449"/>
      <c r="W395" s="449"/>
      <c r="X395" s="449"/>
      <c r="Y395" s="449"/>
      <c r="Z395" s="449"/>
      <c r="AA395" s="449"/>
      <c r="AB395" s="449"/>
    </row>
    <row r="396">
      <c r="A396" s="337"/>
      <c r="B396" s="338"/>
      <c r="C396" s="338"/>
      <c r="D396" s="338"/>
      <c r="E396" s="338"/>
      <c r="F396" s="337"/>
      <c r="G396" s="449"/>
      <c r="H396" s="449"/>
      <c r="I396" s="449"/>
      <c r="J396" s="449"/>
      <c r="K396" s="449"/>
      <c r="L396" s="449"/>
      <c r="M396" s="449"/>
      <c r="N396" s="449"/>
      <c r="O396" s="449"/>
      <c r="P396" s="449"/>
      <c r="Q396" s="449"/>
      <c r="R396" s="449"/>
      <c r="S396" s="449"/>
      <c r="T396" s="449"/>
      <c r="U396" s="449"/>
      <c r="V396" s="449"/>
      <c r="W396" s="449"/>
      <c r="X396" s="449"/>
      <c r="Y396" s="449"/>
      <c r="Z396" s="449"/>
      <c r="AA396" s="449"/>
      <c r="AB396" s="449"/>
    </row>
    <row r="397">
      <c r="A397" s="337"/>
      <c r="B397" s="338"/>
      <c r="C397" s="338"/>
      <c r="D397" s="338"/>
      <c r="E397" s="338"/>
      <c r="F397" s="337"/>
      <c r="G397" s="449"/>
      <c r="H397" s="449"/>
      <c r="I397" s="449"/>
      <c r="J397" s="449"/>
      <c r="K397" s="449"/>
      <c r="L397" s="449"/>
      <c r="M397" s="449"/>
      <c r="N397" s="449"/>
      <c r="O397" s="449"/>
      <c r="P397" s="449"/>
      <c r="Q397" s="449"/>
      <c r="R397" s="449"/>
      <c r="S397" s="449"/>
      <c r="T397" s="449"/>
      <c r="U397" s="449"/>
      <c r="V397" s="449"/>
      <c r="W397" s="449"/>
      <c r="X397" s="449"/>
      <c r="Y397" s="449"/>
      <c r="Z397" s="449"/>
      <c r="AA397" s="449"/>
      <c r="AB397" s="449"/>
    </row>
    <row r="398">
      <c r="A398" s="337"/>
      <c r="B398" s="338"/>
      <c r="C398" s="338"/>
      <c r="D398" s="338"/>
      <c r="E398" s="338"/>
      <c r="F398" s="337"/>
      <c r="G398" s="449"/>
      <c r="H398" s="449"/>
      <c r="I398" s="449"/>
      <c r="J398" s="449"/>
      <c r="K398" s="449"/>
      <c r="L398" s="449"/>
      <c r="M398" s="449"/>
      <c r="N398" s="449"/>
      <c r="O398" s="449"/>
      <c r="P398" s="449"/>
      <c r="Q398" s="449"/>
      <c r="R398" s="449"/>
      <c r="S398" s="449"/>
      <c r="T398" s="449"/>
      <c r="U398" s="449"/>
      <c r="V398" s="449"/>
      <c r="W398" s="449"/>
      <c r="X398" s="449"/>
      <c r="Y398" s="449"/>
      <c r="Z398" s="449"/>
      <c r="AA398" s="449"/>
      <c r="AB398" s="449"/>
    </row>
    <row r="399">
      <c r="A399" s="337"/>
      <c r="B399" s="338"/>
      <c r="C399" s="338"/>
      <c r="D399" s="338"/>
      <c r="E399" s="338"/>
      <c r="F399" s="337"/>
      <c r="G399" s="449"/>
      <c r="H399" s="449"/>
      <c r="I399" s="449"/>
      <c r="J399" s="449"/>
      <c r="K399" s="449"/>
      <c r="L399" s="449"/>
      <c r="M399" s="449"/>
      <c r="N399" s="449"/>
      <c r="O399" s="449"/>
      <c r="P399" s="449"/>
      <c r="Q399" s="449"/>
      <c r="R399" s="449"/>
      <c r="S399" s="449"/>
      <c r="T399" s="449"/>
      <c r="U399" s="449"/>
      <c r="V399" s="449"/>
      <c r="W399" s="449"/>
      <c r="X399" s="449"/>
      <c r="Y399" s="449"/>
      <c r="Z399" s="449"/>
      <c r="AA399" s="449"/>
      <c r="AB399" s="449"/>
    </row>
    <row r="400">
      <c r="A400" s="337"/>
      <c r="B400" s="338"/>
      <c r="C400" s="338"/>
      <c r="D400" s="338"/>
      <c r="E400" s="338"/>
      <c r="F400" s="337"/>
      <c r="G400" s="449"/>
      <c r="H400" s="449"/>
      <c r="I400" s="449"/>
      <c r="J400" s="449"/>
      <c r="K400" s="449"/>
      <c r="L400" s="449"/>
      <c r="M400" s="449"/>
      <c r="N400" s="449"/>
      <c r="O400" s="449"/>
      <c r="P400" s="449"/>
      <c r="Q400" s="449"/>
      <c r="R400" s="449"/>
      <c r="S400" s="449"/>
      <c r="T400" s="449"/>
      <c r="U400" s="449"/>
      <c r="V400" s="449"/>
      <c r="W400" s="449"/>
      <c r="X400" s="449"/>
      <c r="Y400" s="449"/>
      <c r="Z400" s="449"/>
      <c r="AA400" s="449"/>
      <c r="AB400" s="449"/>
    </row>
    <row r="401">
      <c r="A401" s="337"/>
      <c r="B401" s="338"/>
      <c r="C401" s="338"/>
      <c r="D401" s="338"/>
      <c r="E401" s="338"/>
      <c r="F401" s="337"/>
      <c r="G401" s="449"/>
      <c r="H401" s="449"/>
      <c r="I401" s="449"/>
      <c r="J401" s="449"/>
      <c r="K401" s="449"/>
      <c r="L401" s="449"/>
      <c r="M401" s="449"/>
      <c r="N401" s="449"/>
      <c r="O401" s="449"/>
      <c r="P401" s="449"/>
      <c r="Q401" s="449"/>
      <c r="R401" s="449"/>
      <c r="S401" s="449"/>
      <c r="T401" s="449"/>
      <c r="U401" s="449"/>
      <c r="V401" s="449"/>
      <c r="W401" s="449"/>
      <c r="X401" s="449"/>
      <c r="Y401" s="449"/>
      <c r="Z401" s="449"/>
      <c r="AA401" s="449"/>
      <c r="AB401" s="449"/>
    </row>
    <row r="402">
      <c r="A402" s="337"/>
      <c r="B402" s="338"/>
      <c r="C402" s="338"/>
      <c r="D402" s="338"/>
      <c r="E402" s="338"/>
      <c r="F402" s="337"/>
      <c r="G402" s="449"/>
      <c r="H402" s="449"/>
      <c r="I402" s="449"/>
      <c r="J402" s="449"/>
      <c r="K402" s="449"/>
      <c r="L402" s="449"/>
      <c r="M402" s="449"/>
      <c r="N402" s="449"/>
      <c r="O402" s="449"/>
      <c r="P402" s="449"/>
      <c r="Q402" s="449"/>
      <c r="R402" s="449"/>
      <c r="S402" s="449"/>
      <c r="T402" s="449"/>
      <c r="U402" s="449"/>
      <c r="V402" s="449"/>
      <c r="W402" s="449"/>
      <c r="X402" s="449"/>
      <c r="Y402" s="449"/>
      <c r="Z402" s="449"/>
      <c r="AA402" s="449"/>
      <c r="AB402" s="449"/>
    </row>
    <row r="403">
      <c r="A403" s="337"/>
      <c r="B403" s="338"/>
      <c r="C403" s="338"/>
      <c r="D403" s="338"/>
      <c r="E403" s="338"/>
      <c r="F403" s="337"/>
      <c r="G403" s="449"/>
      <c r="H403" s="449"/>
      <c r="I403" s="449"/>
      <c r="J403" s="449"/>
      <c r="K403" s="449"/>
      <c r="L403" s="449"/>
      <c r="M403" s="449"/>
      <c r="N403" s="449"/>
      <c r="O403" s="449"/>
      <c r="P403" s="449"/>
      <c r="Q403" s="449"/>
      <c r="R403" s="449"/>
      <c r="S403" s="449"/>
      <c r="T403" s="449"/>
      <c r="U403" s="449"/>
      <c r="V403" s="449"/>
      <c r="W403" s="449"/>
      <c r="X403" s="449"/>
      <c r="Y403" s="449"/>
      <c r="Z403" s="449"/>
      <c r="AA403" s="449"/>
      <c r="AB403" s="449"/>
    </row>
    <row r="404">
      <c r="A404" s="337"/>
      <c r="B404" s="338"/>
      <c r="C404" s="338"/>
      <c r="D404" s="338"/>
      <c r="E404" s="338"/>
      <c r="F404" s="337"/>
      <c r="G404" s="449"/>
      <c r="H404" s="449"/>
      <c r="I404" s="449"/>
      <c r="J404" s="449"/>
      <c r="K404" s="449"/>
      <c r="L404" s="449"/>
      <c r="M404" s="449"/>
      <c r="N404" s="449"/>
      <c r="O404" s="449"/>
      <c r="P404" s="449"/>
      <c r="Q404" s="449"/>
      <c r="R404" s="449"/>
      <c r="S404" s="449"/>
      <c r="T404" s="449"/>
      <c r="U404" s="449"/>
      <c r="V404" s="449"/>
      <c r="W404" s="449"/>
      <c r="X404" s="449"/>
      <c r="Y404" s="449"/>
      <c r="Z404" s="449"/>
      <c r="AA404" s="449"/>
      <c r="AB404" s="449"/>
    </row>
    <row r="405">
      <c r="A405" s="337"/>
      <c r="B405" s="338"/>
      <c r="C405" s="338"/>
      <c r="D405" s="338"/>
      <c r="E405" s="338"/>
      <c r="F405" s="337"/>
      <c r="G405" s="449"/>
      <c r="H405" s="449"/>
      <c r="I405" s="449"/>
      <c r="J405" s="449"/>
      <c r="K405" s="449"/>
      <c r="L405" s="449"/>
      <c r="M405" s="449"/>
      <c r="N405" s="449"/>
      <c r="O405" s="449"/>
      <c r="P405" s="449"/>
      <c r="Q405" s="449"/>
      <c r="R405" s="449"/>
      <c r="S405" s="449"/>
      <c r="T405" s="449"/>
      <c r="U405" s="449"/>
      <c r="V405" s="449"/>
      <c r="W405" s="449"/>
      <c r="X405" s="449"/>
      <c r="Y405" s="449"/>
      <c r="Z405" s="449"/>
      <c r="AA405" s="449"/>
      <c r="AB405" s="449"/>
    </row>
    <row r="406">
      <c r="A406" s="337"/>
      <c r="B406" s="338"/>
      <c r="C406" s="338"/>
      <c r="D406" s="338"/>
      <c r="E406" s="338"/>
      <c r="F406" s="337"/>
      <c r="G406" s="449"/>
      <c r="H406" s="449"/>
      <c r="I406" s="449"/>
      <c r="J406" s="449"/>
      <c r="K406" s="449"/>
      <c r="L406" s="449"/>
      <c r="M406" s="449"/>
      <c r="N406" s="449"/>
      <c r="O406" s="449"/>
      <c r="P406" s="449"/>
      <c r="Q406" s="449"/>
      <c r="R406" s="449"/>
      <c r="S406" s="449"/>
      <c r="T406" s="449"/>
      <c r="U406" s="449"/>
      <c r="V406" s="449"/>
      <c r="W406" s="449"/>
      <c r="X406" s="449"/>
      <c r="Y406" s="449"/>
      <c r="Z406" s="449"/>
      <c r="AA406" s="449"/>
      <c r="AB406" s="449"/>
    </row>
    <row r="407">
      <c r="A407" s="337"/>
      <c r="B407" s="338"/>
      <c r="C407" s="338"/>
      <c r="D407" s="338"/>
      <c r="E407" s="338"/>
      <c r="F407" s="337"/>
      <c r="G407" s="449"/>
      <c r="H407" s="449"/>
      <c r="I407" s="449"/>
      <c r="J407" s="449"/>
      <c r="K407" s="449"/>
      <c r="L407" s="449"/>
      <c r="M407" s="449"/>
      <c r="N407" s="449"/>
      <c r="O407" s="449"/>
      <c r="P407" s="449"/>
      <c r="Q407" s="449"/>
      <c r="R407" s="449"/>
      <c r="S407" s="449"/>
      <c r="T407" s="449"/>
      <c r="U407" s="449"/>
      <c r="V407" s="449"/>
      <c r="W407" s="449"/>
      <c r="X407" s="449"/>
      <c r="Y407" s="449"/>
      <c r="Z407" s="449"/>
      <c r="AA407" s="449"/>
      <c r="AB407" s="449"/>
    </row>
    <row r="408">
      <c r="A408" s="337"/>
      <c r="B408" s="338"/>
      <c r="C408" s="338"/>
      <c r="D408" s="338"/>
      <c r="E408" s="338"/>
      <c r="F408" s="337"/>
      <c r="G408" s="449"/>
      <c r="H408" s="449"/>
      <c r="I408" s="449"/>
      <c r="J408" s="449"/>
      <c r="K408" s="449"/>
      <c r="L408" s="449"/>
      <c r="M408" s="449"/>
      <c r="N408" s="449"/>
      <c r="O408" s="449"/>
      <c r="P408" s="449"/>
      <c r="Q408" s="449"/>
      <c r="R408" s="449"/>
      <c r="S408" s="449"/>
      <c r="T408" s="449"/>
      <c r="U408" s="449"/>
      <c r="V408" s="449"/>
      <c r="W408" s="449"/>
      <c r="X408" s="449"/>
      <c r="Y408" s="449"/>
      <c r="Z408" s="449"/>
      <c r="AA408" s="449"/>
      <c r="AB408" s="449"/>
    </row>
    <row r="409">
      <c r="A409" s="337"/>
      <c r="B409" s="338"/>
      <c r="C409" s="338"/>
      <c r="D409" s="338"/>
      <c r="E409" s="338"/>
      <c r="F409" s="337"/>
      <c r="G409" s="449"/>
      <c r="H409" s="449"/>
      <c r="I409" s="449"/>
      <c r="J409" s="449"/>
      <c r="K409" s="449"/>
      <c r="L409" s="449"/>
      <c r="M409" s="449"/>
      <c r="N409" s="449"/>
      <c r="O409" s="449"/>
      <c r="P409" s="449"/>
      <c r="Q409" s="449"/>
      <c r="R409" s="449"/>
      <c r="S409" s="449"/>
      <c r="T409" s="449"/>
      <c r="U409" s="449"/>
      <c r="V409" s="449"/>
      <c r="W409" s="449"/>
      <c r="X409" s="449"/>
      <c r="Y409" s="449"/>
      <c r="Z409" s="449"/>
      <c r="AA409" s="449"/>
      <c r="AB409" s="449"/>
    </row>
    <row r="410">
      <c r="A410" s="337"/>
      <c r="B410" s="338"/>
      <c r="C410" s="338"/>
      <c r="D410" s="338"/>
      <c r="E410" s="338"/>
      <c r="F410" s="337"/>
      <c r="G410" s="449"/>
      <c r="H410" s="449"/>
      <c r="I410" s="449"/>
      <c r="J410" s="449"/>
      <c r="K410" s="449"/>
      <c r="L410" s="449"/>
      <c r="M410" s="449"/>
      <c r="N410" s="449"/>
      <c r="O410" s="449"/>
      <c r="P410" s="449"/>
      <c r="Q410" s="449"/>
      <c r="R410" s="449"/>
      <c r="S410" s="449"/>
      <c r="T410" s="449"/>
      <c r="U410" s="449"/>
      <c r="V410" s="449"/>
      <c r="W410" s="449"/>
      <c r="X410" s="449"/>
      <c r="Y410" s="449"/>
      <c r="Z410" s="449"/>
      <c r="AA410" s="449"/>
      <c r="AB410" s="449"/>
    </row>
    <row r="411">
      <c r="A411" s="337"/>
      <c r="B411" s="338"/>
      <c r="C411" s="338"/>
      <c r="D411" s="338"/>
      <c r="E411" s="338"/>
      <c r="F411" s="337"/>
      <c r="G411" s="449"/>
      <c r="H411" s="449"/>
      <c r="I411" s="449"/>
      <c r="J411" s="449"/>
      <c r="K411" s="449"/>
      <c r="L411" s="449"/>
      <c r="M411" s="449"/>
      <c r="N411" s="449"/>
      <c r="O411" s="449"/>
      <c r="P411" s="449"/>
      <c r="Q411" s="449"/>
      <c r="R411" s="449"/>
      <c r="S411" s="449"/>
      <c r="T411" s="449"/>
      <c r="U411" s="449"/>
      <c r="V411" s="449"/>
      <c r="W411" s="449"/>
      <c r="X411" s="449"/>
      <c r="Y411" s="449"/>
      <c r="Z411" s="449"/>
      <c r="AA411" s="449"/>
      <c r="AB411" s="449"/>
    </row>
    <row r="412">
      <c r="A412" s="337"/>
      <c r="B412" s="338"/>
      <c r="C412" s="338"/>
      <c r="D412" s="338"/>
      <c r="E412" s="338"/>
      <c r="F412" s="337"/>
      <c r="G412" s="449"/>
      <c r="H412" s="449"/>
      <c r="I412" s="449"/>
      <c r="J412" s="449"/>
      <c r="K412" s="449"/>
      <c r="L412" s="449"/>
      <c r="M412" s="449"/>
      <c r="N412" s="449"/>
      <c r="O412" s="449"/>
      <c r="P412" s="449"/>
      <c r="Q412" s="449"/>
      <c r="R412" s="449"/>
      <c r="S412" s="449"/>
      <c r="T412" s="449"/>
      <c r="U412" s="449"/>
      <c r="V412" s="449"/>
      <c r="W412" s="449"/>
      <c r="X412" s="449"/>
      <c r="Y412" s="449"/>
      <c r="Z412" s="449"/>
      <c r="AA412" s="449"/>
      <c r="AB412" s="449"/>
    </row>
    <row r="413">
      <c r="A413" s="337"/>
      <c r="B413" s="338"/>
      <c r="C413" s="338"/>
      <c r="D413" s="338"/>
      <c r="E413" s="338"/>
      <c r="F413" s="337"/>
      <c r="G413" s="449"/>
      <c r="H413" s="449"/>
      <c r="I413" s="449"/>
      <c r="J413" s="449"/>
      <c r="K413" s="449"/>
      <c r="L413" s="449"/>
      <c r="M413" s="449"/>
      <c r="N413" s="449"/>
      <c r="O413" s="449"/>
      <c r="P413" s="449"/>
      <c r="Q413" s="449"/>
      <c r="R413" s="449"/>
      <c r="S413" s="449"/>
      <c r="T413" s="449"/>
      <c r="U413" s="449"/>
      <c r="V413" s="449"/>
      <c r="W413" s="449"/>
      <c r="X413" s="449"/>
      <c r="Y413" s="449"/>
      <c r="Z413" s="449"/>
      <c r="AA413" s="449"/>
      <c r="AB413" s="449"/>
    </row>
    <row r="414">
      <c r="A414" s="337"/>
      <c r="B414" s="338"/>
      <c r="C414" s="338"/>
      <c r="D414" s="338"/>
      <c r="E414" s="338"/>
      <c r="F414" s="337"/>
      <c r="G414" s="449"/>
      <c r="H414" s="449"/>
      <c r="I414" s="449"/>
      <c r="J414" s="449"/>
      <c r="K414" s="449"/>
      <c r="L414" s="449"/>
      <c r="M414" s="449"/>
      <c r="N414" s="449"/>
      <c r="O414" s="449"/>
      <c r="P414" s="449"/>
      <c r="Q414" s="449"/>
      <c r="R414" s="449"/>
      <c r="S414" s="449"/>
      <c r="T414" s="449"/>
      <c r="U414" s="449"/>
      <c r="V414" s="449"/>
      <c r="W414" s="449"/>
      <c r="X414" s="449"/>
      <c r="Y414" s="449"/>
      <c r="Z414" s="449"/>
      <c r="AA414" s="449"/>
      <c r="AB414" s="449"/>
    </row>
    <row r="415">
      <c r="A415" s="337"/>
      <c r="B415" s="338"/>
      <c r="C415" s="338"/>
      <c r="D415" s="338"/>
      <c r="E415" s="338"/>
      <c r="F415" s="337"/>
      <c r="G415" s="449"/>
      <c r="H415" s="449"/>
      <c r="I415" s="449"/>
      <c r="J415" s="449"/>
      <c r="K415" s="449"/>
      <c r="L415" s="449"/>
      <c r="M415" s="449"/>
      <c r="N415" s="449"/>
      <c r="O415" s="449"/>
      <c r="P415" s="449"/>
      <c r="Q415" s="449"/>
      <c r="R415" s="449"/>
      <c r="S415" s="449"/>
      <c r="T415" s="449"/>
      <c r="U415" s="449"/>
      <c r="V415" s="449"/>
      <c r="W415" s="449"/>
      <c r="X415" s="449"/>
      <c r="Y415" s="449"/>
      <c r="Z415" s="449"/>
      <c r="AA415" s="449"/>
      <c r="AB415" s="449"/>
    </row>
    <row r="416">
      <c r="A416" s="337"/>
      <c r="B416" s="338"/>
      <c r="C416" s="338"/>
      <c r="D416" s="338"/>
      <c r="E416" s="338"/>
      <c r="F416" s="337"/>
      <c r="G416" s="449"/>
      <c r="H416" s="449"/>
      <c r="I416" s="449"/>
      <c r="J416" s="449"/>
      <c r="K416" s="449"/>
      <c r="L416" s="449"/>
      <c r="M416" s="449"/>
      <c r="N416" s="449"/>
      <c r="O416" s="449"/>
      <c r="P416" s="449"/>
      <c r="Q416" s="449"/>
      <c r="R416" s="449"/>
      <c r="S416" s="449"/>
      <c r="T416" s="449"/>
      <c r="U416" s="449"/>
      <c r="V416" s="449"/>
      <c r="W416" s="449"/>
      <c r="X416" s="449"/>
      <c r="Y416" s="449"/>
      <c r="Z416" s="449"/>
      <c r="AA416" s="449"/>
      <c r="AB416" s="449"/>
    </row>
    <row r="417">
      <c r="A417" s="337"/>
      <c r="B417" s="338"/>
      <c r="C417" s="338"/>
      <c r="D417" s="338"/>
      <c r="E417" s="338"/>
      <c r="F417" s="337"/>
      <c r="G417" s="449"/>
      <c r="H417" s="449"/>
      <c r="I417" s="449"/>
      <c r="J417" s="449"/>
      <c r="K417" s="449"/>
      <c r="L417" s="449"/>
      <c r="M417" s="449"/>
      <c r="N417" s="449"/>
      <c r="O417" s="449"/>
      <c r="P417" s="449"/>
      <c r="Q417" s="449"/>
      <c r="R417" s="449"/>
      <c r="S417" s="449"/>
      <c r="T417" s="449"/>
      <c r="U417" s="449"/>
      <c r="V417" s="449"/>
      <c r="W417" s="449"/>
      <c r="X417" s="449"/>
      <c r="Y417" s="449"/>
      <c r="Z417" s="449"/>
      <c r="AA417" s="449"/>
      <c r="AB417" s="449"/>
    </row>
    <row r="418">
      <c r="A418" s="337"/>
      <c r="B418" s="338"/>
      <c r="C418" s="338"/>
      <c r="D418" s="338"/>
      <c r="E418" s="338"/>
      <c r="F418" s="337"/>
      <c r="G418" s="449"/>
      <c r="H418" s="449"/>
      <c r="I418" s="449"/>
      <c r="J418" s="449"/>
      <c r="K418" s="449"/>
      <c r="L418" s="449"/>
      <c r="M418" s="449"/>
      <c r="N418" s="449"/>
      <c r="O418" s="449"/>
      <c r="P418" s="449"/>
      <c r="Q418" s="449"/>
      <c r="R418" s="449"/>
      <c r="S418" s="449"/>
      <c r="T418" s="449"/>
      <c r="U418" s="449"/>
      <c r="V418" s="449"/>
      <c r="W418" s="449"/>
      <c r="X418" s="449"/>
      <c r="Y418" s="449"/>
      <c r="Z418" s="449"/>
      <c r="AA418" s="449"/>
      <c r="AB418" s="449"/>
    </row>
    <row r="419">
      <c r="A419" s="337"/>
      <c r="B419" s="338"/>
      <c r="C419" s="338"/>
      <c r="D419" s="338"/>
      <c r="E419" s="338"/>
      <c r="F419" s="337"/>
      <c r="G419" s="449"/>
      <c r="H419" s="449"/>
      <c r="I419" s="449"/>
      <c r="J419" s="449"/>
      <c r="K419" s="449"/>
      <c r="L419" s="449"/>
      <c r="M419" s="449"/>
      <c r="N419" s="449"/>
      <c r="O419" s="449"/>
      <c r="P419" s="449"/>
      <c r="Q419" s="449"/>
      <c r="R419" s="449"/>
      <c r="S419" s="449"/>
      <c r="T419" s="449"/>
      <c r="U419" s="449"/>
      <c r="V419" s="449"/>
      <c r="W419" s="449"/>
      <c r="X419" s="449"/>
      <c r="Y419" s="449"/>
      <c r="Z419" s="449"/>
      <c r="AA419" s="449"/>
      <c r="AB419" s="449"/>
    </row>
    <row r="420">
      <c r="A420" s="337"/>
      <c r="B420" s="338"/>
      <c r="C420" s="338"/>
      <c r="D420" s="338"/>
      <c r="E420" s="338"/>
      <c r="F420" s="337"/>
      <c r="G420" s="449"/>
      <c r="H420" s="449"/>
      <c r="I420" s="449"/>
      <c r="J420" s="449"/>
      <c r="K420" s="449"/>
      <c r="L420" s="449"/>
      <c r="M420" s="449"/>
      <c r="N420" s="449"/>
      <c r="O420" s="449"/>
      <c r="P420" s="449"/>
      <c r="Q420" s="449"/>
      <c r="R420" s="449"/>
      <c r="S420" s="449"/>
      <c r="T420" s="449"/>
      <c r="U420" s="449"/>
      <c r="V420" s="449"/>
      <c r="W420" s="449"/>
      <c r="X420" s="449"/>
      <c r="Y420" s="449"/>
      <c r="Z420" s="449"/>
      <c r="AA420" s="449"/>
      <c r="AB420" s="449"/>
    </row>
    <row r="421">
      <c r="A421" s="337"/>
      <c r="B421" s="338"/>
      <c r="C421" s="338"/>
      <c r="D421" s="338"/>
      <c r="E421" s="338"/>
      <c r="F421" s="337"/>
      <c r="G421" s="449"/>
      <c r="H421" s="449"/>
      <c r="I421" s="449"/>
      <c r="J421" s="449"/>
      <c r="K421" s="449"/>
      <c r="L421" s="449"/>
      <c r="M421" s="449"/>
      <c r="N421" s="449"/>
      <c r="O421" s="449"/>
      <c r="P421" s="449"/>
      <c r="Q421" s="449"/>
      <c r="R421" s="449"/>
      <c r="S421" s="449"/>
      <c r="T421" s="449"/>
      <c r="U421" s="449"/>
      <c r="V421" s="449"/>
      <c r="W421" s="449"/>
      <c r="X421" s="449"/>
      <c r="Y421" s="449"/>
      <c r="Z421" s="449"/>
      <c r="AA421" s="449"/>
      <c r="AB421" s="449"/>
    </row>
    <row r="422">
      <c r="A422" s="337"/>
      <c r="B422" s="338"/>
      <c r="C422" s="338"/>
      <c r="D422" s="338"/>
      <c r="E422" s="338"/>
      <c r="F422" s="337"/>
      <c r="G422" s="449"/>
      <c r="H422" s="449"/>
      <c r="I422" s="449"/>
      <c r="J422" s="449"/>
      <c r="K422" s="449"/>
      <c r="L422" s="449"/>
      <c r="M422" s="449"/>
      <c r="N422" s="449"/>
      <c r="O422" s="449"/>
      <c r="P422" s="449"/>
      <c r="Q422" s="449"/>
      <c r="R422" s="449"/>
      <c r="S422" s="449"/>
      <c r="T422" s="449"/>
      <c r="U422" s="449"/>
      <c r="V422" s="449"/>
      <c r="W422" s="449"/>
      <c r="X422" s="449"/>
      <c r="Y422" s="449"/>
      <c r="Z422" s="449"/>
      <c r="AA422" s="449"/>
      <c r="AB422" s="449"/>
    </row>
    <row r="423">
      <c r="A423" s="337"/>
      <c r="B423" s="338"/>
      <c r="C423" s="338"/>
      <c r="D423" s="338"/>
      <c r="E423" s="338"/>
      <c r="F423" s="337"/>
      <c r="G423" s="449"/>
      <c r="H423" s="449"/>
      <c r="I423" s="449"/>
      <c r="J423" s="449"/>
      <c r="K423" s="449"/>
      <c r="L423" s="449"/>
      <c r="M423" s="449"/>
      <c r="N423" s="449"/>
      <c r="O423" s="449"/>
      <c r="P423" s="449"/>
      <c r="Q423" s="449"/>
      <c r="R423" s="449"/>
      <c r="S423" s="449"/>
      <c r="T423" s="449"/>
      <c r="U423" s="449"/>
      <c r="V423" s="449"/>
      <c r="W423" s="449"/>
      <c r="X423" s="449"/>
      <c r="Y423" s="449"/>
      <c r="Z423" s="449"/>
      <c r="AA423" s="449"/>
      <c r="AB423" s="449"/>
    </row>
    <row r="424">
      <c r="A424" s="337"/>
      <c r="B424" s="338"/>
      <c r="C424" s="338"/>
      <c r="D424" s="338"/>
      <c r="E424" s="338"/>
      <c r="F424" s="337"/>
      <c r="G424" s="449"/>
      <c r="H424" s="449"/>
      <c r="I424" s="449"/>
      <c r="J424" s="449"/>
      <c r="K424" s="449"/>
      <c r="L424" s="449"/>
      <c r="M424" s="449"/>
      <c r="N424" s="449"/>
      <c r="O424" s="449"/>
      <c r="P424" s="449"/>
      <c r="Q424" s="449"/>
      <c r="R424" s="449"/>
      <c r="S424" s="449"/>
      <c r="T424" s="449"/>
      <c r="U424" s="449"/>
      <c r="V424" s="449"/>
      <c r="W424" s="449"/>
      <c r="X424" s="449"/>
      <c r="Y424" s="449"/>
      <c r="Z424" s="449"/>
      <c r="AA424" s="449"/>
      <c r="AB424" s="449"/>
    </row>
    <row r="425">
      <c r="A425" s="337"/>
      <c r="B425" s="338"/>
      <c r="C425" s="338"/>
      <c r="D425" s="338"/>
      <c r="E425" s="338"/>
      <c r="F425" s="337"/>
      <c r="G425" s="449"/>
      <c r="H425" s="449"/>
      <c r="I425" s="449"/>
      <c r="J425" s="449"/>
      <c r="K425" s="449"/>
      <c r="L425" s="449"/>
      <c r="M425" s="449"/>
      <c r="N425" s="449"/>
      <c r="O425" s="449"/>
      <c r="P425" s="449"/>
      <c r="Q425" s="449"/>
      <c r="R425" s="449"/>
      <c r="S425" s="449"/>
      <c r="T425" s="449"/>
      <c r="U425" s="449"/>
      <c r="V425" s="449"/>
      <c r="W425" s="449"/>
      <c r="X425" s="449"/>
      <c r="Y425" s="449"/>
      <c r="Z425" s="449"/>
      <c r="AA425" s="449"/>
      <c r="AB425" s="449"/>
    </row>
    <row r="426">
      <c r="A426" s="337"/>
      <c r="B426" s="338"/>
      <c r="C426" s="338"/>
      <c r="D426" s="338"/>
      <c r="E426" s="338"/>
      <c r="F426" s="337"/>
      <c r="G426" s="449"/>
      <c r="H426" s="449"/>
      <c r="I426" s="449"/>
      <c r="J426" s="449"/>
      <c r="K426" s="449"/>
      <c r="L426" s="449"/>
      <c r="M426" s="449"/>
      <c r="N426" s="449"/>
      <c r="O426" s="449"/>
      <c r="P426" s="449"/>
      <c r="Q426" s="449"/>
      <c r="R426" s="449"/>
      <c r="S426" s="449"/>
      <c r="T426" s="449"/>
      <c r="U426" s="449"/>
      <c r="V426" s="449"/>
      <c r="W426" s="449"/>
      <c r="X426" s="449"/>
      <c r="Y426" s="449"/>
      <c r="Z426" s="449"/>
      <c r="AA426" s="449"/>
      <c r="AB426" s="449"/>
    </row>
    <row r="427">
      <c r="A427" s="337"/>
      <c r="B427" s="338"/>
      <c r="C427" s="338"/>
      <c r="D427" s="338"/>
      <c r="E427" s="338"/>
      <c r="F427" s="337"/>
      <c r="G427" s="449"/>
      <c r="H427" s="449"/>
      <c r="I427" s="449"/>
      <c r="J427" s="449"/>
      <c r="K427" s="449"/>
      <c r="L427" s="449"/>
      <c r="M427" s="449"/>
      <c r="N427" s="449"/>
      <c r="O427" s="449"/>
      <c r="P427" s="449"/>
      <c r="Q427" s="449"/>
      <c r="R427" s="449"/>
      <c r="S427" s="449"/>
      <c r="T427" s="449"/>
      <c r="U427" s="449"/>
      <c r="V427" s="449"/>
      <c r="W427" s="449"/>
      <c r="X427" s="449"/>
      <c r="Y427" s="449"/>
      <c r="Z427" s="449"/>
      <c r="AA427" s="449"/>
      <c r="AB427" s="449"/>
    </row>
    <row r="428">
      <c r="A428" s="337"/>
      <c r="B428" s="338"/>
      <c r="C428" s="338"/>
      <c r="D428" s="338"/>
      <c r="E428" s="338"/>
      <c r="F428" s="337"/>
      <c r="G428" s="449"/>
      <c r="H428" s="449"/>
      <c r="I428" s="449"/>
      <c r="J428" s="449"/>
      <c r="K428" s="449"/>
      <c r="L428" s="449"/>
      <c r="M428" s="449"/>
      <c r="N428" s="449"/>
      <c r="O428" s="449"/>
      <c r="P428" s="449"/>
      <c r="Q428" s="449"/>
      <c r="R428" s="449"/>
      <c r="S428" s="449"/>
      <c r="T428" s="449"/>
      <c r="U428" s="449"/>
      <c r="V428" s="449"/>
      <c r="W428" s="449"/>
      <c r="X428" s="449"/>
      <c r="Y428" s="449"/>
      <c r="Z428" s="449"/>
      <c r="AA428" s="449"/>
      <c r="AB428" s="449"/>
    </row>
    <row r="429">
      <c r="A429" s="337"/>
      <c r="B429" s="338"/>
      <c r="C429" s="338"/>
      <c r="D429" s="338"/>
      <c r="E429" s="338"/>
      <c r="F429" s="337"/>
      <c r="G429" s="449"/>
      <c r="H429" s="449"/>
      <c r="I429" s="449"/>
      <c r="J429" s="449"/>
      <c r="K429" s="449"/>
      <c r="L429" s="449"/>
      <c r="M429" s="449"/>
      <c r="N429" s="449"/>
      <c r="O429" s="449"/>
      <c r="P429" s="449"/>
      <c r="Q429" s="449"/>
      <c r="R429" s="449"/>
      <c r="S429" s="449"/>
      <c r="T429" s="449"/>
      <c r="U429" s="449"/>
      <c r="V429" s="449"/>
      <c r="W429" s="449"/>
      <c r="X429" s="449"/>
      <c r="Y429" s="449"/>
      <c r="Z429" s="449"/>
      <c r="AA429" s="449"/>
      <c r="AB429" s="449"/>
    </row>
    <row r="430">
      <c r="A430" s="337"/>
      <c r="B430" s="338"/>
      <c r="C430" s="338"/>
      <c r="D430" s="338"/>
      <c r="E430" s="338"/>
      <c r="F430" s="337"/>
      <c r="G430" s="449"/>
      <c r="H430" s="449"/>
      <c r="I430" s="449"/>
      <c r="J430" s="449"/>
      <c r="K430" s="449"/>
      <c r="L430" s="449"/>
      <c r="M430" s="449"/>
      <c r="N430" s="449"/>
      <c r="O430" s="449"/>
      <c r="P430" s="449"/>
      <c r="Q430" s="449"/>
      <c r="R430" s="449"/>
      <c r="S430" s="449"/>
      <c r="T430" s="449"/>
      <c r="U430" s="449"/>
      <c r="V430" s="449"/>
      <c r="W430" s="449"/>
      <c r="X430" s="449"/>
      <c r="Y430" s="449"/>
      <c r="Z430" s="449"/>
      <c r="AA430" s="449"/>
      <c r="AB430" s="449"/>
    </row>
    <row r="431">
      <c r="A431" s="337"/>
      <c r="B431" s="338"/>
      <c r="C431" s="338"/>
      <c r="D431" s="338"/>
      <c r="E431" s="338"/>
      <c r="F431" s="337"/>
      <c r="G431" s="449"/>
      <c r="H431" s="449"/>
      <c r="I431" s="449"/>
      <c r="J431" s="449"/>
      <c r="K431" s="449"/>
      <c r="L431" s="449"/>
      <c r="M431" s="449"/>
      <c r="N431" s="449"/>
      <c r="O431" s="449"/>
      <c r="P431" s="449"/>
      <c r="Q431" s="449"/>
      <c r="R431" s="449"/>
      <c r="S431" s="449"/>
      <c r="T431" s="449"/>
      <c r="U431" s="449"/>
      <c r="V431" s="449"/>
      <c r="W431" s="449"/>
      <c r="X431" s="449"/>
      <c r="Y431" s="449"/>
      <c r="Z431" s="449"/>
      <c r="AA431" s="449"/>
      <c r="AB431" s="449"/>
    </row>
    <row r="432">
      <c r="A432" s="337"/>
      <c r="B432" s="338"/>
      <c r="C432" s="338"/>
      <c r="D432" s="338"/>
      <c r="E432" s="338"/>
      <c r="F432" s="337"/>
      <c r="G432" s="449"/>
      <c r="H432" s="449"/>
      <c r="I432" s="449"/>
      <c r="J432" s="449"/>
      <c r="K432" s="449"/>
      <c r="L432" s="449"/>
      <c r="M432" s="449"/>
      <c r="N432" s="449"/>
      <c r="O432" s="449"/>
      <c r="P432" s="449"/>
      <c r="Q432" s="449"/>
      <c r="R432" s="449"/>
      <c r="S432" s="449"/>
      <c r="T432" s="449"/>
      <c r="U432" s="449"/>
      <c r="V432" s="449"/>
      <c r="W432" s="449"/>
      <c r="X432" s="449"/>
      <c r="Y432" s="449"/>
      <c r="Z432" s="449"/>
      <c r="AA432" s="449"/>
      <c r="AB432" s="449"/>
    </row>
    <row r="433">
      <c r="A433" s="337"/>
      <c r="B433" s="338"/>
      <c r="C433" s="338"/>
      <c r="D433" s="338"/>
      <c r="E433" s="338"/>
      <c r="F433" s="337"/>
      <c r="G433" s="449"/>
      <c r="H433" s="449"/>
      <c r="I433" s="449"/>
      <c r="J433" s="449"/>
      <c r="K433" s="449"/>
      <c r="L433" s="449"/>
      <c r="M433" s="449"/>
      <c r="N433" s="449"/>
      <c r="O433" s="449"/>
      <c r="P433" s="449"/>
      <c r="Q433" s="449"/>
      <c r="R433" s="449"/>
      <c r="S433" s="449"/>
      <c r="T433" s="449"/>
      <c r="U433" s="449"/>
      <c r="V433" s="449"/>
      <c r="W433" s="449"/>
      <c r="X433" s="449"/>
      <c r="Y433" s="449"/>
      <c r="Z433" s="449"/>
      <c r="AA433" s="449"/>
      <c r="AB433" s="449"/>
    </row>
    <row r="434">
      <c r="A434" s="337"/>
      <c r="B434" s="338"/>
      <c r="C434" s="338"/>
      <c r="D434" s="338"/>
      <c r="E434" s="338"/>
      <c r="F434" s="337"/>
      <c r="G434" s="449"/>
      <c r="H434" s="449"/>
      <c r="I434" s="449"/>
      <c r="J434" s="449"/>
      <c r="K434" s="449"/>
      <c r="L434" s="449"/>
      <c r="M434" s="449"/>
      <c r="N434" s="449"/>
      <c r="O434" s="449"/>
      <c r="P434" s="449"/>
      <c r="Q434" s="449"/>
      <c r="R434" s="449"/>
      <c r="S434" s="449"/>
      <c r="T434" s="449"/>
      <c r="U434" s="449"/>
      <c r="V434" s="449"/>
      <c r="W434" s="449"/>
      <c r="X434" s="449"/>
      <c r="Y434" s="449"/>
      <c r="Z434" s="449"/>
      <c r="AA434" s="449"/>
      <c r="AB434" s="449"/>
    </row>
    <row r="435">
      <c r="A435" s="337"/>
      <c r="B435" s="338"/>
      <c r="C435" s="338"/>
      <c r="D435" s="338"/>
      <c r="E435" s="338"/>
      <c r="F435" s="337"/>
      <c r="G435" s="449"/>
      <c r="H435" s="449"/>
      <c r="I435" s="449"/>
      <c r="J435" s="449"/>
      <c r="K435" s="449"/>
      <c r="L435" s="449"/>
      <c r="M435" s="449"/>
      <c r="N435" s="449"/>
      <c r="O435" s="449"/>
      <c r="P435" s="449"/>
      <c r="Q435" s="449"/>
      <c r="R435" s="449"/>
      <c r="S435" s="449"/>
      <c r="T435" s="449"/>
      <c r="U435" s="449"/>
      <c r="V435" s="449"/>
      <c r="W435" s="449"/>
      <c r="X435" s="449"/>
      <c r="Y435" s="449"/>
      <c r="Z435" s="449"/>
      <c r="AA435" s="449"/>
      <c r="AB435" s="449"/>
    </row>
    <row r="436">
      <c r="A436" s="337"/>
      <c r="B436" s="338"/>
      <c r="C436" s="338"/>
      <c r="D436" s="338"/>
      <c r="E436" s="338"/>
      <c r="F436" s="337"/>
      <c r="G436" s="449"/>
      <c r="H436" s="449"/>
      <c r="I436" s="449"/>
      <c r="J436" s="449"/>
      <c r="K436" s="449"/>
      <c r="L436" s="449"/>
      <c r="M436" s="449"/>
      <c r="N436" s="449"/>
      <c r="O436" s="449"/>
      <c r="P436" s="449"/>
      <c r="Q436" s="449"/>
      <c r="R436" s="449"/>
      <c r="S436" s="449"/>
      <c r="T436" s="449"/>
      <c r="U436" s="449"/>
      <c r="V436" s="449"/>
      <c r="W436" s="449"/>
      <c r="X436" s="449"/>
      <c r="Y436" s="449"/>
      <c r="Z436" s="449"/>
      <c r="AA436" s="449"/>
      <c r="AB436" s="449"/>
    </row>
    <row r="437">
      <c r="A437" s="337"/>
      <c r="B437" s="338"/>
      <c r="C437" s="338"/>
      <c r="D437" s="338"/>
      <c r="E437" s="338"/>
      <c r="F437" s="337"/>
      <c r="G437" s="449"/>
      <c r="H437" s="449"/>
      <c r="I437" s="449"/>
      <c r="J437" s="449"/>
      <c r="K437" s="449"/>
      <c r="L437" s="449"/>
      <c r="M437" s="449"/>
      <c r="N437" s="449"/>
      <c r="O437" s="449"/>
      <c r="P437" s="449"/>
      <c r="Q437" s="449"/>
      <c r="R437" s="449"/>
      <c r="S437" s="449"/>
      <c r="T437" s="449"/>
      <c r="U437" s="449"/>
      <c r="V437" s="449"/>
      <c r="W437" s="449"/>
      <c r="X437" s="449"/>
      <c r="Y437" s="449"/>
      <c r="Z437" s="449"/>
      <c r="AA437" s="449"/>
      <c r="AB437" s="449"/>
    </row>
    <row r="438">
      <c r="A438" s="337"/>
      <c r="B438" s="338"/>
      <c r="C438" s="338"/>
      <c r="D438" s="338"/>
      <c r="E438" s="338"/>
      <c r="F438" s="337"/>
      <c r="G438" s="449"/>
      <c r="H438" s="449"/>
      <c r="I438" s="449"/>
      <c r="J438" s="449"/>
      <c r="K438" s="449"/>
      <c r="L438" s="449"/>
      <c r="M438" s="449"/>
      <c r="N438" s="449"/>
      <c r="O438" s="449"/>
      <c r="P438" s="449"/>
      <c r="Q438" s="449"/>
      <c r="R438" s="449"/>
      <c r="S438" s="449"/>
      <c r="T438" s="449"/>
      <c r="U438" s="449"/>
      <c r="V438" s="449"/>
      <c r="W438" s="449"/>
      <c r="X438" s="449"/>
      <c r="Y438" s="449"/>
      <c r="Z438" s="449"/>
      <c r="AA438" s="449"/>
      <c r="AB438" s="449"/>
    </row>
    <row r="439">
      <c r="A439" s="337"/>
      <c r="B439" s="338"/>
      <c r="C439" s="338"/>
      <c r="D439" s="338"/>
      <c r="E439" s="338"/>
      <c r="F439" s="337"/>
      <c r="G439" s="449"/>
      <c r="H439" s="449"/>
      <c r="I439" s="449"/>
      <c r="J439" s="449"/>
      <c r="K439" s="449"/>
      <c r="L439" s="449"/>
      <c r="M439" s="449"/>
      <c r="N439" s="449"/>
      <c r="O439" s="449"/>
      <c r="P439" s="449"/>
      <c r="Q439" s="449"/>
      <c r="R439" s="449"/>
      <c r="S439" s="449"/>
      <c r="T439" s="449"/>
      <c r="U439" s="449"/>
      <c r="V439" s="449"/>
      <c r="W439" s="449"/>
      <c r="X439" s="449"/>
      <c r="Y439" s="449"/>
      <c r="Z439" s="449"/>
      <c r="AA439" s="449"/>
      <c r="AB439" s="449"/>
    </row>
    <row r="440">
      <c r="A440" s="337"/>
      <c r="B440" s="338"/>
      <c r="C440" s="338"/>
      <c r="D440" s="338"/>
      <c r="E440" s="338"/>
      <c r="F440" s="337"/>
      <c r="G440" s="449"/>
      <c r="H440" s="449"/>
      <c r="I440" s="449"/>
      <c r="J440" s="449"/>
      <c r="K440" s="449"/>
      <c r="L440" s="449"/>
      <c r="M440" s="449"/>
      <c r="N440" s="449"/>
      <c r="O440" s="449"/>
      <c r="P440" s="449"/>
      <c r="Q440" s="449"/>
      <c r="R440" s="449"/>
      <c r="S440" s="449"/>
      <c r="T440" s="449"/>
      <c r="U440" s="449"/>
      <c r="V440" s="449"/>
      <c r="W440" s="449"/>
      <c r="X440" s="449"/>
      <c r="Y440" s="449"/>
      <c r="Z440" s="449"/>
      <c r="AA440" s="449"/>
      <c r="AB440" s="449"/>
    </row>
    <row r="441">
      <c r="A441" s="337"/>
      <c r="B441" s="338"/>
      <c r="C441" s="338"/>
      <c r="D441" s="338"/>
      <c r="E441" s="338"/>
      <c r="F441" s="337"/>
      <c r="G441" s="449"/>
      <c r="H441" s="449"/>
      <c r="I441" s="449"/>
      <c r="J441" s="449"/>
      <c r="K441" s="449"/>
      <c r="L441" s="449"/>
      <c r="M441" s="449"/>
      <c r="N441" s="449"/>
      <c r="O441" s="449"/>
      <c r="P441" s="449"/>
      <c r="Q441" s="449"/>
      <c r="R441" s="449"/>
      <c r="S441" s="449"/>
      <c r="T441" s="449"/>
      <c r="U441" s="449"/>
      <c r="V441" s="449"/>
      <c r="W441" s="449"/>
      <c r="X441" s="449"/>
      <c r="Y441" s="449"/>
      <c r="Z441" s="449"/>
      <c r="AA441" s="449"/>
      <c r="AB441" s="449"/>
    </row>
    <row r="442">
      <c r="A442" s="337"/>
      <c r="B442" s="338"/>
      <c r="C442" s="338"/>
      <c r="D442" s="338"/>
      <c r="E442" s="338"/>
      <c r="F442" s="337"/>
      <c r="G442" s="449"/>
      <c r="H442" s="449"/>
      <c r="I442" s="449"/>
      <c r="J442" s="449"/>
      <c r="K442" s="449"/>
      <c r="L442" s="449"/>
      <c r="M442" s="449"/>
      <c r="N442" s="449"/>
      <c r="O442" s="449"/>
      <c r="P442" s="449"/>
      <c r="Q442" s="449"/>
      <c r="R442" s="449"/>
      <c r="S442" s="449"/>
      <c r="T442" s="449"/>
      <c r="U442" s="449"/>
      <c r="V442" s="449"/>
      <c r="W442" s="449"/>
      <c r="X442" s="449"/>
      <c r="Y442" s="449"/>
      <c r="Z442" s="449"/>
      <c r="AA442" s="449"/>
      <c r="AB442" s="449"/>
    </row>
    <row r="443">
      <c r="A443" s="337"/>
      <c r="B443" s="338"/>
      <c r="C443" s="338"/>
      <c r="D443" s="338"/>
      <c r="E443" s="338"/>
      <c r="F443" s="337"/>
      <c r="G443" s="449"/>
      <c r="H443" s="449"/>
      <c r="I443" s="449"/>
      <c r="J443" s="449"/>
      <c r="K443" s="449"/>
      <c r="L443" s="449"/>
      <c r="M443" s="449"/>
      <c r="N443" s="449"/>
      <c r="O443" s="449"/>
      <c r="P443" s="449"/>
      <c r="Q443" s="449"/>
      <c r="R443" s="449"/>
      <c r="S443" s="449"/>
      <c r="T443" s="449"/>
      <c r="U443" s="449"/>
      <c r="V443" s="449"/>
      <c r="W443" s="449"/>
      <c r="X443" s="449"/>
      <c r="Y443" s="449"/>
      <c r="Z443" s="449"/>
      <c r="AA443" s="449"/>
      <c r="AB443" s="449"/>
    </row>
    <row r="444">
      <c r="A444" s="337"/>
      <c r="B444" s="338"/>
      <c r="C444" s="338"/>
      <c r="D444" s="338"/>
      <c r="E444" s="338"/>
      <c r="F444" s="337"/>
      <c r="G444" s="449"/>
      <c r="H444" s="449"/>
      <c r="I444" s="449"/>
      <c r="J444" s="449"/>
      <c r="K444" s="449"/>
      <c r="L444" s="449"/>
      <c r="M444" s="449"/>
      <c r="N444" s="449"/>
      <c r="O444" s="449"/>
      <c r="P444" s="449"/>
      <c r="Q444" s="449"/>
      <c r="R444" s="449"/>
      <c r="S444" s="449"/>
      <c r="T444" s="449"/>
      <c r="U444" s="449"/>
      <c r="V444" s="449"/>
      <c r="W444" s="449"/>
      <c r="X444" s="449"/>
      <c r="Y444" s="449"/>
      <c r="Z444" s="449"/>
      <c r="AA444" s="449"/>
      <c r="AB444" s="449"/>
    </row>
    <row r="445">
      <c r="A445" s="337"/>
      <c r="B445" s="338"/>
      <c r="C445" s="338"/>
      <c r="D445" s="338"/>
      <c r="E445" s="338"/>
      <c r="F445" s="337"/>
      <c r="G445" s="449"/>
      <c r="H445" s="449"/>
      <c r="I445" s="449"/>
      <c r="J445" s="449"/>
      <c r="K445" s="449"/>
      <c r="L445" s="449"/>
      <c r="M445" s="449"/>
      <c r="N445" s="449"/>
      <c r="O445" s="449"/>
      <c r="P445" s="449"/>
      <c r="Q445" s="449"/>
      <c r="R445" s="449"/>
      <c r="S445" s="449"/>
      <c r="T445" s="449"/>
      <c r="U445" s="449"/>
      <c r="V445" s="449"/>
      <c r="W445" s="449"/>
      <c r="X445" s="449"/>
      <c r="Y445" s="449"/>
      <c r="Z445" s="449"/>
      <c r="AA445" s="449"/>
      <c r="AB445" s="449"/>
    </row>
    <row r="446">
      <c r="A446" s="337"/>
      <c r="B446" s="338"/>
      <c r="C446" s="338"/>
      <c r="D446" s="338"/>
      <c r="E446" s="338"/>
      <c r="F446" s="337"/>
      <c r="G446" s="449"/>
      <c r="H446" s="449"/>
      <c r="I446" s="449"/>
      <c r="J446" s="449"/>
      <c r="K446" s="449"/>
      <c r="L446" s="449"/>
      <c r="M446" s="449"/>
      <c r="N446" s="449"/>
      <c r="O446" s="449"/>
      <c r="P446" s="449"/>
      <c r="Q446" s="449"/>
      <c r="R446" s="449"/>
      <c r="S446" s="449"/>
      <c r="T446" s="449"/>
      <c r="U446" s="449"/>
      <c r="V446" s="449"/>
      <c r="W446" s="449"/>
      <c r="X446" s="449"/>
      <c r="Y446" s="449"/>
      <c r="Z446" s="449"/>
      <c r="AA446" s="449"/>
      <c r="AB446" s="449"/>
    </row>
    <row r="447">
      <c r="A447" s="337"/>
      <c r="B447" s="338"/>
      <c r="C447" s="338"/>
      <c r="D447" s="338"/>
      <c r="E447" s="338"/>
      <c r="F447" s="337"/>
      <c r="G447" s="449"/>
      <c r="H447" s="449"/>
      <c r="I447" s="449"/>
      <c r="J447" s="449"/>
      <c r="K447" s="449"/>
      <c r="L447" s="449"/>
      <c r="M447" s="449"/>
      <c r="N447" s="449"/>
      <c r="O447" s="449"/>
      <c r="P447" s="449"/>
      <c r="Q447" s="449"/>
      <c r="R447" s="449"/>
      <c r="S447" s="449"/>
      <c r="T447" s="449"/>
      <c r="U447" s="449"/>
      <c r="V447" s="449"/>
      <c r="W447" s="449"/>
      <c r="X447" s="449"/>
      <c r="Y447" s="449"/>
      <c r="Z447" s="449"/>
      <c r="AA447" s="449"/>
      <c r="AB447" s="449"/>
    </row>
    <row r="448">
      <c r="A448" s="337"/>
      <c r="B448" s="338"/>
      <c r="C448" s="338"/>
      <c r="D448" s="338"/>
      <c r="E448" s="338"/>
      <c r="F448" s="337"/>
      <c r="G448" s="449"/>
      <c r="H448" s="449"/>
      <c r="I448" s="449"/>
      <c r="J448" s="449"/>
      <c r="K448" s="449"/>
      <c r="L448" s="449"/>
      <c r="M448" s="449"/>
      <c r="N448" s="449"/>
      <c r="O448" s="449"/>
      <c r="P448" s="449"/>
      <c r="Q448" s="449"/>
      <c r="R448" s="449"/>
      <c r="S448" s="449"/>
      <c r="T448" s="449"/>
      <c r="U448" s="449"/>
      <c r="V448" s="449"/>
      <c r="W448" s="449"/>
      <c r="X448" s="449"/>
      <c r="Y448" s="449"/>
      <c r="Z448" s="449"/>
      <c r="AA448" s="449"/>
      <c r="AB448" s="449"/>
    </row>
    <row r="449">
      <c r="A449" s="337"/>
      <c r="B449" s="338"/>
      <c r="C449" s="338"/>
      <c r="D449" s="338"/>
      <c r="E449" s="338"/>
      <c r="F449" s="337"/>
      <c r="G449" s="449"/>
      <c r="H449" s="449"/>
      <c r="I449" s="449"/>
      <c r="J449" s="449"/>
      <c r="K449" s="449"/>
      <c r="L449" s="449"/>
      <c r="M449" s="449"/>
      <c r="N449" s="449"/>
      <c r="O449" s="449"/>
      <c r="P449" s="449"/>
      <c r="Q449" s="449"/>
      <c r="R449" s="449"/>
      <c r="S449" s="449"/>
      <c r="T449" s="449"/>
      <c r="U449" s="449"/>
      <c r="V449" s="449"/>
      <c r="W449" s="449"/>
      <c r="X449" s="449"/>
      <c r="Y449" s="449"/>
      <c r="Z449" s="449"/>
      <c r="AA449" s="449"/>
      <c r="AB449" s="449"/>
    </row>
    <row r="450">
      <c r="A450" s="337"/>
      <c r="B450" s="338"/>
      <c r="C450" s="338"/>
      <c r="D450" s="338"/>
      <c r="E450" s="338"/>
      <c r="F450" s="337"/>
      <c r="G450" s="449"/>
      <c r="H450" s="449"/>
      <c r="I450" s="449"/>
      <c r="J450" s="449"/>
      <c r="K450" s="449"/>
      <c r="L450" s="449"/>
      <c r="M450" s="449"/>
      <c r="N450" s="449"/>
      <c r="O450" s="449"/>
      <c r="P450" s="449"/>
      <c r="Q450" s="449"/>
      <c r="R450" s="449"/>
      <c r="S450" s="449"/>
      <c r="T450" s="449"/>
      <c r="U450" s="449"/>
      <c r="V450" s="449"/>
      <c r="W450" s="449"/>
      <c r="X450" s="449"/>
      <c r="Y450" s="449"/>
      <c r="Z450" s="449"/>
      <c r="AA450" s="449"/>
      <c r="AB450" s="449"/>
    </row>
    <row r="451">
      <c r="A451" s="337"/>
      <c r="B451" s="338"/>
      <c r="C451" s="338"/>
      <c r="D451" s="338"/>
      <c r="E451" s="338"/>
      <c r="F451" s="337"/>
      <c r="G451" s="449"/>
      <c r="H451" s="449"/>
      <c r="I451" s="449"/>
      <c r="J451" s="449"/>
      <c r="K451" s="449"/>
      <c r="L451" s="449"/>
      <c r="M451" s="449"/>
      <c r="N451" s="449"/>
      <c r="O451" s="449"/>
      <c r="P451" s="449"/>
      <c r="Q451" s="449"/>
      <c r="R451" s="449"/>
      <c r="S451" s="449"/>
      <c r="T451" s="449"/>
      <c r="U451" s="449"/>
      <c r="V451" s="449"/>
      <c r="W451" s="449"/>
      <c r="X451" s="449"/>
      <c r="Y451" s="449"/>
      <c r="Z451" s="449"/>
      <c r="AA451" s="449"/>
      <c r="AB451" s="449"/>
    </row>
    <row r="452">
      <c r="A452" s="337"/>
      <c r="B452" s="338"/>
      <c r="C452" s="338"/>
      <c r="D452" s="338"/>
      <c r="E452" s="338"/>
      <c r="F452" s="337"/>
      <c r="G452" s="449"/>
      <c r="H452" s="449"/>
      <c r="I452" s="449"/>
      <c r="J452" s="449"/>
      <c r="K452" s="449"/>
      <c r="L452" s="449"/>
      <c r="M452" s="449"/>
      <c r="N452" s="449"/>
      <c r="O452" s="449"/>
      <c r="P452" s="449"/>
      <c r="Q452" s="449"/>
      <c r="R452" s="449"/>
      <c r="S452" s="449"/>
      <c r="T452" s="449"/>
      <c r="U452" s="449"/>
      <c r="V452" s="449"/>
      <c r="W452" s="449"/>
      <c r="X452" s="449"/>
      <c r="Y452" s="449"/>
      <c r="Z452" s="449"/>
      <c r="AA452" s="449"/>
      <c r="AB452" s="449"/>
    </row>
    <row r="453">
      <c r="A453" s="337"/>
      <c r="B453" s="338"/>
      <c r="C453" s="338"/>
      <c r="D453" s="338"/>
      <c r="E453" s="338"/>
      <c r="F453" s="337"/>
      <c r="G453" s="449"/>
      <c r="H453" s="449"/>
      <c r="I453" s="449"/>
      <c r="J453" s="449"/>
      <c r="K453" s="449"/>
      <c r="L453" s="449"/>
      <c r="M453" s="449"/>
      <c r="N453" s="449"/>
      <c r="O453" s="449"/>
      <c r="P453" s="449"/>
      <c r="Q453" s="449"/>
      <c r="R453" s="449"/>
      <c r="S453" s="449"/>
      <c r="T453" s="449"/>
      <c r="U453" s="449"/>
      <c r="V453" s="449"/>
      <c r="W453" s="449"/>
      <c r="X453" s="449"/>
      <c r="Y453" s="449"/>
      <c r="Z453" s="449"/>
      <c r="AA453" s="449"/>
      <c r="AB453" s="449"/>
    </row>
    <row r="454">
      <c r="A454" s="337"/>
      <c r="B454" s="338"/>
      <c r="C454" s="338"/>
      <c r="D454" s="338"/>
      <c r="E454" s="338"/>
      <c r="F454" s="337"/>
      <c r="G454" s="449"/>
      <c r="H454" s="449"/>
      <c r="I454" s="449"/>
      <c r="J454" s="449"/>
      <c r="K454" s="449"/>
      <c r="L454" s="449"/>
      <c r="M454" s="449"/>
      <c r="N454" s="449"/>
      <c r="O454" s="449"/>
      <c r="P454" s="449"/>
      <c r="Q454" s="449"/>
      <c r="R454" s="449"/>
      <c r="S454" s="449"/>
      <c r="T454" s="449"/>
      <c r="U454" s="449"/>
      <c r="V454" s="449"/>
      <c r="W454" s="449"/>
      <c r="X454" s="449"/>
      <c r="Y454" s="449"/>
      <c r="Z454" s="449"/>
      <c r="AA454" s="449"/>
      <c r="AB454" s="449"/>
    </row>
    <row r="455">
      <c r="A455" s="337"/>
      <c r="B455" s="338"/>
      <c r="C455" s="338"/>
      <c r="D455" s="338"/>
      <c r="E455" s="338"/>
      <c r="F455" s="337"/>
      <c r="G455" s="449"/>
      <c r="H455" s="449"/>
      <c r="I455" s="449"/>
      <c r="J455" s="449"/>
      <c r="K455" s="449"/>
      <c r="L455" s="449"/>
      <c r="M455" s="449"/>
      <c r="N455" s="449"/>
      <c r="O455" s="449"/>
      <c r="P455" s="449"/>
      <c r="Q455" s="449"/>
      <c r="R455" s="449"/>
      <c r="S455" s="449"/>
      <c r="T455" s="449"/>
      <c r="U455" s="449"/>
      <c r="V455" s="449"/>
      <c r="W455" s="449"/>
      <c r="X455" s="449"/>
      <c r="Y455" s="449"/>
      <c r="Z455" s="449"/>
      <c r="AA455" s="449"/>
      <c r="AB455" s="449"/>
    </row>
    <row r="456">
      <c r="A456" s="337"/>
      <c r="B456" s="338"/>
      <c r="C456" s="338"/>
      <c r="D456" s="338"/>
      <c r="E456" s="338"/>
      <c r="F456" s="337"/>
      <c r="G456" s="449"/>
      <c r="H456" s="449"/>
      <c r="I456" s="449"/>
      <c r="J456" s="449"/>
      <c r="K456" s="449"/>
      <c r="L456" s="449"/>
      <c r="M456" s="449"/>
      <c r="N456" s="449"/>
      <c r="O456" s="449"/>
      <c r="P456" s="449"/>
      <c r="Q456" s="449"/>
      <c r="R456" s="449"/>
      <c r="S456" s="449"/>
      <c r="T456" s="449"/>
      <c r="U456" s="449"/>
      <c r="V456" s="449"/>
      <c r="W456" s="449"/>
      <c r="X456" s="449"/>
      <c r="Y456" s="449"/>
      <c r="Z456" s="449"/>
      <c r="AA456" s="449"/>
      <c r="AB456" s="449"/>
    </row>
    <row r="457">
      <c r="A457" s="337"/>
      <c r="B457" s="338"/>
      <c r="C457" s="338"/>
      <c r="D457" s="338"/>
      <c r="E457" s="338"/>
      <c r="F457" s="337"/>
      <c r="G457" s="449"/>
      <c r="H457" s="449"/>
      <c r="I457" s="449"/>
      <c r="J457" s="449"/>
      <c r="K457" s="449"/>
      <c r="L457" s="449"/>
      <c r="M457" s="449"/>
      <c r="N457" s="449"/>
      <c r="O457" s="449"/>
      <c r="P457" s="449"/>
      <c r="Q457" s="449"/>
      <c r="R457" s="449"/>
      <c r="S457" s="449"/>
      <c r="T457" s="449"/>
      <c r="U457" s="449"/>
      <c r="V457" s="449"/>
      <c r="W457" s="449"/>
      <c r="X457" s="449"/>
      <c r="Y457" s="449"/>
      <c r="Z457" s="449"/>
      <c r="AA457" s="449"/>
      <c r="AB457" s="449"/>
    </row>
    <row r="458">
      <c r="A458" s="337"/>
      <c r="B458" s="338"/>
      <c r="C458" s="338"/>
      <c r="D458" s="338"/>
      <c r="E458" s="338"/>
      <c r="F458" s="337"/>
      <c r="G458" s="449"/>
      <c r="H458" s="449"/>
      <c r="I458" s="449"/>
      <c r="J458" s="449"/>
      <c r="K458" s="449"/>
      <c r="L458" s="449"/>
      <c r="M458" s="449"/>
      <c r="N458" s="449"/>
      <c r="O458" s="449"/>
      <c r="P458" s="449"/>
      <c r="Q458" s="449"/>
      <c r="R458" s="449"/>
      <c r="S458" s="449"/>
      <c r="T458" s="449"/>
      <c r="U458" s="449"/>
      <c r="V458" s="449"/>
      <c r="W458" s="449"/>
      <c r="X458" s="449"/>
      <c r="Y458" s="449"/>
      <c r="Z458" s="449"/>
      <c r="AA458" s="449"/>
      <c r="AB458" s="449"/>
    </row>
    <row r="459">
      <c r="A459" s="337"/>
      <c r="B459" s="338"/>
      <c r="C459" s="338"/>
      <c r="D459" s="338"/>
      <c r="E459" s="338"/>
      <c r="F459" s="337"/>
      <c r="G459" s="449"/>
      <c r="H459" s="449"/>
      <c r="I459" s="449"/>
      <c r="J459" s="449"/>
      <c r="K459" s="449"/>
      <c r="L459" s="449"/>
      <c r="M459" s="449"/>
      <c r="N459" s="449"/>
      <c r="O459" s="449"/>
      <c r="P459" s="449"/>
      <c r="Q459" s="449"/>
      <c r="R459" s="449"/>
      <c r="S459" s="449"/>
      <c r="T459" s="449"/>
      <c r="U459" s="449"/>
      <c r="V459" s="449"/>
      <c r="W459" s="449"/>
      <c r="X459" s="449"/>
      <c r="Y459" s="449"/>
      <c r="Z459" s="449"/>
      <c r="AA459" s="449"/>
      <c r="AB459" s="449"/>
    </row>
    <row r="460">
      <c r="A460" s="337"/>
      <c r="B460" s="338"/>
      <c r="C460" s="338"/>
      <c r="D460" s="338"/>
      <c r="E460" s="338"/>
      <c r="F460" s="337"/>
      <c r="G460" s="449"/>
      <c r="H460" s="449"/>
      <c r="I460" s="449"/>
      <c r="J460" s="449"/>
      <c r="K460" s="449"/>
      <c r="L460" s="449"/>
      <c r="M460" s="449"/>
      <c r="N460" s="449"/>
      <c r="O460" s="449"/>
      <c r="P460" s="449"/>
      <c r="Q460" s="449"/>
      <c r="R460" s="449"/>
      <c r="S460" s="449"/>
      <c r="T460" s="449"/>
      <c r="U460" s="449"/>
      <c r="V460" s="449"/>
      <c r="W460" s="449"/>
      <c r="X460" s="449"/>
      <c r="Y460" s="449"/>
      <c r="Z460" s="449"/>
      <c r="AA460" s="449"/>
      <c r="AB460" s="449"/>
    </row>
    <row r="461">
      <c r="A461" s="337"/>
      <c r="B461" s="338"/>
      <c r="C461" s="338"/>
      <c r="D461" s="338"/>
      <c r="E461" s="338"/>
      <c r="F461" s="337"/>
      <c r="G461" s="449"/>
      <c r="H461" s="449"/>
      <c r="I461" s="449"/>
      <c r="J461" s="449"/>
      <c r="K461" s="449"/>
      <c r="L461" s="449"/>
      <c r="M461" s="449"/>
      <c r="N461" s="449"/>
      <c r="O461" s="449"/>
      <c r="P461" s="449"/>
      <c r="Q461" s="449"/>
      <c r="R461" s="449"/>
      <c r="S461" s="449"/>
      <c r="T461" s="449"/>
      <c r="U461" s="449"/>
      <c r="V461" s="449"/>
      <c r="W461" s="449"/>
      <c r="X461" s="449"/>
      <c r="Y461" s="449"/>
      <c r="Z461" s="449"/>
      <c r="AA461" s="449"/>
      <c r="AB461" s="449"/>
    </row>
    <row r="462">
      <c r="A462" s="337"/>
      <c r="B462" s="338"/>
      <c r="C462" s="338"/>
      <c r="D462" s="338"/>
      <c r="E462" s="338"/>
      <c r="F462" s="337"/>
      <c r="G462" s="449"/>
      <c r="H462" s="449"/>
      <c r="I462" s="449"/>
      <c r="J462" s="449"/>
      <c r="K462" s="449"/>
      <c r="L462" s="449"/>
      <c r="M462" s="449"/>
      <c r="N462" s="449"/>
      <c r="O462" s="449"/>
      <c r="P462" s="449"/>
      <c r="Q462" s="449"/>
      <c r="R462" s="449"/>
      <c r="S462" s="449"/>
      <c r="T462" s="449"/>
      <c r="U462" s="449"/>
      <c r="V462" s="449"/>
      <c r="W462" s="449"/>
      <c r="X462" s="449"/>
      <c r="Y462" s="449"/>
      <c r="Z462" s="449"/>
      <c r="AA462" s="449"/>
      <c r="AB462" s="449"/>
    </row>
    <row r="463">
      <c r="A463" s="337"/>
      <c r="B463" s="338"/>
      <c r="C463" s="338"/>
      <c r="D463" s="338"/>
      <c r="E463" s="338"/>
      <c r="F463" s="337"/>
      <c r="G463" s="449"/>
      <c r="H463" s="449"/>
      <c r="I463" s="449"/>
      <c r="J463" s="449"/>
      <c r="K463" s="449"/>
      <c r="L463" s="449"/>
      <c r="M463" s="449"/>
      <c r="N463" s="449"/>
      <c r="O463" s="449"/>
      <c r="P463" s="449"/>
      <c r="Q463" s="449"/>
      <c r="R463" s="449"/>
      <c r="S463" s="449"/>
      <c r="T463" s="449"/>
      <c r="U463" s="449"/>
      <c r="V463" s="449"/>
      <c r="W463" s="449"/>
      <c r="X463" s="449"/>
      <c r="Y463" s="449"/>
      <c r="Z463" s="449"/>
      <c r="AA463" s="449"/>
      <c r="AB463" s="449"/>
    </row>
    <row r="464">
      <c r="A464" s="337"/>
      <c r="B464" s="338"/>
      <c r="C464" s="338"/>
      <c r="D464" s="338"/>
      <c r="E464" s="338"/>
      <c r="F464" s="337"/>
      <c r="G464" s="449"/>
      <c r="H464" s="449"/>
      <c r="I464" s="449"/>
      <c r="J464" s="449"/>
      <c r="K464" s="449"/>
      <c r="L464" s="449"/>
      <c r="M464" s="449"/>
      <c r="N464" s="449"/>
      <c r="O464" s="449"/>
      <c r="P464" s="449"/>
      <c r="Q464" s="449"/>
      <c r="R464" s="449"/>
      <c r="S464" s="449"/>
      <c r="T464" s="449"/>
      <c r="U464" s="449"/>
      <c r="V464" s="449"/>
      <c r="W464" s="449"/>
      <c r="X464" s="449"/>
      <c r="Y464" s="449"/>
      <c r="Z464" s="449"/>
      <c r="AA464" s="449"/>
      <c r="AB464" s="449"/>
    </row>
    <row r="465">
      <c r="A465" s="337"/>
      <c r="B465" s="338"/>
      <c r="C465" s="338"/>
      <c r="D465" s="338"/>
      <c r="E465" s="338"/>
      <c r="F465" s="337"/>
      <c r="G465" s="449"/>
      <c r="H465" s="449"/>
      <c r="I465" s="449"/>
      <c r="J465" s="449"/>
      <c r="K465" s="449"/>
      <c r="L465" s="449"/>
      <c r="M465" s="449"/>
      <c r="N465" s="449"/>
      <c r="O465" s="449"/>
      <c r="P465" s="449"/>
      <c r="Q465" s="449"/>
      <c r="R465" s="449"/>
      <c r="S465" s="449"/>
      <c r="T465" s="449"/>
      <c r="U465" s="449"/>
      <c r="V465" s="449"/>
      <c r="W465" s="449"/>
      <c r="X465" s="449"/>
      <c r="Y465" s="449"/>
      <c r="Z465" s="449"/>
      <c r="AA465" s="449"/>
      <c r="AB465" s="449"/>
    </row>
    <row r="466">
      <c r="A466" s="337"/>
      <c r="B466" s="338"/>
      <c r="C466" s="338"/>
      <c r="D466" s="338"/>
      <c r="E466" s="338"/>
      <c r="F466" s="337"/>
      <c r="G466" s="449"/>
      <c r="H466" s="449"/>
      <c r="I466" s="449"/>
      <c r="J466" s="449"/>
      <c r="K466" s="449"/>
      <c r="L466" s="449"/>
      <c r="M466" s="449"/>
      <c r="N466" s="449"/>
      <c r="O466" s="449"/>
      <c r="P466" s="449"/>
      <c r="Q466" s="449"/>
      <c r="R466" s="449"/>
      <c r="S466" s="449"/>
      <c r="T466" s="449"/>
      <c r="U466" s="449"/>
      <c r="V466" s="449"/>
      <c r="W466" s="449"/>
      <c r="X466" s="449"/>
      <c r="Y466" s="449"/>
      <c r="Z466" s="449"/>
      <c r="AA466" s="449"/>
      <c r="AB466" s="449"/>
    </row>
    <row r="467">
      <c r="A467" s="337"/>
      <c r="B467" s="338"/>
      <c r="C467" s="338"/>
      <c r="D467" s="338"/>
      <c r="E467" s="338"/>
      <c r="F467" s="337"/>
      <c r="G467" s="449"/>
      <c r="H467" s="449"/>
      <c r="I467" s="449"/>
      <c r="J467" s="449"/>
      <c r="K467" s="449"/>
      <c r="L467" s="449"/>
      <c r="M467" s="449"/>
      <c r="N467" s="449"/>
      <c r="O467" s="449"/>
      <c r="P467" s="449"/>
      <c r="Q467" s="449"/>
      <c r="R467" s="449"/>
      <c r="S467" s="449"/>
      <c r="T467" s="449"/>
      <c r="U467" s="449"/>
      <c r="V467" s="449"/>
      <c r="W467" s="449"/>
      <c r="X467" s="449"/>
      <c r="Y467" s="449"/>
      <c r="Z467" s="449"/>
      <c r="AA467" s="449"/>
      <c r="AB467" s="449"/>
    </row>
    <row r="468">
      <c r="A468" s="337"/>
      <c r="B468" s="338"/>
      <c r="C468" s="338"/>
      <c r="D468" s="338"/>
      <c r="E468" s="338"/>
      <c r="F468" s="337"/>
      <c r="G468" s="449"/>
      <c r="H468" s="449"/>
      <c r="I468" s="449"/>
      <c r="J468" s="449"/>
      <c r="K468" s="449"/>
      <c r="L468" s="449"/>
      <c r="M468" s="449"/>
      <c r="N468" s="449"/>
      <c r="O468" s="449"/>
      <c r="P468" s="449"/>
      <c r="Q468" s="449"/>
      <c r="R468" s="449"/>
      <c r="S468" s="449"/>
      <c r="T468" s="449"/>
      <c r="U468" s="449"/>
      <c r="V468" s="449"/>
      <c r="W468" s="449"/>
      <c r="X468" s="449"/>
      <c r="Y468" s="449"/>
      <c r="Z468" s="449"/>
      <c r="AA468" s="449"/>
      <c r="AB468" s="449"/>
    </row>
    <row r="469">
      <c r="A469" s="337"/>
      <c r="B469" s="338"/>
      <c r="C469" s="338"/>
      <c r="D469" s="338"/>
      <c r="E469" s="338"/>
      <c r="F469" s="337"/>
      <c r="G469" s="449"/>
      <c r="H469" s="449"/>
      <c r="I469" s="449"/>
      <c r="J469" s="449"/>
      <c r="K469" s="449"/>
      <c r="L469" s="449"/>
      <c r="M469" s="449"/>
      <c r="N469" s="449"/>
      <c r="O469" s="449"/>
      <c r="P469" s="449"/>
      <c r="Q469" s="449"/>
      <c r="R469" s="449"/>
      <c r="S469" s="449"/>
      <c r="T469" s="449"/>
      <c r="U469" s="449"/>
      <c r="V469" s="449"/>
      <c r="W469" s="449"/>
      <c r="X469" s="449"/>
      <c r="Y469" s="449"/>
      <c r="Z469" s="449"/>
      <c r="AA469" s="449"/>
      <c r="AB469" s="449"/>
    </row>
    <row r="470">
      <c r="A470" s="337"/>
      <c r="B470" s="338"/>
      <c r="C470" s="338"/>
      <c r="D470" s="338"/>
      <c r="E470" s="338"/>
      <c r="F470" s="337"/>
      <c r="G470" s="449"/>
      <c r="H470" s="449"/>
      <c r="I470" s="449"/>
      <c r="J470" s="449"/>
      <c r="K470" s="449"/>
      <c r="L470" s="449"/>
      <c r="M470" s="449"/>
      <c r="N470" s="449"/>
      <c r="O470" s="449"/>
      <c r="P470" s="449"/>
      <c r="Q470" s="449"/>
      <c r="R470" s="449"/>
      <c r="S470" s="449"/>
      <c r="T470" s="449"/>
      <c r="U470" s="449"/>
      <c r="V470" s="449"/>
      <c r="W470" s="449"/>
      <c r="X470" s="449"/>
      <c r="Y470" s="449"/>
      <c r="Z470" s="449"/>
      <c r="AA470" s="449"/>
      <c r="AB470" s="449"/>
    </row>
    <row r="471">
      <c r="A471" s="337"/>
      <c r="B471" s="338"/>
      <c r="C471" s="338"/>
      <c r="D471" s="338"/>
      <c r="E471" s="338"/>
      <c r="F471" s="337"/>
      <c r="G471" s="449"/>
      <c r="H471" s="449"/>
      <c r="I471" s="449"/>
      <c r="J471" s="449"/>
      <c r="K471" s="449"/>
      <c r="L471" s="449"/>
      <c r="M471" s="449"/>
      <c r="N471" s="449"/>
      <c r="O471" s="449"/>
      <c r="P471" s="449"/>
      <c r="Q471" s="449"/>
      <c r="R471" s="449"/>
      <c r="S471" s="449"/>
      <c r="T471" s="449"/>
      <c r="U471" s="449"/>
      <c r="V471" s="449"/>
      <c r="W471" s="449"/>
      <c r="X471" s="449"/>
      <c r="Y471" s="449"/>
      <c r="Z471" s="449"/>
      <c r="AA471" s="449"/>
      <c r="AB471" s="449"/>
    </row>
    <row r="472">
      <c r="A472" s="337"/>
      <c r="B472" s="338"/>
      <c r="C472" s="338"/>
      <c r="D472" s="338"/>
      <c r="E472" s="338"/>
      <c r="F472" s="337"/>
      <c r="G472" s="449"/>
      <c r="H472" s="449"/>
      <c r="I472" s="449"/>
      <c r="J472" s="449"/>
      <c r="K472" s="449"/>
      <c r="L472" s="449"/>
      <c r="M472" s="449"/>
      <c r="N472" s="449"/>
      <c r="O472" s="449"/>
      <c r="P472" s="449"/>
      <c r="Q472" s="449"/>
      <c r="R472" s="449"/>
      <c r="S472" s="449"/>
      <c r="T472" s="449"/>
      <c r="U472" s="449"/>
      <c r="V472" s="449"/>
      <c r="W472" s="449"/>
      <c r="X472" s="449"/>
      <c r="Y472" s="449"/>
      <c r="Z472" s="449"/>
      <c r="AA472" s="449"/>
      <c r="AB472" s="449"/>
    </row>
    <row r="473">
      <c r="A473" s="337"/>
      <c r="B473" s="338"/>
      <c r="C473" s="338"/>
      <c r="D473" s="338"/>
      <c r="E473" s="338"/>
      <c r="F473" s="337"/>
      <c r="G473" s="449"/>
      <c r="H473" s="449"/>
      <c r="I473" s="449"/>
      <c r="J473" s="449"/>
      <c r="K473" s="449"/>
      <c r="L473" s="449"/>
      <c r="M473" s="449"/>
      <c r="N473" s="449"/>
      <c r="O473" s="449"/>
      <c r="P473" s="449"/>
      <c r="Q473" s="449"/>
      <c r="R473" s="449"/>
      <c r="S473" s="449"/>
      <c r="T473" s="449"/>
      <c r="U473" s="449"/>
      <c r="V473" s="449"/>
      <c r="W473" s="449"/>
      <c r="X473" s="449"/>
      <c r="Y473" s="449"/>
      <c r="Z473" s="449"/>
      <c r="AA473" s="449"/>
      <c r="AB473" s="449"/>
    </row>
    <row r="474">
      <c r="A474" s="337"/>
      <c r="B474" s="338"/>
      <c r="C474" s="338"/>
      <c r="D474" s="338"/>
      <c r="E474" s="338"/>
      <c r="F474" s="337"/>
      <c r="G474" s="449"/>
      <c r="H474" s="449"/>
      <c r="I474" s="449"/>
      <c r="J474" s="449"/>
      <c r="K474" s="449"/>
      <c r="L474" s="449"/>
      <c r="M474" s="449"/>
      <c r="N474" s="449"/>
      <c r="O474" s="449"/>
      <c r="P474" s="449"/>
      <c r="Q474" s="449"/>
      <c r="R474" s="449"/>
      <c r="S474" s="449"/>
      <c r="T474" s="449"/>
      <c r="U474" s="449"/>
      <c r="V474" s="449"/>
      <c r="W474" s="449"/>
      <c r="X474" s="449"/>
      <c r="Y474" s="449"/>
      <c r="Z474" s="449"/>
      <c r="AA474" s="449"/>
      <c r="AB474" s="449"/>
    </row>
    <row r="475">
      <c r="A475" s="337"/>
      <c r="B475" s="338"/>
      <c r="C475" s="338"/>
      <c r="D475" s="338"/>
      <c r="E475" s="338"/>
      <c r="F475" s="337"/>
      <c r="G475" s="449"/>
      <c r="H475" s="449"/>
      <c r="I475" s="449"/>
      <c r="J475" s="449"/>
      <c r="K475" s="449"/>
      <c r="L475" s="449"/>
      <c r="M475" s="449"/>
      <c r="N475" s="449"/>
      <c r="O475" s="449"/>
      <c r="P475" s="449"/>
      <c r="Q475" s="449"/>
      <c r="R475" s="449"/>
      <c r="S475" s="449"/>
      <c r="T475" s="449"/>
      <c r="U475" s="449"/>
      <c r="V475" s="449"/>
      <c r="W475" s="449"/>
      <c r="X475" s="449"/>
      <c r="Y475" s="449"/>
      <c r="Z475" s="449"/>
      <c r="AA475" s="449"/>
      <c r="AB475" s="449"/>
    </row>
    <row r="476">
      <c r="A476" s="337"/>
      <c r="B476" s="338"/>
      <c r="C476" s="338"/>
      <c r="D476" s="338"/>
      <c r="E476" s="338"/>
      <c r="F476" s="337"/>
      <c r="G476" s="449"/>
      <c r="H476" s="449"/>
      <c r="I476" s="449"/>
      <c r="J476" s="449"/>
      <c r="K476" s="449"/>
      <c r="L476" s="449"/>
      <c r="M476" s="449"/>
      <c r="N476" s="449"/>
      <c r="O476" s="449"/>
      <c r="P476" s="449"/>
      <c r="Q476" s="449"/>
      <c r="R476" s="449"/>
      <c r="S476" s="449"/>
      <c r="T476" s="449"/>
      <c r="U476" s="449"/>
      <c r="V476" s="449"/>
      <c r="W476" s="449"/>
      <c r="X476" s="449"/>
      <c r="Y476" s="449"/>
      <c r="Z476" s="449"/>
      <c r="AA476" s="449"/>
      <c r="AB476" s="449"/>
    </row>
    <row r="477">
      <c r="A477" s="337"/>
      <c r="B477" s="338"/>
      <c r="C477" s="338"/>
      <c r="D477" s="338"/>
      <c r="E477" s="338"/>
      <c r="F477" s="337"/>
      <c r="G477" s="449"/>
      <c r="H477" s="449"/>
      <c r="I477" s="449"/>
      <c r="J477" s="449"/>
      <c r="K477" s="449"/>
      <c r="L477" s="449"/>
      <c r="M477" s="449"/>
      <c r="N477" s="449"/>
      <c r="O477" s="449"/>
      <c r="P477" s="449"/>
      <c r="Q477" s="449"/>
      <c r="R477" s="449"/>
      <c r="S477" s="449"/>
      <c r="T477" s="449"/>
      <c r="U477" s="449"/>
      <c r="V477" s="449"/>
      <c r="W477" s="449"/>
      <c r="X477" s="449"/>
      <c r="Y477" s="449"/>
      <c r="Z477" s="449"/>
      <c r="AA477" s="449"/>
      <c r="AB477" s="449"/>
    </row>
    <row r="478">
      <c r="A478" s="337"/>
      <c r="B478" s="338"/>
      <c r="C478" s="338"/>
      <c r="D478" s="338"/>
      <c r="E478" s="338"/>
      <c r="F478" s="337"/>
      <c r="G478" s="449"/>
      <c r="H478" s="449"/>
      <c r="I478" s="449"/>
      <c r="J478" s="449"/>
      <c r="K478" s="449"/>
      <c r="L478" s="449"/>
      <c r="M478" s="449"/>
      <c r="N478" s="449"/>
      <c r="O478" s="449"/>
      <c r="P478" s="449"/>
      <c r="Q478" s="449"/>
      <c r="R478" s="449"/>
      <c r="S478" s="449"/>
      <c r="T478" s="449"/>
      <c r="U478" s="449"/>
      <c r="V478" s="449"/>
      <c r="W478" s="449"/>
      <c r="X478" s="449"/>
      <c r="Y478" s="449"/>
      <c r="Z478" s="449"/>
      <c r="AA478" s="449"/>
      <c r="AB478" s="449"/>
    </row>
    <row r="479">
      <c r="A479" s="337"/>
      <c r="B479" s="338"/>
      <c r="C479" s="338"/>
      <c r="D479" s="338"/>
      <c r="E479" s="338"/>
      <c r="F479" s="337"/>
      <c r="G479" s="449"/>
      <c r="H479" s="449"/>
      <c r="I479" s="449"/>
      <c r="J479" s="449"/>
      <c r="K479" s="449"/>
      <c r="L479" s="449"/>
      <c r="M479" s="449"/>
      <c r="N479" s="449"/>
      <c r="O479" s="449"/>
      <c r="P479" s="449"/>
      <c r="Q479" s="449"/>
      <c r="R479" s="449"/>
      <c r="S479" s="449"/>
      <c r="T479" s="449"/>
      <c r="U479" s="449"/>
      <c r="V479" s="449"/>
      <c r="W479" s="449"/>
      <c r="X479" s="449"/>
      <c r="Y479" s="449"/>
      <c r="Z479" s="449"/>
      <c r="AA479" s="449"/>
      <c r="AB479" s="449"/>
    </row>
    <row r="480">
      <c r="A480" s="337"/>
      <c r="B480" s="338"/>
      <c r="C480" s="338"/>
      <c r="D480" s="338"/>
      <c r="E480" s="338"/>
      <c r="F480" s="337"/>
      <c r="G480" s="449"/>
      <c r="H480" s="449"/>
      <c r="I480" s="449"/>
      <c r="J480" s="449"/>
      <c r="K480" s="449"/>
      <c r="L480" s="449"/>
      <c r="M480" s="449"/>
      <c r="N480" s="449"/>
      <c r="O480" s="449"/>
      <c r="P480" s="449"/>
      <c r="Q480" s="449"/>
      <c r="R480" s="449"/>
      <c r="S480" s="449"/>
      <c r="T480" s="449"/>
      <c r="U480" s="449"/>
      <c r="V480" s="449"/>
      <c r="W480" s="449"/>
      <c r="X480" s="449"/>
      <c r="Y480" s="449"/>
      <c r="Z480" s="449"/>
      <c r="AA480" s="449"/>
      <c r="AB480" s="449"/>
    </row>
    <row r="481">
      <c r="A481" s="337"/>
      <c r="B481" s="338"/>
      <c r="C481" s="338"/>
      <c r="D481" s="338"/>
      <c r="E481" s="338"/>
      <c r="F481" s="337"/>
      <c r="G481" s="449"/>
      <c r="H481" s="449"/>
      <c r="I481" s="449"/>
      <c r="J481" s="449"/>
      <c r="K481" s="449"/>
      <c r="L481" s="449"/>
      <c r="M481" s="449"/>
      <c r="N481" s="449"/>
      <c r="O481" s="449"/>
      <c r="P481" s="449"/>
      <c r="Q481" s="449"/>
      <c r="R481" s="449"/>
      <c r="S481" s="449"/>
      <c r="T481" s="449"/>
      <c r="U481" s="449"/>
      <c r="V481" s="449"/>
      <c r="W481" s="449"/>
      <c r="X481" s="449"/>
      <c r="Y481" s="449"/>
      <c r="Z481" s="449"/>
      <c r="AA481" s="449"/>
      <c r="AB481" s="449"/>
    </row>
    <row r="482">
      <c r="A482" s="337"/>
      <c r="B482" s="338"/>
      <c r="C482" s="338"/>
      <c r="D482" s="338"/>
      <c r="E482" s="338"/>
      <c r="F482" s="337"/>
      <c r="G482" s="449"/>
      <c r="H482" s="449"/>
      <c r="I482" s="449"/>
      <c r="J482" s="449"/>
      <c r="K482" s="449"/>
      <c r="L482" s="449"/>
      <c r="M482" s="449"/>
      <c r="N482" s="449"/>
      <c r="O482" s="449"/>
      <c r="P482" s="449"/>
      <c r="Q482" s="449"/>
      <c r="R482" s="449"/>
      <c r="S482" s="449"/>
      <c r="T482" s="449"/>
      <c r="U482" s="449"/>
      <c r="V482" s="449"/>
      <c r="W482" s="449"/>
      <c r="X482" s="449"/>
      <c r="Y482" s="449"/>
      <c r="Z482" s="449"/>
      <c r="AA482" s="449"/>
      <c r="AB482" s="449"/>
    </row>
    <row r="483">
      <c r="A483" s="337"/>
      <c r="B483" s="338"/>
      <c r="C483" s="338"/>
      <c r="D483" s="338"/>
      <c r="E483" s="338"/>
      <c r="F483" s="337"/>
      <c r="G483" s="449"/>
      <c r="H483" s="449"/>
      <c r="I483" s="449"/>
      <c r="J483" s="449"/>
      <c r="K483" s="449"/>
      <c r="L483" s="449"/>
      <c r="M483" s="449"/>
      <c r="N483" s="449"/>
      <c r="O483" s="449"/>
      <c r="P483" s="449"/>
      <c r="Q483" s="449"/>
      <c r="R483" s="449"/>
      <c r="S483" s="449"/>
      <c r="T483" s="449"/>
      <c r="U483" s="449"/>
      <c r="V483" s="449"/>
      <c r="W483" s="449"/>
      <c r="X483" s="449"/>
      <c r="Y483" s="449"/>
      <c r="Z483" s="449"/>
      <c r="AA483" s="449"/>
      <c r="AB483" s="449"/>
    </row>
    <row r="484">
      <c r="A484" s="337"/>
      <c r="B484" s="338"/>
      <c r="C484" s="338"/>
      <c r="D484" s="338"/>
      <c r="E484" s="338"/>
      <c r="F484" s="337"/>
      <c r="G484" s="449"/>
      <c r="H484" s="449"/>
      <c r="I484" s="449"/>
      <c r="J484" s="449"/>
      <c r="K484" s="449"/>
      <c r="L484" s="449"/>
      <c r="M484" s="449"/>
      <c r="N484" s="449"/>
      <c r="O484" s="449"/>
      <c r="P484" s="449"/>
      <c r="Q484" s="449"/>
      <c r="R484" s="449"/>
      <c r="S484" s="449"/>
      <c r="T484" s="449"/>
      <c r="U484" s="449"/>
      <c r="V484" s="449"/>
      <c r="W484" s="449"/>
      <c r="X484" s="449"/>
      <c r="Y484" s="449"/>
      <c r="Z484" s="449"/>
      <c r="AA484" s="449"/>
      <c r="AB484" s="449"/>
    </row>
    <row r="485">
      <c r="A485" s="337"/>
      <c r="B485" s="338"/>
      <c r="C485" s="338"/>
      <c r="D485" s="338"/>
      <c r="E485" s="338"/>
      <c r="F485" s="337"/>
      <c r="G485" s="449"/>
      <c r="H485" s="449"/>
      <c r="I485" s="449"/>
      <c r="J485" s="449"/>
      <c r="K485" s="449"/>
      <c r="L485" s="449"/>
      <c r="M485" s="449"/>
      <c r="N485" s="449"/>
      <c r="O485" s="449"/>
      <c r="P485" s="449"/>
      <c r="Q485" s="449"/>
      <c r="R485" s="449"/>
      <c r="S485" s="449"/>
      <c r="T485" s="449"/>
      <c r="U485" s="449"/>
      <c r="V485" s="449"/>
      <c r="W485" s="449"/>
      <c r="X485" s="449"/>
      <c r="Y485" s="449"/>
      <c r="Z485" s="449"/>
      <c r="AA485" s="449"/>
      <c r="AB485" s="449"/>
    </row>
    <row r="486">
      <c r="A486" s="337"/>
      <c r="B486" s="338"/>
      <c r="C486" s="338"/>
      <c r="D486" s="338"/>
      <c r="E486" s="338"/>
      <c r="F486" s="337"/>
      <c r="G486" s="449"/>
      <c r="H486" s="449"/>
      <c r="I486" s="449"/>
      <c r="J486" s="449"/>
      <c r="K486" s="449"/>
      <c r="L486" s="449"/>
      <c r="M486" s="449"/>
      <c r="N486" s="449"/>
      <c r="O486" s="449"/>
      <c r="P486" s="449"/>
      <c r="Q486" s="449"/>
      <c r="R486" s="449"/>
      <c r="S486" s="449"/>
      <c r="T486" s="449"/>
      <c r="U486" s="449"/>
      <c r="V486" s="449"/>
      <c r="W486" s="449"/>
      <c r="X486" s="449"/>
      <c r="Y486" s="449"/>
      <c r="Z486" s="449"/>
      <c r="AA486" s="449"/>
      <c r="AB486" s="449"/>
    </row>
    <row r="487">
      <c r="A487" s="337"/>
      <c r="B487" s="338"/>
      <c r="C487" s="338"/>
      <c r="D487" s="338"/>
      <c r="E487" s="338"/>
      <c r="F487" s="337"/>
      <c r="G487" s="449"/>
      <c r="H487" s="449"/>
      <c r="I487" s="449"/>
      <c r="J487" s="449"/>
      <c r="K487" s="449"/>
      <c r="L487" s="449"/>
      <c r="M487" s="449"/>
      <c r="N487" s="449"/>
      <c r="O487" s="449"/>
      <c r="P487" s="449"/>
      <c r="Q487" s="449"/>
      <c r="R487" s="449"/>
      <c r="S487" s="449"/>
      <c r="T487" s="449"/>
      <c r="U487" s="449"/>
      <c r="V487" s="449"/>
      <c r="W487" s="449"/>
      <c r="X487" s="449"/>
      <c r="Y487" s="449"/>
      <c r="Z487" s="449"/>
      <c r="AA487" s="449"/>
      <c r="AB487" s="449"/>
    </row>
    <row r="488">
      <c r="A488" s="337"/>
      <c r="B488" s="338"/>
      <c r="C488" s="338"/>
      <c r="D488" s="338"/>
      <c r="E488" s="338"/>
      <c r="F488" s="337"/>
      <c r="G488" s="449"/>
      <c r="H488" s="449"/>
      <c r="I488" s="449"/>
      <c r="J488" s="449"/>
      <c r="K488" s="449"/>
      <c r="L488" s="449"/>
      <c r="M488" s="449"/>
      <c r="N488" s="449"/>
      <c r="O488" s="449"/>
      <c r="P488" s="449"/>
      <c r="Q488" s="449"/>
      <c r="R488" s="449"/>
      <c r="S488" s="449"/>
      <c r="T488" s="449"/>
      <c r="U488" s="449"/>
      <c r="V488" s="449"/>
      <c r="W488" s="449"/>
      <c r="X488" s="449"/>
      <c r="Y488" s="449"/>
      <c r="Z488" s="449"/>
      <c r="AA488" s="449"/>
      <c r="AB488" s="449"/>
    </row>
    <row r="489">
      <c r="A489" s="337"/>
      <c r="B489" s="338"/>
      <c r="C489" s="338"/>
      <c r="D489" s="338"/>
      <c r="E489" s="338"/>
      <c r="F489" s="337"/>
      <c r="G489" s="449"/>
      <c r="H489" s="449"/>
      <c r="I489" s="449"/>
      <c r="J489" s="449"/>
      <c r="K489" s="449"/>
      <c r="L489" s="449"/>
      <c r="M489" s="449"/>
      <c r="N489" s="449"/>
      <c r="O489" s="449"/>
      <c r="P489" s="449"/>
      <c r="Q489" s="449"/>
      <c r="R489" s="449"/>
      <c r="S489" s="449"/>
      <c r="T489" s="449"/>
      <c r="U489" s="449"/>
      <c r="V489" s="449"/>
      <c r="W489" s="449"/>
      <c r="X489" s="449"/>
      <c r="Y489" s="449"/>
      <c r="Z489" s="449"/>
      <c r="AA489" s="449"/>
      <c r="AB489" s="449"/>
    </row>
    <row r="490">
      <c r="A490" s="337"/>
      <c r="B490" s="338"/>
      <c r="C490" s="338"/>
      <c r="D490" s="338"/>
      <c r="E490" s="338"/>
      <c r="F490" s="337"/>
      <c r="G490" s="449"/>
      <c r="H490" s="449"/>
      <c r="I490" s="449"/>
      <c r="J490" s="449"/>
      <c r="K490" s="449"/>
      <c r="L490" s="449"/>
      <c r="M490" s="449"/>
      <c r="N490" s="449"/>
      <c r="O490" s="449"/>
      <c r="P490" s="449"/>
      <c r="Q490" s="449"/>
      <c r="R490" s="449"/>
      <c r="S490" s="449"/>
      <c r="T490" s="449"/>
      <c r="U490" s="449"/>
      <c r="V490" s="449"/>
      <c r="W490" s="449"/>
      <c r="X490" s="449"/>
      <c r="Y490" s="449"/>
      <c r="Z490" s="449"/>
      <c r="AA490" s="449"/>
      <c r="AB490" s="449"/>
    </row>
    <row r="491">
      <c r="A491" s="337"/>
      <c r="B491" s="338"/>
      <c r="C491" s="338"/>
      <c r="D491" s="338"/>
      <c r="E491" s="338"/>
      <c r="F491" s="337"/>
      <c r="G491" s="449"/>
      <c r="H491" s="449"/>
      <c r="I491" s="449"/>
      <c r="J491" s="449"/>
      <c r="K491" s="449"/>
      <c r="L491" s="449"/>
      <c r="M491" s="449"/>
      <c r="N491" s="449"/>
      <c r="O491" s="449"/>
      <c r="P491" s="449"/>
      <c r="Q491" s="449"/>
      <c r="R491" s="449"/>
      <c r="S491" s="449"/>
      <c r="T491" s="449"/>
      <c r="U491" s="449"/>
      <c r="V491" s="449"/>
      <c r="W491" s="449"/>
      <c r="X491" s="449"/>
      <c r="Y491" s="449"/>
      <c r="Z491" s="449"/>
      <c r="AA491" s="449"/>
      <c r="AB491" s="449"/>
    </row>
    <row r="492">
      <c r="A492" s="337"/>
      <c r="B492" s="338"/>
      <c r="C492" s="338"/>
      <c r="D492" s="338"/>
      <c r="E492" s="338"/>
      <c r="F492" s="337"/>
      <c r="G492" s="449"/>
      <c r="H492" s="449"/>
      <c r="I492" s="449"/>
      <c r="J492" s="449"/>
      <c r="K492" s="449"/>
      <c r="L492" s="449"/>
      <c r="M492" s="449"/>
      <c r="N492" s="449"/>
      <c r="O492" s="449"/>
      <c r="P492" s="449"/>
      <c r="Q492" s="449"/>
      <c r="R492" s="449"/>
      <c r="S492" s="449"/>
      <c r="T492" s="449"/>
      <c r="U492" s="449"/>
      <c r="V492" s="449"/>
      <c r="W492" s="449"/>
      <c r="X492" s="449"/>
      <c r="Y492" s="449"/>
      <c r="Z492" s="449"/>
      <c r="AA492" s="449"/>
      <c r="AB492" s="449"/>
    </row>
    <row r="493">
      <c r="A493" s="337"/>
      <c r="B493" s="338"/>
      <c r="C493" s="338"/>
      <c r="D493" s="338"/>
      <c r="E493" s="338"/>
      <c r="F493" s="337"/>
      <c r="G493" s="449"/>
      <c r="H493" s="449"/>
      <c r="I493" s="449"/>
      <c r="J493" s="449"/>
      <c r="K493" s="449"/>
      <c r="L493" s="449"/>
      <c r="M493" s="449"/>
      <c r="N493" s="449"/>
      <c r="O493" s="449"/>
      <c r="P493" s="449"/>
      <c r="Q493" s="449"/>
      <c r="R493" s="449"/>
      <c r="S493" s="449"/>
      <c r="T493" s="449"/>
      <c r="U493" s="449"/>
      <c r="V493" s="449"/>
      <c r="W493" s="449"/>
      <c r="X493" s="449"/>
      <c r="Y493" s="449"/>
      <c r="Z493" s="449"/>
      <c r="AA493" s="449"/>
      <c r="AB493" s="449"/>
    </row>
    <row r="494">
      <c r="A494" s="337"/>
      <c r="B494" s="338"/>
      <c r="C494" s="338"/>
      <c r="D494" s="338"/>
      <c r="E494" s="338"/>
      <c r="F494" s="337"/>
      <c r="G494" s="449"/>
      <c r="H494" s="449"/>
      <c r="I494" s="449"/>
      <c r="J494" s="449"/>
      <c r="K494" s="449"/>
      <c r="L494" s="449"/>
      <c r="M494" s="449"/>
      <c r="N494" s="449"/>
      <c r="O494" s="449"/>
      <c r="P494" s="449"/>
      <c r="Q494" s="449"/>
      <c r="R494" s="449"/>
      <c r="S494" s="449"/>
      <c r="T494" s="449"/>
      <c r="U494" s="449"/>
      <c r="V494" s="449"/>
      <c r="W494" s="449"/>
      <c r="X494" s="449"/>
      <c r="Y494" s="449"/>
      <c r="Z494" s="449"/>
      <c r="AA494" s="449"/>
      <c r="AB494" s="449"/>
    </row>
    <row r="495">
      <c r="A495" s="337"/>
      <c r="B495" s="338"/>
      <c r="C495" s="338"/>
      <c r="D495" s="338"/>
      <c r="E495" s="338"/>
      <c r="F495" s="337"/>
      <c r="G495" s="449"/>
      <c r="H495" s="449"/>
      <c r="I495" s="449"/>
      <c r="J495" s="449"/>
      <c r="K495" s="449"/>
      <c r="L495" s="449"/>
      <c r="M495" s="449"/>
      <c r="N495" s="449"/>
      <c r="O495" s="449"/>
      <c r="P495" s="449"/>
      <c r="Q495" s="449"/>
      <c r="R495" s="449"/>
      <c r="S495" s="449"/>
      <c r="T495" s="449"/>
      <c r="U495" s="449"/>
      <c r="V495" s="449"/>
      <c r="W495" s="449"/>
      <c r="X495" s="449"/>
      <c r="Y495" s="449"/>
      <c r="Z495" s="449"/>
      <c r="AA495" s="449"/>
      <c r="AB495" s="449"/>
    </row>
    <row r="496">
      <c r="A496" s="337"/>
      <c r="B496" s="338"/>
      <c r="C496" s="338"/>
      <c r="D496" s="338"/>
      <c r="E496" s="338"/>
      <c r="F496" s="337"/>
      <c r="G496" s="449"/>
      <c r="H496" s="449"/>
      <c r="I496" s="449"/>
      <c r="J496" s="449"/>
      <c r="K496" s="449"/>
      <c r="L496" s="449"/>
      <c r="M496" s="449"/>
      <c r="N496" s="449"/>
      <c r="O496" s="449"/>
      <c r="P496" s="449"/>
      <c r="Q496" s="449"/>
      <c r="R496" s="449"/>
      <c r="S496" s="449"/>
      <c r="T496" s="449"/>
      <c r="U496" s="449"/>
      <c r="V496" s="449"/>
      <c r="W496" s="449"/>
      <c r="X496" s="449"/>
      <c r="Y496" s="449"/>
      <c r="Z496" s="449"/>
      <c r="AA496" s="449"/>
      <c r="AB496" s="449"/>
    </row>
    <row r="497">
      <c r="A497" s="337"/>
      <c r="B497" s="338"/>
      <c r="C497" s="338"/>
      <c r="D497" s="338"/>
      <c r="E497" s="338"/>
      <c r="F497" s="337"/>
      <c r="G497" s="449"/>
      <c r="H497" s="449"/>
      <c r="I497" s="449"/>
      <c r="J497" s="449"/>
      <c r="K497" s="449"/>
      <c r="L497" s="449"/>
      <c r="M497" s="449"/>
      <c r="N497" s="449"/>
      <c r="O497" s="449"/>
      <c r="P497" s="449"/>
      <c r="Q497" s="449"/>
      <c r="R497" s="449"/>
      <c r="S497" s="449"/>
      <c r="T497" s="449"/>
      <c r="U497" s="449"/>
      <c r="V497" s="449"/>
      <c r="W497" s="449"/>
      <c r="X497" s="449"/>
      <c r="Y497" s="449"/>
      <c r="Z497" s="449"/>
      <c r="AA497" s="449"/>
      <c r="AB497" s="449"/>
    </row>
    <row r="498">
      <c r="A498" s="337"/>
      <c r="B498" s="338"/>
      <c r="C498" s="338"/>
      <c r="D498" s="338"/>
      <c r="E498" s="338"/>
      <c r="F498" s="337"/>
      <c r="G498" s="449"/>
      <c r="H498" s="449"/>
      <c r="I498" s="449"/>
      <c r="J498" s="449"/>
      <c r="K498" s="449"/>
      <c r="L498" s="449"/>
      <c r="M498" s="449"/>
      <c r="N498" s="449"/>
      <c r="O498" s="449"/>
      <c r="P498" s="449"/>
      <c r="Q498" s="449"/>
      <c r="R498" s="449"/>
      <c r="S498" s="449"/>
      <c r="T498" s="449"/>
      <c r="U498" s="449"/>
      <c r="V498" s="449"/>
      <c r="W498" s="449"/>
      <c r="X498" s="449"/>
      <c r="Y498" s="449"/>
      <c r="Z498" s="449"/>
      <c r="AA498" s="449"/>
      <c r="AB498" s="449"/>
    </row>
    <row r="499">
      <c r="A499" s="337"/>
      <c r="B499" s="338"/>
      <c r="C499" s="338"/>
      <c r="D499" s="338"/>
      <c r="E499" s="338"/>
      <c r="F499" s="337"/>
      <c r="G499" s="449"/>
      <c r="H499" s="449"/>
      <c r="I499" s="449"/>
      <c r="J499" s="449"/>
      <c r="K499" s="449"/>
      <c r="L499" s="449"/>
      <c r="M499" s="449"/>
      <c r="N499" s="449"/>
      <c r="O499" s="449"/>
      <c r="P499" s="449"/>
      <c r="Q499" s="449"/>
      <c r="R499" s="449"/>
      <c r="S499" s="449"/>
      <c r="T499" s="449"/>
      <c r="U499" s="449"/>
      <c r="V499" s="449"/>
      <c r="W499" s="449"/>
      <c r="X499" s="449"/>
      <c r="Y499" s="449"/>
      <c r="Z499" s="449"/>
      <c r="AA499" s="449"/>
      <c r="AB499" s="449"/>
    </row>
    <row r="500">
      <c r="A500" s="337"/>
      <c r="B500" s="338"/>
      <c r="C500" s="338"/>
      <c r="D500" s="338"/>
      <c r="E500" s="338"/>
      <c r="F500" s="337"/>
      <c r="G500" s="449"/>
      <c r="H500" s="449"/>
      <c r="I500" s="449"/>
      <c r="J500" s="449"/>
      <c r="K500" s="449"/>
      <c r="L500" s="449"/>
      <c r="M500" s="449"/>
      <c r="N500" s="449"/>
      <c r="O500" s="449"/>
      <c r="P500" s="449"/>
      <c r="Q500" s="449"/>
      <c r="R500" s="449"/>
      <c r="S500" s="449"/>
      <c r="T500" s="449"/>
      <c r="U500" s="449"/>
      <c r="V500" s="449"/>
      <c r="W500" s="449"/>
      <c r="X500" s="449"/>
      <c r="Y500" s="449"/>
      <c r="Z500" s="449"/>
      <c r="AA500" s="449"/>
      <c r="AB500" s="449"/>
    </row>
    <row r="501">
      <c r="A501" s="337"/>
      <c r="B501" s="338"/>
      <c r="C501" s="338"/>
      <c r="D501" s="338"/>
      <c r="E501" s="338"/>
      <c r="F501" s="337"/>
      <c r="G501" s="449"/>
      <c r="H501" s="449"/>
      <c r="I501" s="449"/>
      <c r="J501" s="449"/>
      <c r="K501" s="449"/>
      <c r="L501" s="449"/>
      <c r="M501" s="449"/>
      <c r="N501" s="449"/>
      <c r="O501" s="449"/>
      <c r="P501" s="449"/>
      <c r="Q501" s="449"/>
      <c r="R501" s="449"/>
      <c r="S501" s="449"/>
      <c r="T501" s="449"/>
      <c r="U501" s="449"/>
      <c r="V501" s="449"/>
      <c r="W501" s="449"/>
      <c r="X501" s="449"/>
      <c r="Y501" s="449"/>
      <c r="Z501" s="449"/>
      <c r="AA501" s="449"/>
      <c r="AB501" s="449"/>
    </row>
    <row r="502">
      <c r="A502" s="337"/>
      <c r="B502" s="338"/>
      <c r="C502" s="338"/>
      <c r="D502" s="338"/>
      <c r="E502" s="338"/>
      <c r="F502" s="337"/>
      <c r="G502" s="449"/>
      <c r="H502" s="449"/>
      <c r="I502" s="449"/>
      <c r="J502" s="449"/>
      <c r="K502" s="449"/>
      <c r="L502" s="449"/>
      <c r="M502" s="449"/>
      <c r="N502" s="449"/>
      <c r="O502" s="449"/>
      <c r="P502" s="449"/>
      <c r="Q502" s="449"/>
      <c r="R502" s="449"/>
      <c r="S502" s="449"/>
      <c r="T502" s="449"/>
      <c r="U502" s="449"/>
      <c r="V502" s="449"/>
      <c r="W502" s="449"/>
      <c r="X502" s="449"/>
      <c r="Y502" s="449"/>
      <c r="Z502" s="449"/>
      <c r="AA502" s="449"/>
      <c r="AB502" s="449"/>
    </row>
    <row r="503">
      <c r="A503" s="337"/>
      <c r="B503" s="338"/>
      <c r="C503" s="338"/>
      <c r="D503" s="338"/>
      <c r="E503" s="338"/>
      <c r="F503" s="337"/>
      <c r="G503" s="449"/>
      <c r="H503" s="449"/>
      <c r="I503" s="449"/>
      <c r="J503" s="449"/>
      <c r="K503" s="449"/>
      <c r="L503" s="449"/>
      <c r="M503" s="449"/>
      <c r="N503" s="449"/>
      <c r="O503" s="449"/>
      <c r="P503" s="449"/>
      <c r="Q503" s="449"/>
      <c r="R503" s="449"/>
      <c r="S503" s="449"/>
      <c r="T503" s="449"/>
      <c r="U503" s="449"/>
      <c r="V503" s="449"/>
      <c r="W503" s="449"/>
      <c r="X503" s="449"/>
      <c r="Y503" s="449"/>
      <c r="Z503" s="449"/>
      <c r="AA503" s="449"/>
      <c r="AB503" s="449"/>
    </row>
    <row r="504">
      <c r="A504" s="337"/>
      <c r="B504" s="338"/>
      <c r="C504" s="338"/>
      <c r="D504" s="338"/>
      <c r="E504" s="338"/>
      <c r="F504" s="337"/>
      <c r="G504" s="449"/>
      <c r="H504" s="449"/>
      <c r="I504" s="449"/>
      <c r="J504" s="449"/>
      <c r="K504" s="449"/>
      <c r="L504" s="449"/>
      <c r="M504" s="449"/>
      <c r="N504" s="449"/>
      <c r="O504" s="449"/>
      <c r="P504" s="449"/>
      <c r="Q504" s="449"/>
      <c r="R504" s="449"/>
      <c r="S504" s="449"/>
      <c r="T504" s="449"/>
      <c r="U504" s="449"/>
      <c r="V504" s="449"/>
      <c r="W504" s="449"/>
      <c r="X504" s="449"/>
      <c r="Y504" s="449"/>
      <c r="Z504" s="449"/>
      <c r="AA504" s="449"/>
      <c r="AB504" s="449"/>
    </row>
    <row r="505">
      <c r="A505" s="337"/>
      <c r="B505" s="338"/>
      <c r="C505" s="338"/>
      <c r="D505" s="338"/>
      <c r="E505" s="338"/>
      <c r="F505" s="337"/>
      <c r="G505" s="449"/>
      <c r="H505" s="449"/>
      <c r="I505" s="449"/>
      <c r="J505" s="449"/>
      <c r="K505" s="449"/>
      <c r="L505" s="449"/>
      <c r="M505" s="449"/>
      <c r="N505" s="449"/>
      <c r="O505" s="449"/>
      <c r="P505" s="449"/>
      <c r="Q505" s="449"/>
      <c r="R505" s="449"/>
      <c r="S505" s="449"/>
      <c r="T505" s="449"/>
      <c r="U505" s="449"/>
      <c r="V505" s="449"/>
      <c r="W505" s="449"/>
      <c r="X505" s="449"/>
      <c r="Y505" s="449"/>
      <c r="Z505" s="449"/>
      <c r="AA505" s="449"/>
      <c r="AB505" s="449"/>
    </row>
    <row r="506">
      <c r="A506" s="337"/>
      <c r="B506" s="338"/>
      <c r="C506" s="338"/>
      <c r="D506" s="338"/>
      <c r="E506" s="338"/>
      <c r="F506" s="337"/>
      <c r="G506" s="449"/>
      <c r="H506" s="449"/>
      <c r="I506" s="449"/>
      <c r="J506" s="449"/>
      <c r="K506" s="449"/>
      <c r="L506" s="449"/>
      <c r="M506" s="449"/>
      <c r="N506" s="449"/>
      <c r="O506" s="449"/>
      <c r="P506" s="449"/>
      <c r="Q506" s="449"/>
      <c r="R506" s="449"/>
      <c r="S506" s="449"/>
      <c r="T506" s="449"/>
      <c r="U506" s="449"/>
      <c r="V506" s="449"/>
      <c r="W506" s="449"/>
      <c r="X506" s="449"/>
      <c r="Y506" s="449"/>
      <c r="Z506" s="449"/>
      <c r="AA506" s="449"/>
      <c r="AB506" s="449"/>
    </row>
    <row r="507">
      <c r="A507" s="337"/>
      <c r="B507" s="338"/>
      <c r="C507" s="338"/>
      <c r="D507" s="338"/>
      <c r="E507" s="338"/>
      <c r="F507" s="337"/>
      <c r="G507" s="449"/>
      <c r="H507" s="449"/>
      <c r="I507" s="449"/>
      <c r="J507" s="449"/>
      <c r="K507" s="449"/>
      <c r="L507" s="449"/>
      <c r="M507" s="449"/>
      <c r="N507" s="449"/>
      <c r="O507" s="449"/>
      <c r="P507" s="449"/>
      <c r="Q507" s="449"/>
      <c r="R507" s="449"/>
      <c r="S507" s="449"/>
      <c r="T507" s="449"/>
      <c r="U507" s="449"/>
      <c r="V507" s="449"/>
      <c r="W507" s="449"/>
      <c r="X507" s="449"/>
      <c r="Y507" s="449"/>
      <c r="Z507" s="449"/>
      <c r="AA507" s="449"/>
      <c r="AB507" s="449"/>
    </row>
    <row r="508">
      <c r="A508" s="337"/>
      <c r="B508" s="338"/>
      <c r="C508" s="338"/>
      <c r="D508" s="338"/>
      <c r="E508" s="338"/>
      <c r="F508" s="337"/>
      <c r="G508" s="449"/>
      <c r="H508" s="449"/>
      <c r="I508" s="449"/>
      <c r="J508" s="449"/>
      <c r="K508" s="449"/>
      <c r="L508" s="449"/>
      <c r="M508" s="449"/>
      <c r="N508" s="449"/>
      <c r="O508" s="449"/>
      <c r="P508" s="449"/>
      <c r="Q508" s="449"/>
      <c r="R508" s="449"/>
      <c r="S508" s="449"/>
      <c r="T508" s="449"/>
      <c r="U508" s="449"/>
      <c r="V508" s="449"/>
      <c r="W508" s="449"/>
      <c r="X508" s="449"/>
      <c r="Y508" s="449"/>
      <c r="Z508" s="449"/>
      <c r="AA508" s="449"/>
      <c r="AB508" s="449"/>
    </row>
    <row r="509">
      <c r="A509" s="337"/>
      <c r="B509" s="338"/>
      <c r="C509" s="338"/>
      <c r="D509" s="338"/>
      <c r="E509" s="338"/>
      <c r="F509" s="337"/>
      <c r="G509" s="449"/>
      <c r="H509" s="449"/>
      <c r="I509" s="449"/>
      <c r="J509" s="449"/>
      <c r="K509" s="449"/>
      <c r="L509" s="449"/>
      <c r="M509" s="449"/>
      <c r="N509" s="449"/>
      <c r="O509" s="449"/>
      <c r="P509" s="449"/>
      <c r="Q509" s="449"/>
      <c r="R509" s="449"/>
      <c r="S509" s="449"/>
      <c r="T509" s="449"/>
      <c r="U509" s="449"/>
      <c r="V509" s="449"/>
      <c r="W509" s="449"/>
      <c r="X509" s="449"/>
      <c r="Y509" s="449"/>
      <c r="Z509" s="449"/>
      <c r="AA509" s="449"/>
      <c r="AB509" s="449"/>
    </row>
    <row r="510">
      <c r="A510" s="337"/>
      <c r="B510" s="338"/>
      <c r="C510" s="338"/>
      <c r="D510" s="338"/>
      <c r="E510" s="338"/>
      <c r="F510" s="337"/>
      <c r="G510" s="449"/>
      <c r="H510" s="449"/>
      <c r="I510" s="449"/>
      <c r="J510" s="449"/>
      <c r="K510" s="449"/>
      <c r="L510" s="449"/>
      <c r="M510" s="449"/>
      <c r="N510" s="449"/>
      <c r="O510" s="449"/>
      <c r="P510" s="449"/>
      <c r="Q510" s="449"/>
      <c r="R510" s="449"/>
      <c r="S510" s="449"/>
      <c r="T510" s="449"/>
      <c r="U510" s="449"/>
      <c r="V510" s="449"/>
      <c r="W510" s="449"/>
      <c r="X510" s="449"/>
      <c r="Y510" s="449"/>
      <c r="Z510" s="449"/>
      <c r="AA510" s="449"/>
      <c r="AB510" s="449"/>
    </row>
    <row r="511">
      <c r="A511" s="337"/>
      <c r="B511" s="338"/>
      <c r="C511" s="338"/>
      <c r="D511" s="338"/>
      <c r="E511" s="338"/>
      <c r="F511" s="337"/>
      <c r="G511" s="449"/>
      <c r="H511" s="449"/>
      <c r="I511" s="449"/>
      <c r="J511" s="449"/>
      <c r="K511" s="449"/>
      <c r="L511" s="449"/>
      <c r="M511" s="449"/>
      <c r="N511" s="449"/>
      <c r="O511" s="449"/>
      <c r="P511" s="449"/>
      <c r="Q511" s="449"/>
      <c r="R511" s="449"/>
      <c r="S511" s="449"/>
      <c r="T511" s="449"/>
      <c r="U511" s="449"/>
      <c r="V511" s="449"/>
      <c r="W511" s="449"/>
      <c r="X511" s="449"/>
      <c r="Y511" s="449"/>
      <c r="Z511" s="449"/>
      <c r="AA511" s="449"/>
      <c r="AB511" s="449"/>
    </row>
    <row r="512">
      <c r="A512" s="337"/>
      <c r="B512" s="338"/>
      <c r="C512" s="338"/>
      <c r="D512" s="338"/>
      <c r="E512" s="338"/>
      <c r="F512" s="337"/>
      <c r="G512" s="449"/>
      <c r="H512" s="449"/>
      <c r="I512" s="449"/>
      <c r="J512" s="449"/>
      <c r="K512" s="449"/>
      <c r="L512" s="449"/>
      <c r="M512" s="449"/>
      <c r="N512" s="449"/>
      <c r="O512" s="449"/>
      <c r="P512" s="449"/>
      <c r="Q512" s="449"/>
      <c r="R512" s="449"/>
      <c r="S512" s="449"/>
      <c r="T512" s="449"/>
      <c r="U512" s="449"/>
      <c r="V512" s="449"/>
      <c r="W512" s="449"/>
      <c r="X512" s="449"/>
      <c r="Y512" s="449"/>
      <c r="Z512" s="449"/>
      <c r="AA512" s="449"/>
      <c r="AB512" s="449"/>
    </row>
    <row r="513">
      <c r="A513" s="337"/>
      <c r="B513" s="338"/>
      <c r="C513" s="338"/>
      <c r="D513" s="338"/>
      <c r="E513" s="338"/>
      <c r="F513" s="337"/>
      <c r="G513" s="449"/>
      <c r="H513" s="449"/>
      <c r="I513" s="449"/>
      <c r="J513" s="449"/>
      <c r="K513" s="449"/>
      <c r="L513" s="449"/>
      <c r="M513" s="449"/>
      <c r="N513" s="449"/>
      <c r="O513" s="449"/>
      <c r="P513" s="449"/>
      <c r="Q513" s="449"/>
      <c r="R513" s="449"/>
      <c r="S513" s="449"/>
      <c r="T513" s="449"/>
      <c r="U513" s="449"/>
      <c r="V513" s="449"/>
      <c r="W513" s="449"/>
      <c r="X513" s="449"/>
      <c r="Y513" s="449"/>
      <c r="Z513" s="449"/>
      <c r="AA513" s="449"/>
      <c r="AB513" s="449"/>
    </row>
    <row r="514">
      <c r="A514" s="337"/>
      <c r="B514" s="338"/>
      <c r="C514" s="338"/>
      <c r="D514" s="338"/>
      <c r="E514" s="338"/>
      <c r="F514" s="337"/>
      <c r="G514" s="449"/>
      <c r="H514" s="449"/>
      <c r="I514" s="449"/>
      <c r="J514" s="449"/>
      <c r="K514" s="449"/>
      <c r="L514" s="449"/>
      <c r="M514" s="449"/>
      <c r="N514" s="449"/>
      <c r="O514" s="449"/>
      <c r="P514" s="449"/>
      <c r="Q514" s="449"/>
      <c r="R514" s="449"/>
      <c r="S514" s="449"/>
      <c r="T514" s="449"/>
      <c r="U514" s="449"/>
      <c r="V514" s="449"/>
      <c r="W514" s="449"/>
      <c r="X514" s="449"/>
      <c r="Y514" s="449"/>
      <c r="Z514" s="449"/>
      <c r="AA514" s="449"/>
      <c r="AB514" s="449"/>
    </row>
    <row r="515">
      <c r="A515" s="337"/>
      <c r="B515" s="338"/>
      <c r="C515" s="338"/>
      <c r="D515" s="338"/>
      <c r="E515" s="338"/>
      <c r="F515" s="337"/>
      <c r="G515" s="449"/>
      <c r="H515" s="449"/>
      <c r="I515" s="449"/>
      <c r="J515" s="449"/>
      <c r="K515" s="449"/>
      <c r="L515" s="449"/>
      <c r="M515" s="449"/>
      <c r="N515" s="449"/>
      <c r="O515" s="449"/>
      <c r="P515" s="449"/>
      <c r="Q515" s="449"/>
      <c r="R515" s="449"/>
      <c r="S515" s="449"/>
      <c r="T515" s="449"/>
      <c r="U515" s="449"/>
      <c r="V515" s="449"/>
      <c r="W515" s="449"/>
      <c r="X515" s="449"/>
      <c r="Y515" s="449"/>
      <c r="Z515" s="449"/>
      <c r="AA515" s="449"/>
      <c r="AB515" s="449"/>
    </row>
    <row r="516">
      <c r="A516" s="337"/>
      <c r="B516" s="338"/>
      <c r="C516" s="338"/>
      <c r="D516" s="338"/>
      <c r="E516" s="338"/>
      <c r="F516" s="337"/>
      <c r="G516" s="449"/>
      <c r="H516" s="449"/>
      <c r="I516" s="449"/>
      <c r="J516" s="449"/>
      <c r="K516" s="449"/>
      <c r="L516" s="449"/>
      <c r="M516" s="449"/>
      <c r="N516" s="449"/>
      <c r="O516" s="449"/>
      <c r="P516" s="449"/>
      <c r="Q516" s="449"/>
      <c r="R516" s="449"/>
      <c r="S516" s="449"/>
      <c r="T516" s="449"/>
      <c r="U516" s="449"/>
      <c r="V516" s="449"/>
      <c r="W516" s="449"/>
      <c r="X516" s="449"/>
      <c r="Y516" s="449"/>
      <c r="Z516" s="449"/>
      <c r="AA516" s="449"/>
      <c r="AB516" s="449"/>
    </row>
    <row r="517">
      <c r="A517" s="337"/>
      <c r="B517" s="338"/>
      <c r="C517" s="338"/>
      <c r="D517" s="338"/>
      <c r="E517" s="338"/>
      <c r="F517" s="337"/>
      <c r="G517" s="449"/>
      <c r="H517" s="449"/>
      <c r="I517" s="449"/>
      <c r="J517" s="449"/>
      <c r="K517" s="449"/>
      <c r="L517" s="449"/>
      <c r="M517" s="449"/>
      <c r="N517" s="449"/>
      <c r="O517" s="449"/>
      <c r="P517" s="449"/>
      <c r="Q517" s="449"/>
      <c r="R517" s="449"/>
      <c r="S517" s="449"/>
      <c r="T517" s="449"/>
      <c r="U517" s="449"/>
      <c r="V517" s="449"/>
      <c r="W517" s="449"/>
      <c r="X517" s="449"/>
      <c r="Y517" s="449"/>
      <c r="Z517" s="449"/>
      <c r="AA517" s="449"/>
      <c r="AB517" s="449"/>
    </row>
    <row r="518">
      <c r="A518" s="337"/>
      <c r="B518" s="338"/>
      <c r="C518" s="338"/>
      <c r="D518" s="338"/>
      <c r="E518" s="338"/>
      <c r="F518" s="337"/>
      <c r="G518" s="449"/>
      <c r="H518" s="449"/>
      <c r="I518" s="449"/>
      <c r="J518" s="449"/>
      <c r="K518" s="449"/>
      <c r="L518" s="449"/>
      <c r="M518" s="449"/>
      <c r="N518" s="449"/>
      <c r="O518" s="449"/>
      <c r="P518" s="449"/>
      <c r="Q518" s="449"/>
      <c r="R518" s="449"/>
      <c r="S518" s="449"/>
      <c r="T518" s="449"/>
      <c r="U518" s="449"/>
      <c r="V518" s="449"/>
      <c r="W518" s="449"/>
      <c r="X518" s="449"/>
      <c r="Y518" s="449"/>
      <c r="Z518" s="449"/>
      <c r="AA518" s="449"/>
      <c r="AB518" s="449"/>
    </row>
    <row r="519">
      <c r="A519" s="337"/>
      <c r="B519" s="338"/>
      <c r="C519" s="338"/>
      <c r="D519" s="338"/>
      <c r="E519" s="338"/>
      <c r="F519" s="337"/>
      <c r="G519" s="449"/>
      <c r="H519" s="449"/>
      <c r="I519" s="449"/>
      <c r="J519" s="449"/>
      <c r="K519" s="449"/>
      <c r="L519" s="449"/>
      <c r="M519" s="449"/>
      <c r="N519" s="449"/>
      <c r="O519" s="449"/>
      <c r="P519" s="449"/>
      <c r="Q519" s="449"/>
      <c r="R519" s="449"/>
      <c r="S519" s="449"/>
      <c r="T519" s="449"/>
      <c r="U519" s="449"/>
      <c r="V519" s="449"/>
      <c r="W519" s="449"/>
      <c r="X519" s="449"/>
      <c r="Y519" s="449"/>
      <c r="Z519" s="449"/>
      <c r="AA519" s="449"/>
      <c r="AB519" s="449"/>
    </row>
    <row r="520">
      <c r="A520" s="337"/>
      <c r="B520" s="338"/>
      <c r="C520" s="338"/>
      <c r="D520" s="338"/>
      <c r="E520" s="338"/>
      <c r="F520" s="337"/>
      <c r="G520" s="449"/>
      <c r="H520" s="449"/>
      <c r="I520" s="449"/>
      <c r="J520" s="449"/>
      <c r="K520" s="449"/>
      <c r="L520" s="449"/>
      <c r="M520" s="449"/>
      <c r="N520" s="449"/>
      <c r="O520" s="449"/>
      <c r="P520" s="449"/>
      <c r="Q520" s="449"/>
      <c r="R520" s="449"/>
      <c r="S520" s="449"/>
      <c r="T520" s="449"/>
      <c r="U520" s="449"/>
      <c r="V520" s="449"/>
      <c r="W520" s="449"/>
      <c r="X520" s="449"/>
      <c r="Y520" s="449"/>
      <c r="Z520" s="449"/>
      <c r="AA520" s="449"/>
      <c r="AB520" s="449"/>
    </row>
    <row r="521">
      <c r="A521" s="337"/>
      <c r="B521" s="338"/>
      <c r="C521" s="338"/>
      <c r="D521" s="338"/>
      <c r="E521" s="338"/>
      <c r="F521" s="337"/>
      <c r="G521" s="449"/>
      <c r="H521" s="449"/>
      <c r="I521" s="449"/>
      <c r="J521" s="449"/>
      <c r="K521" s="449"/>
      <c r="L521" s="449"/>
      <c r="M521" s="449"/>
      <c r="N521" s="449"/>
      <c r="O521" s="449"/>
      <c r="P521" s="449"/>
      <c r="Q521" s="449"/>
      <c r="R521" s="449"/>
      <c r="S521" s="449"/>
      <c r="T521" s="449"/>
      <c r="U521" s="449"/>
      <c r="V521" s="449"/>
      <c r="W521" s="449"/>
      <c r="X521" s="449"/>
      <c r="Y521" s="449"/>
      <c r="Z521" s="449"/>
      <c r="AA521" s="449"/>
      <c r="AB521" s="449"/>
    </row>
    <row r="522">
      <c r="A522" s="337"/>
      <c r="B522" s="338"/>
      <c r="C522" s="338"/>
      <c r="D522" s="338"/>
      <c r="E522" s="338"/>
      <c r="F522" s="337"/>
      <c r="G522" s="449"/>
      <c r="H522" s="449"/>
      <c r="I522" s="449"/>
      <c r="J522" s="449"/>
      <c r="K522" s="449"/>
      <c r="L522" s="449"/>
      <c r="M522" s="449"/>
      <c r="N522" s="449"/>
      <c r="O522" s="449"/>
      <c r="P522" s="449"/>
      <c r="Q522" s="449"/>
      <c r="R522" s="449"/>
      <c r="S522" s="449"/>
      <c r="T522" s="449"/>
      <c r="U522" s="449"/>
      <c r="V522" s="449"/>
      <c r="W522" s="449"/>
      <c r="X522" s="449"/>
      <c r="Y522" s="449"/>
      <c r="Z522" s="449"/>
      <c r="AA522" s="449"/>
      <c r="AB522" s="449"/>
    </row>
    <row r="523">
      <c r="A523" s="337"/>
      <c r="B523" s="338"/>
      <c r="C523" s="338"/>
      <c r="D523" s="338"/>
      <c r="E523" s="338"/>
      <c r="F523" s="337"/>
      <c r="G523" s="449"/>
      <c r="H523" s="449"/>
      <c r="I523" s="449"/>
      <c r="J523" s="449"/>
      <c r="K523" s="449"/>
      <c r="L523" s="449"/>
      <c r="M523" s="449"/>
      <c r="N523" s="449"/>
      <c r="O523" s="449"/>
      <c r="P523" s="449"/>
      <c r="Q523" s="449"/>
      <c r="R523" s="449"/>
      <c r="S523" s="449"/>
      <c r="T523" s="449"/>
      <c r="U523" s="449"/>
      <c r="V523" s="449"/>
      <c r="W523" s="449"/>
      <c r="X523" s="449"/>
      <c r="Y523" s="449"/>
      <c r="Z523" s="449"/>
      <c r="AA523" s="449"/>
      <c r="AB523" s="449"/>
    </row>
    <row r="524">
      <c r="A524" s="337"/>
      <c r="B524" s="338"/>
      <c r="C524" s="338"/>
      <c r="D524" s="338"/>
      <c r="E524" s="338"/>
      <c r="F524" s="337"/>
      <c r="G524" s="449"/>
      <c r="H524" s="449"/>
      <c r="I524" s="449"/>
      <c r="J524" s="449"/>
      <c r="K524" s="449"/>
      <c r="L524" s="449"/>
      <c r="M524" s="449"/>
      <c r="N524" s="449"/>
      <c r="O524" s="449"/>
      <c r="P524" s="449"/>
      <c r="Q524" s="449"/>
      <c r="R524" s="449"/>
      <c r="S524" s="449"/>
      <c r="T524" s="449"/>
      <c r="U524" s="449"/>
      <c r="V524" s="449"/>
      <c r="W524" s="449"/>
      <c r="X524" s="449"/>
      <c r="Y524" s="449"/>
      <c r="Z524" s="449"/>
      <c r="AA524" s="449"/>
      <c r="AB524" s="449"/>
    </row>
    <row r="525">
      <c r="A525" s="337"/>
      <c r="B525" s="338"/>
      <c r="C525" s="338"/>
      <c r="D525" s="338"/>
      <c r="E525" s="338"/>
      <c r="F525" s="337"/>
      <c r="G525" s="449"/>
      <c r="H525" s="449"/>
      <c r="I525" s="449"/>
      <c r="J525" s="449"/>
      <c r="K525" s="449"/>
      <c r="L525" s="449"/>
      <c r="M525" s="449"/>
      <c r="N525" s="449"/>
      <c r="O525" s="449"/>
      <c r="P525" s="449"/>
      <c r="Q525" s="449"/>
      <c r="R525" s="449"/>
      <c r="S525" s="449"/>
      <c r="T525" s="449"/>
      <c r="U525" s="449"/>
      <c r="V525" s="449"/>
      <c r="W525" s="449"/>
      <c r="X525" s="449"/>
      <c r="Y525" s="449"/>
      <c r="Z525" s="449"/>
      <c r="AA525" s="449"/>
      <c r="AB525" s="449"/>
    </row>
    <row r="526">
      <c r="A526" s="337"/>
      <c r="B526" s="338"/>
      <c r="C526" s="338"/>
      <c r="D526" s="338"/>
      <c r="E526" s="338"/>
      <c r="F526" s="337"/>
      <c r="G526" s="449"/>
      <c r="H526" s="449"/>
      <c r="I526" s="449"/>
      <c r="J526" s="449"/>
      <c r="K526" s="449"/>
      <c r="L526" s="449"/>
      <c r="M526" s="449"/>
      <c r="N526" s="449"/>
      <c r="O526" s="449"/>
      <c r="P526" s="449"/>
      <c r="Q526" s="449"/>
      <c r="R526" s="449"/>
      <c r="S526" s="449"/>
      <c r="T526" s="449"/>
      <c r="U526" s="449"/>
      <c r="V526" s="449"/>
      <c r="W526" s="449"/>
      <c r="X526" s="449"/>
      <c r="Y526" s="449"/>
      <c r="Z526" s="449"/>
      <c r="AA526" s="449"/>
      <c r="AB526" s="449"/>
    </row>
    <row r="527">
      <c r="A527" s="337"/>
      <c r="B527" s="338"/>
      <c r="C527" s="338"/>
      <c r="D527" s="338"/>
      <c r="E527" s="338"/>
      <c r="F527" s="337"/>
      <c r="G527" s="449"/>
      <c r="H527" s="449"/>
      <c r="I527" s="449"/>
      <c r="J527" s="449"/>
      <c r="K527" s="449"/>
      <c r="L527" s="449"/>
      <c r="M527" s="449"/>
      <c r="N527" s="449"/>
      <c r="O527" s="449"/>
      <c r="P527" s="449"/>
      <c r="Q527" s="449"/>
      <c r="R527" s="449"/>
      <c r="S527" s="449"/>
      <c r="T527" s="449"/>
      <c r="U527" s="449"/>
      <c r="V527" s="449"/>
      <c r="W527" s="449"/>
      <c r="X527" s="449"/>
      <c r="Y527" s="449"/>
      <c r="Z527" s="449"/>
      <c r="AA527" s="449"/>
      <c r="AB527" s="449"/>
    </row>
    <row r="528">
      <c r="A528" s="337"/>
      <c r="B528" s="338"/>
      <c r="C528" s="338"/>
      <c r="D528" s="338"/>
      <c r="E528" s="338"/>
      <c r="F528" s="337"/>
      <c r="G528" s="449"/>
      <c r="H528" s="449"/>
      <c r="I528" s="449"/>
      <c r="J528" s="449"/>
      <c r="K528" s="449"/>
      <c r="L528" s="449"/>
      <c r="M528" s="449"/>
      <c r="N528" s="449"/>
      <c r="O528" s="449"/>
      <c r="P528" s="449"/>
      <c r="Q528" s="449"/>
      <c r="R528" s="449"/>
      <c r="S528" s="449"/>
      <c r="T528" s="449"/>
      <c r="U528" s="449"/>
      <c r="V528" s="449"/>
      <c r="W528" s="449"/>
      <c r="X528" s="449"/>
      <c r="Y528" s="449"/>
      <c r="Z528" s="449"/>
      <c r="AA528" s="449"/>
      <c r="AB528" s="449"/>
    </row>
    <row r="529">
      <c r="A529" s="337"/>
      <c r="B529" s="338"/>
      <c r="C529" s="338"/>
      <c r="D529" s="338"/>
      <c r="E529" s="338"/>
      <c r="F529" s="337"/>
      <c r="G529" s="449"/>
      <c r="H529" s="449"/>
      <c r="I529" s="449"/>
      <c r="J529" s="449"/>
      <c r="K529" s="449"/>
      <c r="L529" s="449"/>
      <c r="M529" s="449"/>
      <c r="N529" s="449"/>
      <c r="O529" s="449"/>
      <c r="P529" s="449"/>
      <c r="Q529" s="449"/>
      <c r="R529" s="449"/>
      <c r="S529" s="449"/>
      <c r="T529" s="449"/>
      <c r="U529" s="449"/>
      <c r="V529" s="449"/>
      <c r="W529" s="449"/>
      <c r="X529" s="449"/>
      <c r="Y529" s="449"/>
      <c r="Z529" s="449"/>
      <c r="AA529" s="449"/>
      <c r="AB529" s="449"/>
    </row>
    <row r="530">
      <c r="A530" s="337"/>
      <c r="B530" s="338"/>
      <c r="C530" s="338"/>
      <c r="D530" s="338"/>
      <c r="E530" s="338"/>
      <c r="F530" s="337"/>
      <c r="G530" s="449"/>
      <c r="H530" s="449"/>
      <c r="I530" s="449"/>
      <c r="J530" s="449"/>
      <c r="K530" s="449"/>
      <c r="L530" s="449"/>
      <c r="M530" s="449"/>
      <c r="N530" s="449"/>
      <c r="O530" s="449"/>
      <c r="P530" s="449"/>
      <c r="Q530" s="449"/>
      <c r="R530" s="449"/>
      <c r="S530" s="449"/>
      <c r="T530" s="449"/>
      <c r="U530" s="449"/>
      <c r="V530" s="449"/>
      <c r="W530" s="449"/>
      <c r="X530" s="449"/>
      <c r="Y530" s="449"/>
      <c r="Z530" s="449"/>
      <c r="AA530" s="449"/>
      <c r="AB530" s="449"/>
    </row>
    <row r="531">
      <c r="A531" s="337"/>
      <c r="B531" s="338"/>
      <c r="C531" s="338"/>
      <c r="D531" s="338"/>
      <c r="E531" s="338"/>
      <c r="F531" s="337"/>
      <c r="G531" s="449"/>
      <c r="H531" s="449"/>
      <c r="I531" s="449"/>
      <c r="J531" s="449"/>
      <c r="K531" s="449"/>
      <c r="L531" s="449"/>
      <c r="M531" s="449"/>
      <c r="N531" s="449"/>
      <c r="O531" s="449"/>
      <c r="P531" s="449"/>
      <c r="Q531" s="449"/>
      <c r="R531" s="449"/>
      <c r="S531" s="449"/>
      <c r="T531" s="449"/>
      <c r="U531" s="449"/>
      <c r="V531" s="449"/>
      <c r="W531" s="449"/>
      <c r="X531" s="449"/>
      <c r="Y531" s="449"/>
      <c r="Z531" s="449"/>
      <c r="AA531" s="449"/>
      <c r="AB531" s="449"/>
    </row>
    <row r="532">
      <c r="A532" s="337"/>
      <c r="B532" s="338"/>
      <c r="C532" s="338"/>
      <c r="D532" s="338"/>
      <c r="E532" s="338"/>
      <c r="F532" s="337"/>
      <c r="G532" s="449"/>
      <c r="H532" s="449"/>
      <c r="I532" s="449"/>
      <c r="J532" s="449"/>
      <c r="K532" s="449"/>
      <c r="L532" s="449"/>
      <c r="M532" s="449"/>
      <c r="N532" s="449"/>
      <c r="O532" s="449"/>
      <c r="P532" s="449"/>
      <c r="Q532" s="449"/>
      <c r="R532" s="449"/>
      <c r="S532" s="449"/>
      <c r="T532" s="449"/>
      <c r="U532" s="449"/>
      <c r="V532" s="449"/>
      <c r="W532" s="449"/>
      <c r="X532" s="449"/>
      <c r="Y532" s="449"/>
      <c r="Z532" s="449"/>
      <c r="AA532" s="449"/>
      <c r="AB532" s="449"/>
    </row>
    <row r="533">
      <c r="A533" s="337"/>
      <c r="B533" s="338"/>
      <c r="C533" s="338"/>
      <c r="D533" s="338"/>
      <c r="E533" s="338"/>
      <c r="F533" s="337"/>
      <c r="G533" s="449"/>
      <c r="H533" s="449"/>
      <c r="I533" s="449"/>
      <c r="J533" s="449"/>
      <c r="K533" s="449"/>
      <c r="L533" s="449"/>
      <c r="M533" s="449"/>
      <c r="N533" s="449"/>
      <c r="O533" s="449"/>
      <c r="P533" s="449"/>
      <c r="Q533" s="449"/>
      <c r="R533" s="449"/>
      <c r="S533" s="449"/>
      <c r="T533" s="449"/>
      <c r="U533" s="449"/>
      <c r="V533" s="449"/>
      <c r="W533" s="449"/>
      <c r="X533" s="449"/>
      <c r="Y533" s="449"/>
      <c r="Z533" s="449"/>
      <c r="AA533" s="449"/>
      <c r="AB533" s="449"/>
    </row>
    <row r="534">
      <c r="A534" s="337"/>
      <c r="B534" s="338"/>
      <c r="C534" s="338"/>
      <c r="D534" s="338"/>
      <c r="E534" s="338"/>
      <c r="F534" s="337"/>
      <c r="G534" s="449"/>
      <c r="H534" s="449"/>
      <c r="I534" s="449"/>
      <c r="J534" s="449"/>
      <c r="K534" s="449"/>
      <c r="L534" s="449"/>
      <c r="M534" s="449"/>
      <c r="N534" s="449"/>
      <c r="O534" s="449"/>
      <c r="P534" s="449"/>
      <c r="Q534" s="449"/>
      <c r="R534" s="449"/>
      <c r="S534" s="449"/>
      <c r="T534" s="449"/>
      <c r="U534" s="449"/>
      <c r="V534" s="449"/>
      <c r="W534" s="449"/>
      <c r="X534" s="449"/>
      <c r="Y534" s="449"/>
      <c r="Z534" s="449"/>
      <c r="AA534" s="449"/>
      <c r="AB534" s="449"/>
    </row>
    <row r="535">
      <c r="A535" s="337"/>
      <c r="B535" s="338"/>
      <c r="C535" s="338"/>
      <c r="D535" s="338"/>
      <c r="E535" s="338"/>
      <c r="F535" s="337"/>
      <c r="G535" s="449"/>
      <c r="H535" s="449"/>
      <c r="I535" s="449"/>
      <c r="J535" s="449"/>
      <c r="K535" s="449"/>
      <c r="L535" s="449"/>
      <c r="M535" s="449"/>
      <c r="N535" s="449"/>
      <c r="O535" s="449"/>
      <c r="P535" s="449"/>
      <c r="Q535" s="449"/>
      <c r="R535" s="449"/>
      <c r="S535" s="449"/>
      <c r="T535" s="449"/>
      <c r="U535" s="449"/>
      <c r="V535" s="449"/>
      <c r="W535" s="449"/>
      <c r="X535" s="449"/>
      <c r="Y535" s="449"/>
      <c r="Z535" s="449"/>
      <c r="AA535" s="449"/>
      <c r="AB535" s="449"/>
    </row>
    <row r="536">
      <c r="A536" s="337"/>
      <c r="B536" s="338"/>
      <c r="C536" s="338"/>
      <c r="D536" s="338"/>
      <c r="E536" s="338"/>
      <c r="F536" s="337"/>
      <c r="G536" s="449"/>
      <c r="H536" s="449"/>
      <c r="I536" s="449"/>
      <c r="J536" s="449"/>
      <c r="K536" s="449"/>
      <c r="L536" s="449"/>
      <c r="M536" s="449"/>
      <c r="N536" s="449"/>
      <c r="O536" s="449"/>
      <c r="P536" s="449"/>
      <c r="Q536" s="449"/>
      <c r="R536" s="449"/>
      <c r="S536" s="449"/>
      <c r="T536" s="449"/>
      <c r="U536" s="449"/>
      <c r="V536" s="449"/>
      <c r="W536" s="449"/>
      <c r="X536" s="449"/>
      <c r="Y536" s="449"/>
      <c r="Z536" s="449"/>
      <c r="AA536" s="449"/>
      <c r="AB536" s="449"/>
    </row>
    <row r="537">
      <c r="A537" s="337"/>
      <c r="B537" s="338"/>
      <c r="C537" s="338"/>
      <c r="D537" s="338"/>
      <c r="E537" s="338"/>
      <c r="F537" s="337"/>
      <c r="G537" s="449"/>
      <c r="H537" s="449"/>
      <c r="I537" s="449"/>
      <c r="J537" s="449"/>
      <c r="K537" s="449"/>
      <c r="L537" s="449"/>
      <c r="M537" s="449"/>
      <c r="N537" s="449"/>
      <c r="O537" s="449"/>
      <c r="P537" s="449"/>
      <c r="Q537" s="449"/>
      <c r="R537" s="449"/>
      <c r="S537" s="449"/>
      <c r="T537" s="449"/>
      <c r="U537" s="449"/>
      <c r="V537" s="449"/>
      <c r="W537" s="449"/>
      <c r="X537" s="449"/>
      <c r="Y537" s="449"/>
      <c r="Z537" s="449"/>
      <c r="AA537" s="449"/>
      <c r="AB537" s="449"/>
    </row>
    <row r="538">
      <c r="A538" s="337"/>
      <c r="B538" s="338"/>
      <c r="C538" s="338"/>
      <c r="D538" s="338"/>
      <c r="E538" s="338"/>
      <c r="F538" s="337"/>
      <c r="G538" s="449"/>
      <c r="H538" s="449"/>
      <c r="I538" s="449"/>
      <c r="J538" s="449"/>
      <c r="K538" s="449"/>
      <c r="L538" s="449"/>
      <c r="M538" s="449"/>
      <c r="N538" s="449"/>
      <c r="O538" s="449"/>
      <c r="P538" s="449"/>
      <c r="Q538" s="449"/>
      <c r="R538" s="449"/>
      <c r="S538" s="449"/>
      <c r="T538" s="449"/>
      <c r="U538" s="449"/>
      <c r="V538" s="449"/>
      <c r="W538" s="449"/>
      <c r="X538" s="449"/>
      <c r="Y538" s="449"/>
      <c r="Z538" s="449"/>
      <c r="AA538" s="449"/>
      <c r="AB538" s="449"/>
    </row>
    <row r="539">
      <c r="A539" s="337"/>
      <c r="B539" s="338"/>
      <c r="C539" s="338"/>
      <c r="D539" s="338"/>
      <c r="E539" s="338"/>
      <c r="F539" s="337"/>
      <c r="G539" s="449"/>
      <c r="H539" s="449"/>
      <c r="I539" s="449"/>
      <c r="J539" s="449"/>
      <c r="K539" s="449"/>
      <c r="L539" s="449"/>
      <c r="M539" s="449"/>
      <c r="N539" s="449"/>
      <c r="O539" s="449"/>
      <c r="P539" s="449"/>
      <c r="Q539" s="449"/>
      <c r="R539" s="449"/>
      <c r="S539" s="449"/>
      <c r="T539" s="449"/>
      <c r="U539" s="449"/>
      <c r="V539" s="449"/>
      <c r="W539" s="449"/>
      <c r="X539" s="449"/>
      <c r="Y539" s="449"/>
      <c r="Z539" s="449"/>
      <c r="AA539" s="449"/>
      <c r="AB539" s="449"/>
    </row>
    <row r="540">
      <c r="A540" s="337"/>
      <c r="B540" s="338"/>
      <c r="C540" s="338"/>
      <c r="D540" s="338"/>
      <c r="E540" s="338"/>
      <c r="F540" s="337"/>
      <c r="G540" s="449"/>
      <c r="H540" s="449"/>
      <c r="I540" s="449"/>
      <c r="J540" s="449"/>
      <c r="K540" s="449"/>
      <c r="L540" s="449"/>
      <c r="M540" s="449"/>
      <c r="N540" s="449"/>
      <c r="O540" s="449"/>
      <c r="P540" s="449"/>
      <c r="Q540" s="449"/>
      <c r="R540" s="449"/>
      <c r="S540" s="449"/>
      <c r="T540" s="449"/>
      <c r="U540" s="449"/>
      <c r="V540" s="449"/>
      <c r="W540" s="449"/>
      <c r="X540" s="449"/>
      <c r="Y540" s="449"/>
      <c r="Z540" s="449"/>
      <c r="AA540" s="449"/>
      <c r="AB540" s="449"/>
    </row>
    <row r="541">
      <c r="A541" s="337"/>
      <c r="B541" s="338"/>
      <c r="C541" s="338"/>
      <c r="D541" s="338"/>
      <c r="E541" s="338"/>
      <c r="F541" s="337"/>
      <c r="G541" s="449"/>
      <c r="H541" s="449"/>
      <c r="I541" s="449"/>
      <c r="J541" s="449"/>
      <c r="K541" s="449"/>
      <c r="L541" s="449"/>
      <c r="M541" s="449"/>
      <c r="N541" s="449"/>
      <c r="O541" s="449"/>
      <c r="P541" s="449"/>
      <c r="Q541" s="449"/>
      <c r="R541" s="449"/>
      <c r="S541" s="449"/>
      <c r="T541" s="449"/>
      <c r="U541" s="449"/>
      <c r="V541" s="449"/>
      <c r="W541" s="449"/>
      <c r="X541" s="449"/>
      <c r="Y541" s="449"/>
      <c r="Z541" s="449"/>
      <c r="AA541" s="449"/>
      <c r="AB541" s="449"/>
    </row>
    <row r="542">
      <c r="A542" s="337"/>
      <c r="B542" s="338"/>
      <c r="C542" s="338"/>
      <c r="D542" s="338"/>
      <c r="E542" s="338"/>
      <c r="F542" s="337"/>
      <c r="G542" s="449"/>
      <c r="H542" s="449"/>
      <c r="I542" s="449"/>
      <c r="J542" s="449"/>
      <c r="K542" s="449"/>
      <c r="L542" s="449"/>
      <c r="M542" s="449"/>
      <c r="N542" s="449"/>
      <c r="O542" s="449"/>
      <c r="P542" s="449"/>
      <c r="Q542" s="449"/>
      <c r="R542" s="449"/>
      <c r="S542" s="449"/>
      <c r="T542" s="449"/>
      <c r="U542" s="449"/>
      <c r="V542" s="449"/>
      <c r="W542" s="449"/>
      <c r="X542" s="449"/>
      <c r="Y542" s="449"/>
      <c r="Z542" s="449"/>
      <c r="AA542" s="449"/>
      <c r="AB542" s="449"/>
    </row>
    <row r="543">
      <c r="A543" s="337"/>
      <c r="B543" s="338"/>
      <c r="C543" s="338"/>
      <c r="D543" s="338"/>
      <c r="E543" s="338"/>
      <c r="F543" s="337"/>
      <c r="G543" s="449"/>
      <c r="H543" s="449"/>
      <c r="I543" s="449"/>
      <c r="J543" s="449"/>
      <c r="K543" s="449"/>
      <c r="L543" s="449"/>
      <c r="M543" s="449"/>
      <c r="N543" s="449"/>
      <c r="O543" s="449"/>
      <c r="P543" s="449"/>
      <c r="Q543" s="449"/>
      <c r="R543" s="449"/>
      <c r="S543" s="449"/>
      <c r="T543" s="449"/>
      <c r="U543" s="449"/>
      <c r="V543" s="449"/>
      <c r="W543" s="449"/>
      <c r="X543" s="449"/>
      <c r="Y543" s="449"/>
      <c r="Z543" s="449"/>
      <c r="AA543" s="449"/>
      <c r="AB543" s="449"/>
    </row>
    <row r="544">
      <c r="A544" s="337"/>
      <c r="B544" s="338"/>
      <c r="C544" s="338"/>
      <c r="D544" s="338"/>
      <c r="E544" s="338"/>
      <c r="F544" s="337"/>
      <c r="G544" s="449"/>
      <c r="H544" s="449"/>
      <c r="I544" s="449"/>
      <c r="J544" s="449"/>
      <c r="K544" s="449"/>
      <c r="L544" s="449"/>
      <c r="M544" s="449"/>
      <c r="N544" s="449"/>
      <c r="O544" s="449"/>
      <c r="P544" s="449"/>
      <c r="Q544" s="449"/>
      <c r="R544" s="449"/>
      <c r="S544" s="449"/>
      <c r="T544" s="449"/>
      <c r="U544" s="449"/>
      <c r="V544" s="449"/>
      <c r="W544" s="449"/>
      <c r="X544" s="449"/>
      <c r="Y544" s="449"/>
      <c r="Z544" s="449"/>
      <c r="AA544" s="449"/>
      <c r="AB544" s="449"/>
    </row>
    <row r="545">
      <c r="A545" s="337"/>
      <c r="B545" s="338"/>
      <c r="C545" s="338"/>
      <c r="D545" s="338"/>
      <c r="E545" s="338"/>
      <c r="F545" s="337"/>
      <c r="G545" s="449"/>
      <c r="H545" s="449"/>
      <c r="I545" s="449"/>
      <c r="J545" s="449"/>
      <c r="K545" s="449"/>
      <c r="L545" s="449"/>
      <c r="M545" s="449"/>
      <c r="N545" s="449"/>
      <c r="O545" s="449"/>
      <c r="P545" s="449"/>
      <c r="Q545" s="449"/>
      <c r="R545" s="449"/>
      <c r="S545" s="449"/>
      <c r="T545" s="449"/>
      <c r="U545" s="449"/>
      <c r="V545" s="449"/>
      <c r="W545" s="449"/>
      <c r="X545" s="449"/>
      <c r="Y545" s="449"/>
      <c r="Z545" s="449"/>
      <c r="AA545" s="449"/>
      <c r="AB545" s="449"/>
    </row>
    <row r="546">
      <c r="A546" s="337"/>
      <c r="B546" s="338"/>
      <c r="C546" s="338"/>
      <c r="D546" s="338"/>
      <c r="E546" s="338"/>
      <c r="F546" s="337"/>
      <c r="G546" s="449"/>
      <c r="H546" s="449"/>
      <c r="I546" s="449"/>
      <c r="J546" s="449"/>
      <c r="K546" s="449"/>
      <c r="L546" s="449"/>
      <c r="M546" s="449"/>
      <c r="N546" s="449"/>
      <c r="O546" s="449"/>
      <c r="P546" s="449"/>
      <c r="Q546" s="449"/>
      <c r="R546" s="449"/>
      <c r="S546" s="449"/>
      <c r="T546" s="449"/>
      <c r="U546" s="449"/>
      <c r="V546" s="449"/>
      <c r="W546" s="449"/>
      <c r="X546" s="449"/>
      <c r="Y546" s="449"/>
      <c r="Z546" s="449"/>
      <c r="AA546" s="449"/>
      <c r="AB546" s="449"/>
    </row>
    <row r="547">
      <c r="A547" s="337"/>
      <c r="B547" s="338"/>
      <c r="C547" s="338"/>
      <c r="D547" s="338"/>
      <c r="E547" s="338"/>
      <c r="F547" s="337"/>
      <c r="G547" s="449"/>
      <c r="H547" s="449"/>
      <c r="I547" s="449"/>
      <c r="J547" s="449"/>
      <c r="K547" s="449"/>
      <c r="L547" s="449"/>
      <c r="M547" s="449"/>
      <c r="N547" s="449"/>
      <c r="O547" s="449"/>
      <c r="P547" s="449"/>
      <c r="Q547" s="449"/>
      <c r="R547" s="449"/>
      <c r="S547" s="449"/>
      <c r="T547" s="449"/>
      <c r="U547" s="449"/>
      <c r="V547" s="449"/>
      <c r="W547" s="449"/>
      <c r="X547" s="449"/>
      <c r="Y547" s="449"/>
      <c r="Z547" s="449"/>
      <c r="AA547" s="449"/>
      <c r="AB547" s="449"/>
    </row>
    <row r="548">
      <c r="A548" s="337"/>
      <c r="B548" s="338"/>
      <c r="C548" s="338"/>
      <c r="D548" s="338"/>
      <c r="E548" s="338"/>
      <c r="F548" s="337"/>
      <c r="G548" s="449"/>
      <c r="H548" s="449"/>
      <c r="I548" s="449"/>
      <c r="J548" s="449"/>
      <c r="K548" s="449"/>
      <c r="L548" s="449"/>
      <c r="M548" s="449"/>
      <c r="N548" s="449"/>
      <c r="O548" s="449"/>
      <c r="P548" s="449"/>
      <c r="Q548" s="449"/>
      <c r="R548" s="449"/>
      <c r="S548" s="449"/>
      <c r="T548" s="449"/>
      <c r="U548" s="449"/>
      <c r="V548" s="449"/>
      <c r="W548" s="449"/>
      <c r="X548" s="449"/>
      <c r="Y548" s="449"/>
      <c r="Z548" s="449"/>
      <c r="AA548" s="449"/>
      <c r="AB548" s="449"/>
    </row>
    <row r="549">
      <c r="A549" s="337"/>
      <c r="B549" s="338"/>
      <c r="C549" s="338"/>
      <c r="D549" s="338"/>
      <c r="E549" s="338"/>
      <c r="F549" s="337"/>
      <c r="G549" s="449"/>
      <c r="H549" s="449"/>
      <c r="I549" s="449"/>
      <c r="J549" s="449"/>
      <c r="K549" s="449"/>
      <c r="L549" s="449"/>
      <c r="M549" s="449"/>
      <c r="N549" s="449"/>
      <c r="O549" s="449"/>
      <c r="P549" s="449"/>
      <c r="Q549" s="449"/>
      <c r="R549" s="449"/>
      <c r="S549" s="449"/>
      <c r="T549" s="449"/>
      <c r="U549" s="449"/>
      <c r="V549" s="449"/>
      <c r="W549" s="449"/>
      <c r="X549" s="449"/>
      <c r="Y549" s="449"/>
      <c r="Z549" s="449"/>
      <c r="AA549" s="449"/>
      <c r="AB549" s="449"/>
    </row>
    <row r="550">
      <c r="A550" s="337"/>
      <c r="B550" s="338"/>
      <c r="C550" s="338"/>
      <c r="D550" s="338"/>
      <c r="E550" s="338"/>
      <c r="F550" s="337"/>
      <c r="G550" s="449"/>
      <c r="H550" s="449"/>
      <c r="I550" s="449"/>
      <c r="J550" s="449"/>
      <c r="K550" s="449"/>
      <c r="L550" s="449"/>
      <c r="M550" s="449"/>
      <c r="N550" s="449"/>
      <c r="O550" s="449"/>
      <c r="P550" s="449"/>
      <c r="Q550" s="449"/>
      <c r="R550" s="449"/>
      <c r="S550" s="449"/>
      <c r="T550" s="449"/>
      <c r="U550" s="449"/>
      <c r="V550" s="449"/>
      <c r="W550" s="449"/>
      <c r="X550" s="449"/>
      <c r="Y550" s="449"/>
      <c r="Z550" s="449"/>
      <c r="AA550" s="449"/>
      <c r="AB550" s="449"/>
    </row>
    <row r="551">
      <c r="A551" s="337"/>
      <c r="B551" s="338"/>
      <c r="C551" s="338"/>
      <c r="D551" s="338"/>
      <c r="E551" s="338"/>
      <c r="F551" s="337"/>
      <c r="G551" s="449"/>
      <c r="H551" s="449"/>
      <c r="I551" s="449"/>
      <c r="J551" s="449"/>
      <c r="K551" s="449"/>
      <c r="L551" s="449"/>
      <c r="M551" s="449"/>
      <c r="N551" s="449"/>
      <c r="O551" s="449"/>
      <c r="P551" s="449"/>
      <c r="Q551" s="449"/>
      <c r="R551" s="449"/>
      <c r="S551" s="449"/>
      <c r="T551" s="449"/>
      <c r="U551" s="449"/>
      <c r="V551" s="449"/>
      <c r="W551" s="449"/>
      <c r="X551" s="449"/>
      <c r="Y551" s="449"/>
      <c r="Z551" s="449"/>
      <c r="AA551" s="449"/>
      <c r="AB551" s="449"/>
    </row>
    <row r="552">
      <c r="A552" s="337"/>
      <c r="B552" s="338"/>
      <c r="C552" s="338"/>
      <c r="D552" s="338"/>
      <c r="E552" s="338"/>
      <c r="F552" s="337"/>
      <c r="G552" s="449"/>
      <c r="H552" s="449"/>
      <c r="I552" s="449"/>
      <c r="J552" s="449"/>
      <c r="K552" s="449"/>
      <c r="L552" s="449"/>
      <c r="M552" s="449"/>
      <c r="N552" s="449"/>
      <c r="O552" s="449"/>
      <c r="P552" s="449"/>
      <c r="Q552" s="449"/>
      <c r="R552" s="449"/>
      <c r="S552" s="449"/>
      <c r="T552" s="449"/>
      <c r="U552" s="449"/>
      <c r="V552" s="449"/>
      <c r="W552" s="449"/>
      <c r="X552" s="449"/>
      <c r="Y552" s="449"/>
      <c r="Z552" s="449"/>
      <c r="AA552" s="449"/>
      <c r="AB552" s="449"/>
    </row>
    <row r="553">
      <c r="A553" s="337"/>
      <c r="B553" s="338"/>
      <c r="C553" s="338"/>
      <c r="D553" s="338"/>
      <c r="E553" s="338"/>
      <c r="F553" s="337"/>
      <c r="G553" s="449"/>
      <c r="H553" s="449"/>
      <c r="I553" s="449"/>
      <c r="J553" s="449"/>
      <c r="K553" s="449"/>
      <c r="L553" s="449"/>
      <c r="M553" s="449"/>
      <c r="N553" s="449"/>
      <c r="O553" s="449"/>
      <c r="P553" s="449"/>
      <c r="Q553" s="449"/>
      <c r="R553" s="449"/>
      <c r="S553" s="449"/>
      <c r="T553" s="449"/>
      <c r="U553" s="449"/>
      <c r="V553" s="449"/>
      <c r="W553" s="449"/>
      <c r="X553" s="449"/>
      <c r="Y553" s="449"/>
      <c r="Z553" s="449"/>
      <c r="AA553" s="449"/>
      <c r="AB553" s="449"/>
    </row>
    <row r="554">
      <c r="A554" s="337"/>
      <c r="B554" s="338"/>
      <c r="C554" s="338"/>
      <c r="D554" s="338"/>
      <c r="E554" s="338"/>
      <c r="F554" s="337"/>
      <c r="G554" s="449"/>
      <c r="H554" s="449"/>
      <c r="I554" s="449"/>
      <c r="J554" s="449"/>
      <c r="K554" s="449"/>
      <c r="L554" s="449"/>
      <c r="M554" s="449"/>
      <c r="N554" s="449"/>
      <c r="O554" s="449"/>
      <c r="P554" s="449"/>
      <c r="Q554" s="449"/>
      <c r="R554" s="449"/>
      <c r="S554" s="449"/>
      <c r="T554" s="449"/>
      <c r="U554" s="449"/>
      <c r="V554" s="449"/>
      <c r="W554" s="449"/>
      <c r="X554" s="449"/>
      <c r="Y554" s="449"/>
      <c r="Z554" s="449"/>
      <c r="AA554" s="449"/>
      <c r="AB554" s="449"/>
    </row>
    <row r="555">
      <c r="A555" s="337"/>
      <c r="B555" s="338"/>
      <c r="C555" s="338"/>
      <c r="D555" s="338"/>
      <c r="E555" s="338"/>
      <c r="F555" s="337"/>
      <c r="G555" s="449"/>
      <c r="H555" s="449"/>
      <c r="I555" s="449"/>
      <c r="J555" s="449"/>
      <c r="K555" s="449"/>
      <c r="L555" s="449"/>
      <c r="M555" s="449"/>
      <c r="N555" s="449"/>
      <c r="O555" s="449"/>
      <c r="P555" s="449"/>
      <c r="Q555" s="449"/>
      <c r="R555" s="449"/>
      <c r="S555" s="449"/>
      <c r="T555" s="449"/>
      <c r="U555" s="449"/>
      <c r="V555" s="449"/>
      <c r="W555" s="449"/>
      <c r="X555" s="449"/>
      <c r="Y555" s="449"/>
      <c r="Z555" s="449"/>
      <c r="AA555" s="449"/>
      <c r="AB555" s="449"/>
    </row>
    <row r="556">
      <c r="A556" s="337"/>
      <c r="B556" s="338"/>
      <c r="C556" s="338"/>
      <c r="D556" s="338"/>
      <c r="E556" s="338"/>
      <c r="F556" s="337"/>
      <c r="G556" s="449"/>
      <c r="H556" s="449"/>
      <c r="I556" s="449"/>
      <c r="J556" s="449"/>
      <c r="K556" s="449"/>
      <c r="L556" s="449"/>
      <c r="M556" s="449"/>
      <c r="N556" s="449"/>
      <c r="O556" s="449"/>
      <c r="P556" s="449"/>
      <c r="Q556" s="449"/>
      <c r="R556" s="449"/>
      <c r="S556" s="449"/>
      <c r="T556" s="449"/>
      <c r="U556" s="449"/>
      <c r="V556" s="449"/>
      <c r="W556" s="449"/>
      <c r="X556" s="449"/>
      <c r="Y556" s="449"/>
      <c r="Z556" s="449"/>
      <c r="AA556" s="449"/>
      <c r="AB556" s="449"/>
    </row>
    <row r="557">
      <c r="A557" s="337"/>
      <c r="B557" s="338"/>
      <c r="C557" s="338"/>
      <c r="D557" s="338"/>
      <c r="E557" s="338"/>
      <c r="F557" s="337"/>
      <c r="G557" s="449"/>
      <c r="H557" s="449"/>
      <c r="I557" s="449"/>
      <c r="J557" s="449"/>
      <c r="K557" s="449"/>
      <c r="L557" s="449"/>
      <c r="M557" s="449"/>
      <c r="N557" s="449"/>
      <c r="O557" s="449"/>
      <c r="P557" s="449"/>
      <c r="Q557" s="449"/>
      <c r="R557" s="449"/>
      <c r="S557" s="449"/>
      <c r="T557" s="449"/>
      <c r="U557" s="449"/>
      <c r="V557" s="449"/>
      <c r="W557" s="449"/>
      <c r="X557" s="449"/>
      <c r="Y557" s="449"/>
      <c r="Z557" s="449"/>
      <c r="AA557" s="449"/>
      <c r="AB557" s="449"/>
    </row>
    <row r="558">
      <c r="A558" s="337"/>
      <c r="B558" s="338"/>
      <c r="C558" s="338"/>
      <c r="D558" s="338"/>
      <c r="E558" s="338"/>
      <c r="F558" s="337"/>
      <c r="G558" s="449"/>
      <c r="H558" s="449"/>
      <c r="I558" s="449"/>
      <c r="J558" s="449"/>
      <c r="K558" s="449"/>
      <c r="L558" s="449"/>
      <c r="M558" s="449"/>
      <c r="N558" s="449"/>
      <c r="O558" s="449"/>
      <c r="P558" s="449"/>
      <c r="Q558" s="449"/>
      <c r="R558" s="449"/>
      <c r="S558" s="449"/>
      <c r="T558" s="449"/>
      <c r="U558" s="449"/>
      <c r="V558" s="449"/>
      <c r="W558" s="449"/>
      <c r="X558" s="449"/>
      <c r="Y558" s="449"/>
      <c r="Z558" s="449"/>
      <c r="AA558" s="449"/>
      <c r="AB558" s="449"/>
    </row>
    <row r="559">
      <c r="A559" s="337"/>
      <c r="B559" s="338"/>
      <c r="C559" s="338"/>
      <c r="D559" s="338"/>
      <c r="E559" s="338"/>
      <c r="F559" s="337"/>
      <c r="G559" s="449"/>
      <c r="H559" s="449"/>
      <c r="I559" s="449"/>
      <c r="J559" s="449"/>
      <c r="K559" s="449"/>
      <c r="L559" s="449"/>
      <c r="M559" s="449"/>
      <c r="N559" s="449"/>
      <c r="O559" s="449"/>
      <c r="P559" s="449"/>
      <c r="Q559" s="449"/>
      <c r="R559" s="449"/>
      <c r="S559" s="449"/>
      <c r="T559" s="449"/>
      <c r="U559" s="449"/>
      <c r="V559" s="449"/>
      <c r="W559" s="449"/>
      <c r="X559" s="449"/>
      <c r="Y559" s="449"/>
      <c r="Z559" s="449"/>
      <c r="AA559" s="449"/>
      <c r="AB559" s="449"/>
    </row>
    <row r="560">
      <c r="A560" s="337"/>
      <c r="B560" s="338"/>
      <c r="C560" s="338"/>
      <c r="D560" s="338"/>
      <c r="E560" s="338"/>
      <c r="F560" s="337"/>
      <c r="G560" s="449"/>
      <c r="H560" s="449"/>
      <c r="I560" s="449"/>
      <c r="J560" s="449"/>
      <c r="K560" s="449"/>
      <c r="L560" s="449"/>
      <c r="M560" s="449"/>
      <c r="N560" s="449"/>
      <c r="O560" s="449"/>
      <c r="P560" s="449"/>
      <c r="Q560" s="449"/>
      <c r="R560" s="449"/>
      <c r="S560" s="449"/>
      <c r="T560" s="449"/>
      <c r="U560" s="449"/>
      <c r="V560" s="449"/>
      <c r="W560" s="449"/>
      <c r="X560" s="449"/>
      <c r="Y560" s="449"/>
      <c r="Z560" s="449"/>
      <c r="AA560" s="449"/>
      <c r="AB560" s="449"/>
    </row>
    <row r="561">
      <c r="A561" s="337"/>
      <c r="B561" s="338"/>
      <c r="C561" s="338"/>
      <c r="D561" s="338"/>
      <c r="E561" s="338"/>
      <c r="F561" s="337"/>
      <c r="G561" s="449"/>
      <c r="H561" s="449"/>
      <c r="I561" s="449"/>
      <c r="J561" s="449"/>
      <c r="K561" s="449"/>
      <c r="L561" s="449"/>
      <c r="M561" s="449"/>
      <c r="N561" s="449"/>
      <c r="O561" s="449"/>
      <c r="P561" s="449"/>
      <c r="Q561" s="449"/>
      <c r="R561" s="449"/>
      <c r="S561" s="449"/>
      <c r="T561" s="449"/>
      <c r="U561" s="449"/>
      <c r="V561" s="449"/>
      <c r="W561" s="449"/>
      <c r="X561" s="449"/>
      <c r="Y561" s="449"/>
      <c r="Z561" s="449"/>
      <c r="AA561" s="449"/>
      <c r="AB561" s="449"/>
    </row>
    <row r="562">
      <c r="A562" s="337"/>
      <c r="B562" s="338"/>
      <c r="C562" s="338"/>
      <c r="D562" s="338"/>
      <c r="E562" s="338"/>
      <c r="F562" s="337"/>
      <c r="G562" s="449"/>
      <c r="H562" s="449"/>
      <c r="I562" s="449"/>
      <c r="J562" s="449"/>
      <c r="K562" s="449"/>
      <c r="L562" s="449"/>
      <c r="M562" s="449"/>
      <c r="N562" s="449"/>
      <c r="O562" s="449"/>
      <c r="P562" s="449"/>
      <c r="Q562" s="449"/>
      <c r="R562" s="449"/>
      <c r="S562" s="449"/>
      <c r="T562" s="449"/>
      <c r="U562" s="449"/>
      <c r="V562" s="449"/>
      <c r="W562" s="449"/>
      <c r="X562" s="449"/>
      <c r="Y562" s="449"/>
      <c r="Z562" s="449"/>
      <c r="AA562" s="449"/>
      <c r="AB562" s="449"/>
    </row>
    <row r="563">
      <c r="A563" s="337"/>
      <c r="B563" s="338"/>
      <c r="C563" s="338"/>
      <c r="D563" s="338"/>
      <c r="E563" s="338"/>
      <c r="F563" s="337"/>
      <c r="G563" s="449"/>
      <c r="H563" s="449"/>
      <c r="I563" s="449"/>
      <c r="J563" s="449"/>
      <c r="K563" s="449"/>
      <c r="L563" s="449"/>
      <c r="M563" s="449"/>
      <c r="N563" s="449"/>
      <c r="O563" s="449"/>
      <c r="P563" s="449"/>
      <c r="Q563" s="449"/>
      <c r="R563" s="449"/>
      <c r="S563" s="449"/>
      <c r="T563" s="449"/>
      <c r="U563" s="449"/>
      <c r="V563" s="449"/>
      <c r="W563" s="449"/>
      <c r="X563" s="449"/>
      <c r="Y563" s="449"/>
      <c r="Z563" s="449"/>
      <c r="AA563" s="449"/>
      <c r="AB563" s="449"/>
    </row>
    <row r="564">
      <c r="A564" s="337"/>
      <c r="B564" s="338"/>
      <c r="C564" s="338"/>
      <c r="D564" s="338"/>
      <c r="E564" s="338"/>
      <c r="F564" s="337"/>
      <c r="G564" s="449"/>
      <c r="H564" s="449"/>
      <c r="I564" s="449"/>
      <c r="J564" s="449"/>
      <c r="K564" s="449"/>
      <c r="L564" s="449"/>
      <c r="M564" s="449"/>
      <c r="N564" s="449"/>
      <c r="O564" s="449"/>
      <c r="P564" s="449"/>
      <c r="Q564" s="449"/>
      <c r="R564" s="449"/>
      <c r="S564" s="449"/>
      <c r="T564" s="449"/>
      <c r="U564" s="449"/>
      <c r="V564" s="449"/>
      <c r="W564" s="449"/>
      <c r="X564" s="449"/>
      <c r="Y564" s="449"/>
      <c r="Z564" s="449"/>
      <c r="AA564" s="449"/>
      <c r="AB564" s="449"/>
    </row>
    <row r="565">
      <c r="A565" s="337"/>
      <c r="B565" s="338"/>
      <c r="C565" s="338"/>
      <c r="D565" s="338"/>
      <c r="E565" s="338"/>
      <c r="F565" s="337"/>
      <c r="G565" s="449"/>
      <c r="H565" s="449"/>
      <c r="I565" s="449"/>
      <c r="J565" s="449"/>
      <c r="K565" s="449"/>
      <c r="L565" s="449"/>
      <c r="M565" s="449"/>
      <c r="N565" s="449"/>
      <c r="O565" s="449"/>
      <c r="P565" s="449"/>
      <c r="Q565" s="449"/>
      <c r="R565" s="449"/>
      <c r="S565" s="449"/>
      <c r="T565" s="449"/>
      <c r="U565" s="449"/>
      <c r="V565" s="449"/>
      <c r="W565" s="449"/>
      <c r="X565" s="449"/>
      <c r="Y565" s="449"/>
      <c r="Z565" s="449"/>
      <c r="AA565" s="449"/>
      <c r="AB565" s="449"/>
    </row>
    <row r="566">
      <c r="A566" s="337"/>
      <c r="B566" s="338"/>
      <c r="C566" s="338"/>
      <c r="D566" s="338"/>
      <c r="E566" s="338"/>
      <c r="F566" s="337"/>
      <c r="G566" s="449"/>
      <c r="H566" s="449"/>
      <c r="I566" s="449"/>
      <c r="J566" s="449"/>
      <c r="K566" s="449"/>
      <c r="L566" s="449"/>
      <c r="M566" s="449"/>
      <c r="N566" s="449"/>
      <c r="O566" s="449"/>
      <c r="P566" s="449"/>
      <c r="Q566" s="449"/>
      <c r="R566" s="449"/>
      <c r="S566" s="449"/>
      <c r="T566" s="449"/>
      <c r="U566" s="449"/>
      <c r="V566" s="449"/>
      <c r="W566" s="449"/>
      <c r="X566" s="449"/>
      <c r="Y566" s="449"/>
      <c r="Z566" s="449"/>
      <c r="AA566" s="449"/>
      <c r="AB566" s="449"/>
    </row>
    <row r="567">
      <c r="A567" s="337"/>
      <c r="B567" s="338"/>
      <c r="C567" s="338"/>
      <c r="D567" s="338"/>
      <c r="E567" s="338"/>
      <c r="F567" s="337"/>
      <c r="G567" s="449"/>
      <c r="H567" s="449"/>
      <c r="I567" s="449"/>
      <c r="J567" s="449"/>
      <c r="K567" s="449"/>
      <c r="L567" s="449"/>
      <c r="M567" s="449"/>
      <c r="N567" s="449"/>
      <c r="O567" s="449"/>
      <c r="P567" s="449"/>
      <c r="Q567" s="449"/>
      <c r="R567" s="449"/>
      <c r="S567" s="449"/>
      <c r="T567" s="449"/>
      <c r="U567" s="449"/>
      <c r="V567" s="449"/>
      <c r="W567" s="449"/>
      <c r="X567" s="449"/>
      <c r="Y567" s="449"/>
      <c r="Z567" s="449"/>
      <c r="AA567" s="449"/>
      <c r="AB567" s="449"/>
    </row>
    <row r="568">
      <c r="A568" s="337"/>
      <c r="B568" s="338"/>
      <c r="C568" s="338"/>
      <c r="D568" s="338"/>
      <c r="E568" s="338"/>
      <c r="F568" s="337"/>
      <c r="G568" s="449"/>
      <c r="H568" s="449"/>
      <c r="I568" s="449"/>
      <c r="J568" s="449"/>
      <c r="K568" s="449"/>
      <c r="L568" s="449"/>
      <c r="M568" s="449"/>
      <c r="N568" s="449"/>
      <c r="O568" s="449"/>
      <c r="P568" s="449"/>
      <c r="Q568" s="449"/>
      <c r="R568" s="449"/>
      <c r="S568" s="449"/>
      <c r="T568" s="449"/>
      <c r="U568" s="449"/>
      <c r="V568" s="449"/>
      <c r="W568" s="449"/>
      <c r="X568" s="449"/>
      <c r="Y568" s="449"/>
      <c r="Z568" s="449"/>
      <c r="AA568" s="449"/>
      <c r="AB568" s="449"/>
    </row>
    <row r="569">
      <c r="A569" s="337"/>
      <c r="B569" s="338"/>
      <c r="C569" s="338"/>
      <c r="D569" s="338"/>
      <c r="E569" s="338"/>
      <c r="F569" s="337"/>
      <c r="G569" s="449"/>
      <c r="H569" s="449"/>
      <c r="I569" s="449"/>
      <c r="J569" s="449"/>
      <c r="K569" s="449"/>
      <c r="L569" s="449"/>
      <c r="M569" s="449"/>
      <c r="N569" s="449"/>
      <c r="O569" s="449"/>
      <c r="P569" s="449"/>
      <c r="Q569" s="449"/>
      <c r="R569" s="449"/>
      <c r="S569" s="449"/>
      <c r="T569" s="449"/>
      <c r="U569" s="449"/>
      <c r="V569" s="449"/>
      <c r="W569" s="449"/>
      <c r="X569" s="449"/>
      <c r="Y569" s="449"/>
      <c r="Z569" s="449"/>
      <c r="AA569" s="449"/>
      <c r="AB569" s="449"/>
    </row>
    <row r="570">
      <c r="A570" s="337"/>
      <c r="B570" s="338"/>
      <c r="C570" s="338"/>
      <c r="D570" s="338"/>
      <c r="E570" s="338"/>
      <c r="F570" s="337"/>
      <c r="G570" s="449"/>
      <c r="H570" s="449"/>
      <c r="I570" s="449"/>
      <c r="J570" s="449"/>
      <c r="K570" s="449"/>
      <c r="L570" s="449"/>
      <c r="M570" s="449"/>
      <c r="N570" s="449"/>
      <c r="O570" s="449"/>
      <c r="P570" s="449"/>
      <c r="Q570" s="449"/>
      <c r="R570" s="449"/>
      <c r="S570" s="449"/>
      <c r="T570" s="449"/>
      <c r="U570" s="449"/>
      <c r="V570" s="449"/>
      <c r="W570" s="449"/>
      <c r="X570" s="449"/>
      <c r="Y570" s="449"/>
      <c r="Z570" s="449"/>
      <c r="AA570" s="449"/>
      <c r="AB570" s="449"/>
    </row>
    <row r="571">
      <c r="A571" s="337"/>
      <c r="B571" s="338"/>
      <c r="C571" s="338"/>
      <c r="D571" s="338"/>
      <c r="E571" s="338"/>
      <c r="F571" s="337"/>
      <c r="G571" s="449"/>
      <c r="H571" s="449"/>
      <c r="I571" s="449"/>
      <c r="J571" s="449"/>
      <c r="K571" s="449"/>
      <c r="L571" s="449"/>
      <c r="M571" s="449"/>
      <c r="N571" s="449"/>
      <c r="O571" s="449"/>
      <c r="P571" s="449"/>
      <c r="Q571" s="449"/>
      <c r="R571" s="449"/>
      <c r="S571" s="449"/>
      <c r="T571" s="449"/>
      <c r="U571" s="449"/>
      <c r="V571" s="449"/>
      <c r="W571" s="449"/>
      <c r="X571" s="449"/>
      <c r="Y571" s="449"/>
      <c r="Z571" s="449"/>
      <c r="AA571" s="449"/>
      <c r="AB571" s="449"/>
    </row>
    <row r="572">
      <c r="A572" s="337"/>
      <c r="B572" s="338"/>
      <c r="C572" s="338"/>
      <c r="D572" s="338"/>
      <c r="E572" s="338"/>
      <c r="F572" s="337"/>
      <c r="G572" s="449"/>
      <c r="H572" s="449"/>
      <c r="I572" s="449"/>
      <c r="J572" s="449"/>
      <c r="K572" s="449"/>
      <c r="L572" s="449"/>
      <c r="M572" s="449"/>
      <c r="N572" s="449"/>
      <c r="O572" s="449"/>
      <c r="P572" s="449"/>
      <c r="Q572" s="449"/>
      <c r="R572" s="449"/>
      <c r="S572" s="449"/>
      <c r="T572" s="449"/>
      <c r="U572" s="449"/>
      <c r="V572" s="449"/>
      <c r="W572" s="449"/>
      <c r="X572" s="449"/>
      <c r="Y572" s="449"/>
      <c r="Z572" s="449"/>
      <c r="AA572" s="449"/>
      <c r="AB572" s="449"/>
    </row>
    <row r="573">
      <c r="A573" s="337"/>
      <c r="B573" s="338"/>
      <c r="C573" s="338"/>
      <c r="D573" s="338"/>
      <c r="E573" s="338"/>
      <c r="F573" s="337"/>
      <c r="G573" s="449"/>
      <c r="H573" s="449"/>
      <c r="I573" s="449"/>
      <c r="J573" s="449"/>
      <c r="K573" s="449"/>
      <c r="L573" s="449"/>
      <c r="M573" s="449"/>
      <c r="N573" s="449"/>
      <c r="O573" s="449"/>
      <c r="P573" s="449"/>
      <c r="Q573" s="449"/>
      <c r="R573" s="449"/>
      <c r="S573" s="449"/>
      <c r="T573" s="449"/>
      <c r="U573" s="449"/>
      <c r="V573" s="449"/>
      <c r="W573" s="449"/>
      <c r="X573" s="449"/>
      <c r="Y573" s="449"/>
      <c r="Z573" s="449"/>
      <c r="AA573" s="449"/>
      <c r="AB573" s="449"/>
    </row>
    <row r="574">
      <c r="A574" s="337"/>
      <c r="B574" s="338"/>
      <c r="C574" s="338"/>
      <c r="D574" s="338"/>
      <c r="E574" s="338"/>
      <c r="F574" s="337"/>
      <c r="G574" s="449"/>
      <c r="H574" s="449"/>
      <c r="I574" s="449"/>
      <c r="J574" s="449"/>
      <c r="K574" s="449"/>
      <c r="L574" s="449"/>
      <c r="M574" s="449"/>
      <c r="N574" s="449"/>
      <c r="O574" s="449"/>
      <c r="P574" s="449"/>
      <c r="Q574" s="449"/>
      <c r="R574" s="449"/>
      <c r="S574" s="449"/>
      <c r="T574" s="449"/>
      <c r="U574" s="449"/>
      <c r="V574" s="449"/>
      <c r="W574" s="449"/>
      <c r="X574" s="449"/>
      <c r="Y574" s="449"/>
      <c r="Z574" s="449"/>
      <c r="AA574" s="449"/>
      <c r="AB574" s="449"/>
    </row>
    <row r="575">
      <c r="A575" s="337"/>
      <c r="B575" s="338"/>
      <c r="C575" s="338"/>
      <c r="D575" s="338"/>
      <c r="E575" s="338"/>
      <c r="F575" s="337"/>
      <c r="G575" s="449"/>
      <c r="H575" s="449"/>
      <c r="I575" s="449"/>
      <c r="J575" s="449"/>
      <c r="K575" s="449"/>
      <c r="L575" s="449"/>
      <c r="M575" s="449"/>
      <c r="N575" s="449"/>
      <c r="O575" s="449"/>
      <c r="P575" s="449"/>
      <c r="Q575" s="449"/>
      <c r="R575" s="449"/>
      <c r="S575" s="449"/>
      <c r="T575" s="449"/>
      <c r="U575" s="449"/>
      <c r="V575" s="449"/>
      <c r="W575" s="449"/>
      <c r="X575" s="449"/>
      <c r="Y575" s="449"/>
      <c r="Z575" s="449"/>
      <c r="AA575" s="449"/>
      <c r="AB575" s="449"/>
    </row>
    <row r="576">
      <c r="A576" s="337"/>
      <c r="B576" s="338"/>
      <c r="C576" s="338"/>
      <c r="D576" s="338"/>
      <c r="E576" s="338"/>
      <c r="F576" s="337"/>
      <c r="G576" s="449"/>
      <c r="H576" s="449"/>
      <c r="I576" s="449"/>
      <c r="J576" s="449"/>
      <c r="K576" s="449"/>
      <c r="L576" s="449"/>
      <c r="M576" s="449"/>
      <c r="N576" s="449"/>
      <c r="O576" s="449"/>
      <c r="P576" s="449"/>
      <c r="Q576" s="449"/>
      <c r="R576" s="449"/>
      <c r="S576" s="449"/>
      <c r="T576" s="449"/>
      <c r="U576" s="449"/>
      <c r="V576" s="449"/>
      <c r="W576" s="449"/>
      <c r="X576" s="449"/>
      <c r="Y576" s="449"/>
      <c r="Z576" s="449"/>
      <c r="AA576" s="449"/>
      <c r="AB576" s="449"/>
    </row>
    <row r="577">
      <c r="A577" s="337"/>
      <c r="B577" s="338"/>
      <c r="C577" s="338"/>
      <c r="D577" s="338"/>
      <c r="E577" s="338"/>
      <c r="F577" s="337"/>
      <c r="G577" s="449"/>
      <c r="H577" s="449"/>
      <c r="I577" s="449"/>
      <c r="J577" s="449"/>
      <c r="K577" s="449"/>
      <c r="L577" s="449"/>
      <c r="M577" s="449"/>
      <c r="N577" s="449"/>
      <c r="O577" s="449"/>
      <c r="P577" s="449"/>
      <c r="Q577" s="449"/>
      <c r="R577" s="449"/>
      <c r="S577" s="449"/>
      <c r="T577" s="449"/>
      <c r="U577" s="449"/>
      <c r="V577" s="449"/>
      <c r="W577" s="449"/>
      <c r="X577" s="449"/>
      <c r="Y577" s="449"/>
      <c r="Z577" s="449"/>
      <c r="AA577" s="449"/>
      <c r="AB577" s="449"/>
    </row>
    <row r="578">
      <c r="A578" s="337"/>
      <c r="B578" s="338"/>
      <c r="C578" s="338"/>
      <c r="D578" s="338"/>
      <c r="E578" s="338"/>
      <c r="F578" s="337"/>
      <c r="G578" s="449"/>
      <c r="H578" s="449"/>
      <c r="I578" s="449"/>
      <c r="J578" s="449"/>
      <c r="K578" s="449"/>
      <c r="L578" s="449"/>
      <c r="M578" s="449"/>
      <c r="N578" s="449"/>
      <c r="O578" s="449"/>
      <c r="P578" s="449"/>
      <c r="Q578" s="449"/>
      <c r="R578" s="449"/>
      <c r="S578" s="449"/>
      <c r="T578" s="449"/>
      <c r="U578" s="449"/>
      <c r="V578" s="449"/>
      <c r="W578" s="449"/>
      <c r="X578" s="449"/>
      <c r="Y578" s="449"/>
      <c r="Z578" s="449"/>
      <c r="AA578" s="449"/>
      <c r="AB578" s="449"/>
    </row>
    <row r="579">
      <c r="A579" s="337"/>
      <c r="B579" s="338"/>
      <c r="C579" s="338"/>
      <c r="D579" s="338"/>
      <c r="E579" s="338"/>
      <c r="F579" s="337"/>
      <c r="G579" s="449"/>
      <c r="H579" s="449"/>
      <c r="I579" s="449"/>
      <c r="J579" s="449"/>
      <c r="K579" s="449"/>
      <c r="L579" s="449"/>
      <c r="M579" s="449"/>
      <c r="N579" s="449"/>
      <c r="O579" s="449"/>
      <c r="P579" s="449"/>
      <c r="Q579" s="449"/>
      <c r="R579" s="449"/>
      <c r="S579" s="449"/>
      <c r="T579" s="449"/>
      <c r="U579" s="449"/>
      <c r="V579" s="449"/>
      <c r="W579" s="449"/>
      <c r="X579" s="449"/>
      <c r="Y579" s="449"/>
      <c r="Z579" s="449"/>
      <c r="AA579" s="449"/>
      <c r="AB579" s="449"/>
    </row>
    <row r="580">
      <c r="A580" s="337"/>
      <c r="B580" s="338"/>
      <c r="C580" s="338"/>
      <c r="D580" s="338"/>
      <c r="E580" s="338"/>
      <c r="F580" s="337"/>
      <c r="G580" s="449"/>
      <c r="H580" s="449"/>
      <c r="I580" s="449"/>
      <c r="J580" s="449"/>
      <c r="K580" s="449"/>
      <c r="L580" s="449"/>
      <c r="M580" s="449"/>
      <c r="N580" s="449"/>
      <c r="O580" s="449"/>
      <c r="P580" s="449"/>
      <c r="Q580" s="449"/>
      <c r="R580" s="449"/>
      <c r="S580" s="449"/>
      <c r="T580" s="449"/>
      <c r="U580" s="449"/>
      <c r="V580" s="449"/>
      <c r="W580" s="449"/>
      <c r="X580" s="449"/>
      <c r="Y580" s="449"/>
      <c r="Z580" s="449"/>
      <c r="AA580" s="449"/>
      <c r="AB580" s="449"/>
    </row>
    <row r="581">
      <c r="A581" s="337"/>
      <c r="B581" s="338"/>
      <c r="C581" s="338"/>
      <c r="D581" s="338"/>
      <c r="E581" s="338"/>
      <c r="F581" s="337"/>
      <c r="G581" s="449"/>
      <c r="H581" s="449"/>
      <c r="I581" s="449"/>
      <c r="J581" s="449"/>
      <c r="K581" s="449"/>
      <c r="L581" s="449"/>
      <c r="M581" s="449"/>
      <c r="N581" s="449"/>
      <c r="O581" s="449"/>
      <c r="P581" s="449"/>
      <c r="Q581" s="449"/>
      <c r="R581" s="449"/>
      <c r="S581" s="449"/>
      <c r="T581" s="449"/>
      <c r="U581" s="449"/>
      <c r="V581" s="449"/>
      <c r="W581" s="449"/>
      <c r="X581" s="449"/>
      <c r="Y581" s="449"/>
      <c r="Z581" s="449"/>
      <c r="AA581" s="449"/>
      <c r="AB581" s="449"/>
    </row>
    <row r="582">
      <c r="A582" s="337"/>
      <c r="B582" s="338"/>
      <c r="C582" s="338"/>
      <c r="D582" s="338"/>
      <c r="E582" s="338"/>
      <c r="F582" s="337"/>
      <c r="G582" s="449"/>
      <c r="H582" s="449"/>
      <c r="I582" s="449"/>
      <c r="J582" s="449"/>
      <c r="K582" s="449"/>
      <c r="L582" s="449"/>
      <c r="M582" s="449"/>
      <c r="N582" s="449"/>
      <c r="O582" s="449"/>
      <c r="P582" s="449"/>
      <c r="Q582" s="449"/>
      <c r="R582" s="449"/>
      <c r="S582" s="449"/>
      <c r="T582" s="449"/>
      <c r="U582" s="449"/>
      <c r="V582" s="449"/>
      <c r="W582" s="449"/>
      <c r="X582" s="449"/>
      <c r="Y582" s="449"/>
      <c r="Z582" s="449"/>
      <c r="AA582" s="449"/>
      <c r="AB582" s="449"/>
    </row>
    <row r="583">
      <c r="A583" s="337"/>
      <c r="B583" s="338"/>
      <c r="C583" s="338"/>
      <c r="D583" s="338"/>
      <c r="E583" s="338"/>
      <c r="F583" s="337"/>
      <c r="G583" s="449"/>
      <c r="H583" s="449"/>
      <c r="I583" s="449"/>
      <c r="J583" s="449"/>
      <c r="K583" s="449"/>
      <c r="L583" s="449"/>
      <c r="M583" s="449"/>
      <c r="N583" s="449"/>
      <c r="O583" s="449"/>
      <c r="P583" s="449"/>
      <c r="Q583" s="449"/>
      <c r="R583" s="449"/>
      <c r="S583" s="449"/>
      <c r="T583" s="449"/>
      <c r="U583" s="449"/>
      <c r="V583" s="449"/>
      <c r="W583" s="449"/>
      <c r="X583" s="449"/>
      <c r="Y583" s="449"/>
      <c r="Z583" s="449"/>
      <c r="AA583" s="449"/>
      <c r="AB583" s="449"/>
    </row>
    <row r="584">
      <c r="A584" s="337"/>
      <c r="B584" s="338"/>
      <c r="C584" s="338"/>
      <c r="D584" s="338"/>
      <c r="E584" s="338"/>
      <c r="F584" s="337"/>
      <c r="G584" s="449"/>
      <c r="H584" s="449"/>
      <c r="I584" s="449"/>
      <c r="J584" s="449"/>
      <c r="K584" s="449"/>
      <c r="L584" s="449"/>
      <c r="M584" s="449"/>
      <c r="N584" s="449"/>
      <c r="O584" s="449"/>
      <c r="P584" s="449"/>
      <c r="Q584" s="449"/>
      <c r="R584" s="449"/>
      <c r="S584" s="449"/>
      <c r="T584" s="449"/>
      <c r="U584" s="449"/>
      <c r="V584" s="449"/>
      <c r="W584" s="449"/>
      <c r="X584" s="449"/>
      <c r="Y584" s="449"/>
      <c r="Z584" s="449"/>
      <c r="AA584" s="449"/>
      <c r="AB584" s="449"/>
    </row>
    <row r="585">
      <c r="A585" s="337"/>
      <c r="B585" s="338"/>
      <c r="C585" s="338"/>
      <c r="D585" s="338"/>
      <c r="E585" s="338"/>
      <c r="F585" s="337"/>
      <c r="G585" s="449"/>
      <c r="H585" s="449"/>
      <c r="I585" s="449"/>
      <c r="J585" s="449"/>
      <c r="K585" s="449"/>
      <c r="L585" s="449"/>
      <c r="M585" s="449"/>
      <c r="N585" s="449"/>
      <c r="O585" s="449"/>
      <c r="P585" s="449"/>
      <c r="Q585" s="449"/>
      <c r="R585" s="449"/>
      <c r="S585" s="449"/>
      <c r="T585" s="449"/>
      <c r="U585" s="449"/>
      <c r="V585" s="449"/>
      <c r="W585" s="449"/>
      <c r="X585" s="449"/>
      <c r="Y585" s="449"/>
      <c r="Z585" s="449"/>
      <c r="AA585" s="449"/>
      <c r="AB585" s="449"/>
    </row>
    <row r="586">
      <c r="A586" s="337"/>
      <c r="B586" s="338"/>
      <c r="C586" s="338"/>
      <c r="D586" s="338"/>
      <c r="E586" s="338"/>
      <c r="F586" s="337"/>
      <c r="G586" s="449"/>
      <c r="H586" s="449"/>
      <c r="I586" s="449"/>
      <c r="J586" s="449"/>
      <c r="K586" s="449"/>
      <c r="L586" s="449"/>
      <c r="M586" s="449"/>
      <c r="N586" s="449"/>
      <c r="O586" s="449"/>
      <c r="P586" s="449"/>
      <c r="Q586" s="449"/>
      <c r="R586" s="449"/>
      <c r="S586" s="449"/>
      <c r="T586" s="449"/>
      <c r="U586" s="449"/>
      <c r="V586" s="449"/>
      <c r="W586" s="449"/>
      <c r="X586" s="449"/>
      <c r="Y586" s="449"/>
      <c r="Z586" s="449"/>
      <c r="AA586" s="449"/>
      <c r="AB586" s="449"/>
    </row>
    <row r="587">
      <c r="A587" s="337"/>
      <c r="B587" s="338"/>
      <c r="C587" s="338"/>
      <c r="D587" s="338"/>
      <c r="E587" s="338"/>
      <c r="F587" s="337"/>
      <c r="G587" s="449"/>
      <c r="H587" s="449"/>
      <c r="I587" s="449"/>
      <c r="J587" s="449"/>
      <c r="K587" s="449"/>
      <c r="L587" s="449"/>
      <c r="M587" s="449"/>
      <c r="N587" s="449"/>
      <c r="O587" s="449"/>
      <c r="P587" s="449"/>
      <c r="Q587" s="449"/>
      <c r="R587" s="449"/>
      <c r="S587" s="449"/>
      <c r="T587" s="449"/>
      <c r="U587" s="449"/>
      <c r="V587" s="449"/>
      <c r="W587" s="449"/>
      <c r="X587" s="449"/>
      <c r="Y587" s="449"/>
      <c r="Z587" s="449"/>
      <c r="AA587" s="449"/>
      <c r="AB587" s="449"/>
    </row>
    <row r="588">
      <c r="A588" s="337"/>
      <c r="B588" s="338"/>
      <c r="C588" s="338"/>
      <c r="D588" s="338"/>
      <c r="E588" s="338"/>
      <c r="F588" s="337"/>
      <c r="G588" s="449"/>
      <c r="H588" s="449"/>
      <c r="I588" s="449"/>
      <c r="J588" s="449"/>
      <c r="K588" s="449"/>
      <c r="L588" s="449"/>
      <c r="M588" s="449"/>
      <c r="N588" s="449"/>
      <c r="O588" s="449"/>
      <c r="P588" s="449"/>
      <c r="Q588" s="449"/>
      <c r="R588" s="449"/>
      <c r="S588" s="449"/>
      <c r="T588" s="449"/>
      <c r="U588" s="449"/>
      <c r="V588" s="449"/>
      <c r="W588" s="449"/>
      <c r="X588" s="449"/>
      <c r="Y588" s="449"/>
      <c r="Z588" s="449"/>
      <c r="AA588" s="449"/>
      <c r="AB588" s="449"/>
    </row>
    <row r="589">
      <c r="A589" s="337"/>
      <c r="B589" s="338"/>
      <c r="C589" s="338"/>
      <c r="D589" s="338"/>
      <c r="E589" s="338"/>
      <c r="F589" s="337"/>
      <c r="G589" s="449"/>
      <c r="H589" s="449"/>
      <c r="I589" s="449"/>
      <c r="J589" s="449"/>
      <c r="K589" s="449"/>
      <c r="L589" s="449"/>
      <c r="M589" s="449"/>
      <c r="N589" s="449"/>
      <c r="O589" s="449"/>
      <c r="P589" s="449"/>
      <c r="Q589" s="449"/>
      <c r="R589" s="449"/>
      <c r="S589" s="449"/>
      <c r="T589" s="449"/>
      <c r="U589" s="449"/>
      <c r="V589" s="449"/>
      <c r="W589" s="449"/>
      <c r="X589" s="449"/>
      <c r="Y589" s="449"/>
      <c r="Z589" s="449"/>
      <c r="AA589" s="449"/>
      <c r="AB589" s="449"/>
    </row>
    <row r="590">
      <c r="A590" s="337"/>
      <c r="B590" s="338"/>
      <c r="C590" s="338"/>
      <c r="D590" s="338"/>
      <c r="E590" s="338"/>
      <c r="F590" s="337"/>
      <c r="G590" s="449"/>
      <c r="H590" s="449"/>
      <c r="I590" s="449"/>
      <c r="J590" s="449"/>
      <c r="K590" s="449"/>
      <c r="L590" s="449"/>
      <c r="M590" s="449"/>
      <c r="N590" s="449"/>
      <c r="O590" s="449"/>
      <c r="P590" s="449"/>
      <c r="Q590" s="449"/>
      <c r="R590" s="449"/>
      <c r="S590" s="449"/>
      <c r="T590" s="449"/>
      <c r="U590" s="449"/>
      <c r="V590" s="449"/>
      <c r="W590" s="449"/>
      <c r="X590" s="449"/>
      <c r="Y590" s="449"/>
      <c r="Z590" s="449"/>
      <c r="AA590" s="449"/>
      <c r="AB590" s="449"/>
    </row>
    <row r="591">
      <c r="A591" s="337"/>
      <c r="B591" s="338"/>
      <c r="C591" s="338"/>
      <c r="D591" s="338"/>
      <c r="E591" s="338"/>
      <c r="F591" s="337"/>
      <c r="G591" s="449"/>
      <c r="H591" s="449"/>
      <c r="I591" s="449"/>
      <c r="J591" s="449"/>
      <c r="K591" s="449"/>
      <c r="L591" s="449"/>
      <c r="M591" s="449"/>
      <c r="N591" s="449"/>
      <c r="O591" s="449"/>
      <c r="P591" s="449"/>
      <c r="Q591" s="449"/>
      <c r="R591" s="449"/>
      <c r="S591" s="449"/>
      <c r="T591" s="449"/>
      <c r="U591" s="449"/>
      <c r="V591" s="449"/>
      <c r="W591" s="449"/>
      <c r="X591" s="449"/>
      <c r="Y591" s="449"/>
      <c r="Z591" s="449"/>
      <c r="AA591" s="449"/>
      <c r="AB591" s="449"/>
    </row>
    <row r="592">
      <c r="A592" s="337"/>
      <c r="B592" s="338"/>
      <c r="C592" s="338"/>
      <c r="D592" s="338"/>
      <c r="E592" s="338"/>
      <c r="F592" s="337"/>
      <c r="G592" s="449"/>
      <c r="H592" s="449"/>
      <c r="I592" s="449"/>
      <c r="J592" s="449"/>
      <c r="K592" s="449"/>
      <c r="L592" s="449"/>
      <c r="M592" s="449"/>
      <c r="N592" s="449"/>
      <c r="O592" s="449"/>
      <c r="P592" s="449"/>
      <c r="Q592" s="449"/>
      <c r="R592" s="449"/>
      <c r="S592" s="449"/>
      <c r="T592" s="449"/>
      <c r="U592" s="449"/>
      <c r="V592" s="449"/>
      <c r="W592" s="449"/>
      <c r="X592" s="449"/>
      <c r="Y592" s="449"/>
      <c r="Z592" s="449"/>
      <c r="AA592" s="449"/>
      <c r="AB592" s="449"/>
    </row>
    <row r="593">
      <c r="A593" s="337"/>
      <c r="B593" s="338"/>
      <c r="C593" s="338"/>
      <c r="D593" s="338"/>
      <c r="E593" s="338"/>
      <c r="F593" s="337"/>
      <c r="G593" s="449"/>
      <c r="H593" s="449"/>
      <c r="I593" s="449"/>
      <c r="J593" s="449"/>
      <c r="K593" s="449"/>
      <c r="L593" s="449"/>
      <c r="M593" s="449"/>
      <c r="N593" s="449"/>
      <c r="O593" s="449"/>
      <c r="P593" s="449"/>
      <c r="Q593" s="449"/>
      <c r="R593" s="449"/>
      <c r="S593" s="449"/>
      <c r="T593" s="449"/>
      <c r="U593" s="449"/>
      <c r="V593" s="449"/>
      <c r="W593" s="449"/>
      <c r="X593" s="449"/>
      <c r="Y593" s="449"/>
      <c r="Z593" s="449"/>
      <c r="AA593" s="449"/>
      <c r="AB593" s="449"/>
    </row>
    <row r="594">
      <c r="A594" s="337"/>
      <c r="B594" s="338"/>
      <c r="C594" s="338"/>
      <c r="D594" s="338"/>
      <c r="E594" s="338"/>
      <c r="F594" s="337"/>
      <c r="G594" s="449"/>
      <c r="H594" s="449"/>
      <c r="I594" s="449"/>
      <c r="J594" s="449"/>
      <c r="K594" s="449"/>
      <c r="L594" s="449"/>
      <c r="M594" s="449"/>
      <c r="N594" s="449"/>
      <c r="O594" s="449"/>
      <c r="P594" s="449"/>
      <c r="Q594" s="449"/>
      <c r="R594" s="449"/>
      <c r="S594" s="449"/>
      <c r="T594" s="449"/>
      <c r="U594" s="449"/>
      <c r="V594" s="449"/>
      <c r="W594" s="449"/>
      <c r="X594" s="449"/>
      <c r="Y594" s="449"/>
      <c r="Z594" s="449"/>
      <c r="AA594" s="449"/>
      <c r="AB594" s="449"/>
    </row>
    <row r="595">
      <c r="A595" s="337"/>
      <c r="B595" s="338"/>
      <c r="C595" s="338"/>
      <c r="D595" s="338"/>
      <c r="E595" s="338"/>
      <c r="F595" s="337"/>
      <c r="G595" s="449"/>
      <c r="H595" s="449"/>
      <c r="I595" s="449"/>
      <c r="J595" s="449"/>
      <c r="K595" s="449"/>
      <c r="L595" s="449"/>
      <c r="M595" s="449"/>
      <c r="N595" s="449"/>
      <c r="O595" s="449"/>
      <c r="P595" s="449"/>
      <c r="Q595" s="449"/>
      <c r="R595" s="449"/>
      <c r="S595" s="449"/>
      <c r="T595" s="449"/>
      <c r="U595" s="449"/>
      <c r="V595" s="449"/>
      <c r="W595" s="449"/>
      <c r="X595" s="449"/>
      <c r="Y595" s="449"/>
      <c r="Z595" s="449"/>
      <c r="AA595" s="449"/>
      <c r="AB595" s="449"/>
    </row>
    <row r="596">
      <c r="A596" s="337"/>
      <c r="B596" s="338"/>
      <c r="C596" s="338"/>
      <c r="D596" s="338"/>
      <c r="E596" s="338"/>
      <c r="F596" s="337"/>
      <c r="G596" s="449"/>
      <c r="H596" s="449"/>
      <c r="I596" s="449"/>
      <c r="J596" s="449"/>
      <c r="K596" s="449"/>
      <c r="L596" s="449"/>
      <c r="M596" s="449"/>
      <c r="N596" s="449"/>
      <c r="O596" s="449"/>
      <c r="P596" s="449"/>
      <c r="Q596" s="449"/>
      <c r="R596" s="449"/>
      <c r="S596" s="449"/>
      <c r="T596" s="449"/>
      <c r="U596" s="449"/>
      <c r="V596" s="449"/>
      <c r="W596" s="449"/>
      <c r="X596" s="449"/>
      <c r="Y596" s="449"/>
      <c r="Z596" s="449"/>
      <c r="AA596" s="449"/>
      <c r="AB596" s="449"/>
    </row>
    <row r="597">
      <c r="A597" s="337"/>
      <c r="B597" s="338"/>
      <c r="C597" s="338"/>
      <c r="D597" s="338"/>
      <c r="E597" s="338"/>
      <c r="F597" s="337"/>
      <c r="G597" s="449"/>
      <c r="H597" s="449"/>
      <c r="I597" s="449"/>
      <c r="J597" s="449"/>
      <c r="K597" s="449"/>
      <c r="L597" s="449"/>
      <c r="M597" s="449"/>
      <c r="N597" s="449"/>
      <c r="O597" s="449"/>
      <c r="P597" s="449"/>
      <c r="Q597" s="449"/>
      <c r="R597" s="449"/>
      <c r="S597" s="449"/>
      <c r="T597" s="449"/>
      <c r="U597" s="449"/>
      <c r="V597" s="449"/>
      <c r="W597" s="449"/>
      <c r="X597" s="449"/>
      <c r="Y597" s="449"/>
      <c r="Z597" s="449"/>
      <c r="AA597" s="449"/>
      <c r="AB597" s="449"/>
    </row>
    <row r="598">
      <c r="A598" s="337"/>
      <c r="B598" s="338"/>
      <c r="C598" s="338"/>
      <c r="D598" s="338"/>
      <c r="E598" s="338"/>
      <c r="F598" s="337"/>
      <c r="G598" s="449"/>
      <c r="H598" s="449"/>
      <c r="I598" s="449"/>
      <c r="J598" s="449"/>
      <c r="K598" s="449"/>
      <c r="L598" s="449"/>
      <c r="M598" s="449"/>
      <c r="N598" s="449"/>
      <c r="O598" s="449"/>
      <c r="P598" s="449"/>
      <c r="Q598" s="449"/>
      <c r="R598" s="449"/>
      <c r="S598" s="449"/>
      <c r="T598" s="449"/>
      <c r="U598" s="449"/>
      <c r="V598" s="449"/>
      <c r="W598" s="449"/>
      <c r="X598" s="449"/>
      <c r="Y598" s="449"/>
      <c r="Z598" s="449"/>
      <c r="AA598" s="449"/>
      <c r="AB598" s="449"/>
    </row>
    <row r="599">
      <c r="A599" s="337"/>
      <c r="B599" s="338"/>
      <c r="C599" s="338"/>
      <c r="D599" s="338"/>
      <c r="E599" s="338"/>
      <c r="F599" s="337"/>
      <c r="G599" s="449"/>
      <c r="H599" s="449"/>
      <c r="I599" s="449"/>
      <c r="J599" s="449"/>
      <c r="K599" s="449"/>
      <c r="L599" s="449"/>
      <c r="M599" s="449"/>
      <c r="N599" s="449"/>
      <c r="O599" s="449"/>
      <c r="P599" s="449"/>
      <c r="Q599" s="449"/>
      <c r="R599" s="449"/>
      <c r="S599" s="449"/>
      <c r="T599" s="449"/>
      <c r="U599" s="449"/>
      <c r="V599" s="449"/>
      <c r="W599" s="449"/>
      <c r="X599" s="449"/>
      <c r="Y599" s="449"/>
      <c r="Z599" s="449"/>
      <c r="AA599" s="449"/>
      <c r="AB599" s="449"/>
    </row>
    <row r="600">
      <c r="A600" s="337"/>
      <c r="B600" s="338"/>
      <c r="C600" s="338"/>
      <c r="D600" s="338"/>
      <c r="E600" s="338"/>
      <c r="F600" s="337"/>
      <c r="G600" s="449"/>
      <c r="H600" s="449"/>
      <c r="I600" s="449"/>
      <c r="J600" s="449"/>
      <c r="K600" s="449"/>
      <c r="L600" s="449"/>
      <c r="M600" s="449"/>
      <c r="N600" s="449"/>
      <c r="O600" s="449"/>
      <c r="P600" s="449"/>
      <c r="Q600" s="449"/>
      <c r="R600" s="449"/>
      <c r="S600" s="449"/>
      <c r="T600" s="449"/>
      <c r="U600" s="449"/>
      <c r="V600" s="449"/>
      <c r="W600" s="449"/>
      <c r="X600" s="449"/>
      <c r="Y600" s="449"/>
      <c r="Z600" s="449"/>
      <c r="AA600" s="449"/>
      <c r="AB600" s="449"/>
    </row>
    <row r="601">
      <c r="A601" s="337"/>
      <c r="B601" s="338"/>
      <c r="C601" s="338"/>
      <c r="D601" s="338"/>
      <c r="E601" s="338"/>
      <c r="F601" s="337"/>
      <c r="G601" s="449"/>
      <c r="H601" s="449"/>
      <c r="I601" s="449"/>
      <c r="J601" s="449"/>
      <c r="K601" s="449"/>
      <c r="L601" s="449"/>
      <c r="M601" s="449"/>
      <c r="N601" s="449"/>
      <c r="O601" s="449"/>
      <c r="P601" s="449"/>
      <c r="Q601" s="449"/>
      <c r="R601" s="449"/>
      <c r="S601" s="449"/>
      <c r="T601" s="449"/>
      <c r="U601" s="449"/>
      <c r="V601" s="449"/>
      <c r="W601" s="449"/>
      <c r="X601" s="449"/>
      <c r="Y601" s="449"/>
      <c r="Z601" s="449"/>
      <c r="AA601" s="449"/>
      <c r="AB601" s="449"/>
    </row>
    <row r="602">
      <c r="A602" s="337"/>
      <c r="B602" s="338"/>
      <c r="C602" s="338"/>
      <c r="D602" s="338"/>
      <c r="E602" s="338"/>
      <c r="F602" s="337"/>
      <c r="G602" s="449"/>
      <c r="H602" s="449"/>
      <c r="I602" s="449"/>
      <c r="J602" s="449"/>
      <c r="K602" s="449"/>
      <c r="L602" s="449"/>
      <c r="M602" s="449"/>
      <c r="N602" s="449"/>
      <c r="O602" s="449"/>
      <c r="P602" s="449"/>
      <c r="Q602" s="449"/>
      <c r="R602" s="449"/>
      <c r="S602" s="449"/>
      <c r="T602" s="449"/>
      <c r="U602" s="449"/>
      <c r="V602" s="449"/>
      <c r="W602" s="449"/>
      <c r="X602" s="449"/>
      <c r="Y602" s="449"/>
      <c r="Z602" s="449"/>
      <c r="AA602" s="449"/>
      <c r="AB602" s="449"/>
    </row>
    <row r="603">
      <c r="A603" s="337"/>
      <c r="B603" s="338"/>
      <c r="C603" s="338"/>
      <c r="D603" s="338"/>
      <c r="E603" s="338"/>
      <c r="F603" s="337"/>
      <c r="G603" s="449"/>
      <c r="H603" s="449"/>
      <c r="I603" s="449"/>
      <c r="J603" s="449"/>
      <c r="K603" s="449"/>
      <c r="L603" s="449"/>
      <c r="M603" s="449"/>
      <c r="N603" s="449"/>
      <c r="O603" s="449"/>
      <c r="P603" s="449"/>
      <c r="Q603" s="449"/>
      <c r="R603" s="449"/>
      <c r="S603" s="449"/>
      <c r="T603" s="449"/>
      <c r="U603" s="449"/>
      <c r="V603" s="449"/>
      <c r="W603" s="449"/>
      <c r="X603" s="449"/>
      <c r="Y603" s="449"/>
      <c r="Z603" s="449"/>
      <c r="AA603" s="449"/>
      <c r="AB603" s="449"/>
    </row>
    <row r="604">
      <c r="A604" s="337"/>
      <c r="B604" s="338"/>
      <c r="C604" s="338"/>
      <c r="D604" s="338"/>
      <c r="E604" s="338"/>
      <c r="F604" s="337"/>
      <c r="G604" s="449"/>
      <c r="H604" s="449"/>
      <c r="I604" s="449"/>
      <c r="J604" s="449"/>
      <c r="K604" s="449"/>
      <c r="L604" s="449"/>
      <c r="M604" s="449"/>
      <c r="N604" s="449"/>
      <c r="O604" s="449"/>
      <c r="P604" s="449"/>
      <c r="Q604" s="449"/>
      <c r="R604" s="449"/>
      <c r="S604" s="449"/>
      <c r="T604" s="449"/>
      <c r="U604" s="449"/>
      <c r="V604" s="449"/>
      <c r="W604" s="449"/>
      <c r="X604" s="449"/>
      <c r="Y604" s="449"/>
      <c r="Z604" s="449"/>
      <c r="AA604" s="449"/>
      <c r="AB604" s="449"/>
    </row>
    <row r="605">
      <c r="A605" s="337"/>
      <c r="B605" s="338"/>
      <c r="C605" s="338"/>
      <c r="D605" s="338"/>
      <c r="E605" s="338"/>
      <c r="F605" s="337"/>
      <c r="G605" s="449"/>
      <c r="H605" s="449"/>
      <c r="I605" s="449"/>
      <c r="J605" s="449"/>
      <c r="K605" s="449"/>
      <c r="L605" s="449"/>
      <c r="M605" s="449"/>
      <c r="N605" s="449"/>
      <c r="O605" s="449"/>
      <c r="P605" s="449"/>
      <c r="Q605" s="449"/>
      <c r="R605" s="449"/>
      <c r="S605" s="449"/>
      <c r="T605" s="449"/>
      <c r="U605" s="449"/>
      <c r="V605" s="449"/>
      <c r="W605" s="449"/>
      <c r="X605" s="449"/>
      <c r="Y605" s="449"/>
      <c r="Z605" s="449"/>
      <c r="AA605" s="449"/>
      <c r="AB605" s="449"/>
    </row>
    <row r="606">
      <c r="A606" s="337"/>
      <c r="B606" s="338"/>
      <c r="C606" s="338"/>
      <c r="D606" s="338"/>
      <c r="E606" s="338"/>
      <c r="F606" s="337"/>
      <c r="G606" s="449"/>
      <c r="H606" s="449"/>
      <c r="I606" s="449"/>
      <c r="J606" s="449"/>
      <c r="K606" s="449"/>
      <c r="L606" s="449"/>
      <c r="M606" s="449"/>
      <c r="N606" s="449"/>
      <c r="O606" s="449"/>
      <c r="P606" s="449"/>
      <c r="Q606" s="449"/>
      <c r="R606" s="449"/>
      <c r="S606" s="449"/>
      <c r="T606" s="449"/>
      <c r="U606" s="449"/>
      <c r="V606" s="449"/>
      <c r="W606" s="449"/>
      <c r="X606" s="449"/>
      <c r="Y606" s="449"/>
      <c r="Z606" s="449"/>
      <c r="AA606" s="449"/>
      <c r="AB606" s="449"/>
    </row>
    <row r="607">
      <c r="A607" s="337"/>
      <c r="B607" s="338"/>
      <c r="C607" s="338"/>
      <c r="D607" s="338"/>
      <c r="E607" s="338"/>
      <c r="F607" s="337"/>
      <c r="G607" s="449"/>
      <c r="H607" s="449"/>
      <c r="I607" s="449"/>
      <c r="J607" s="449"/>
      <c r="K607" s="449"/>
      <c r="L607" s="449"/>
      <c r="M607" s="449"/>
      <c r="N607" s="449"/>
      <c r="O607" s="449"/>
      <c r="P607" s="449"/>
      <c r="Q607" s="449"/>
      <c r="R607" s="449"/>
      <c r="S607" s="449"/>
      <c r="T607" s="449"/>
      <c r="U607" s="449"/>
      <c r="V607" s="449"/>
      <c r="W607" s="449"/>
      <c r="X607" s="449"/>
      <c r="Y607" s="449"/>
      <c r="Z607" s="449"/>
      <c r="AA607" s="449"/>
      <c r="AB607" s="449"/>
    </row>
    <row r="608">
      <c r="A608" s="337"/>
      <c r="B608" s="338"/>
      <c r="C608" s="338"/>
      <c r="D608" s="338"/>
      <c r="E608" s="338"/>
      <c r="F608" s="337"/>
      <c r="G608" s="449"/>
      <c r="H608" s="449"/>
      <c r="I608" s="449"/>
      <c r="J608" s="449"/>
      <c r="K608" s="449"/>
      <c r="L608" s="449"/>
      <c r="M608" s="449"/>
      <c r="N608" s="449"/>
      <c r="O608" s="449"/>
      <c r="P608" s="449"/>
      <c r="Q608" s="449"/>
      <c r="R608" s="449"/>
      <c r="S608" s="449"/>
      <c r="T608" s="449"/>
      <c r="U608" s="449"/>
      <c r="V608" s="449"/>
      <c r="W608" s="449"/>
      <c r="X608" s="449"/>
      <c r="Y608" s="449"/>
      <c r="Z608" s="449"/>
      <c r="AA608" s="449"/>
      <c r="AB608" s="449"/>
    </row>
    <row r="609">
      <c r="A609" s="337"/>
      <c r="B609" s="338"/>
      <c r="C609" s="338"/>
      <c r="D609" s="338"/>
      <c r="E609" s="338"/>
      <c r="F609" s="337"/>
      <c r="G609" s="449"/>
      <c r="H609" s="449"/>
      <c r="I609" s="449"/>
      <c r="J609" s="449"/>
      <c r="K609" s="449"/>
      <c r="L609" s="449"/>
      <c r="M609" s="449"/>
      <c r="N609" s="449"/>
      <c r="O609" s="449"/>
      <c r="P609" s="449"/>
      <c r="Q609" s="449"/>
      <c r="R609" s="449"/>
      <c r="S609" s="449"/>
      <c r="T609" s="449"/>
      <c r="U609" s="449"/>
      <c r="V609" s="449"/>
      <c r="W609" s="449"/>
      <c r="X609" s="449"/>
      <c r="Y609" s="449"/>
      <c r="Z609" s="449"/>
      <c r="AA609" s="449"/>
      <c r="AB609" s="449"/>
    </row>
    <row r="610">
      <c r="A610" s="337"/>
      <c r="B610" s="338"/>
      <c r="C610" s="338"/>
      <c r="D610" s="338"/>
      <c r="E610" s="338"/>
      <c r="F610" s="337"/>
      <c r="G610" s="449"/>
      <c r="H610" s="449"/>
      <c r="I610" s="449"/>
      <c r="J610" s="449"/>
      <c r="K610" s="449"/>
      <c r="L610" s="449"/>
      <c r="M610" s="449"/>
      <c r="N610" s="449"/>
      <c r="O610" s="449"/>
      <c r="P610" s="449"/>
      <c r="Q610" s="449"/>
      <c r="R610" s="449"/>
      <c r="S610" s="449"/>
      <c r="T610" s="449"/>
      <c r="U610" s="449"/>
      <c r="V610" s="449"/>
      <c r="W610" s="449"/>
      <c r="X610" s="449"/>
      <c r="Y610" s="449"/>
      <c r="Z610" s="449"/>
      <c r="AA610" s="449"/>
      <c r="AB610" s="449"/>
    </row>
    <row r="611">
      <c r="A611" s="337"/>
      <c r="B611" s="338"/>
      <c r="C611" s="338"/>
      <c r="D611" s="338"/>
      <c r="E611" s="338"/>
      <c r="F611" s="337"/>
      <c r="G611" s="449"/>
      <c r="H611" s="449"/>
      <c r="I611" s="449"/>
      <c r="J611" s="449"/>
      <c r="K611" s="449"/>
      <c r="L611" s="449"/>
      <c r="M611" s="449"/>
      <c r="N611" s="449"/>
      <c r="O611" s="449"/>
      <c r="P611" s="449"/>
      <c r="Q611" s="449"/>
      <c r="R611" s="449"/>
      <c r="S611" s="449"/>
      <c r="T611" s="449"/>
      <c r="U611" s="449"/>
      <c r="V611" s="449"/>
      <c r="W611" s="449"/>
      <c r="X611" s="449"/>
      <c r="Y611" s="449"/>
      <c r="Z611" s="449"/>
      <c r="AA611" s="449"/>
      <c r="AB611" s="449"/>
    </row>
    <row r="612">
      <c r="A612" s="337"/>
      <c r="B612" s="338"/>
      <c r="C612" s="338"/>
      <c r="D612" s="338"/>
      <c r="E612" s="338"/>
      <c r="F612" s="337"/>
      <c r="G612" s="449"/>
      <c r="H612" s="449"/>
      <c r="I612" s="449"/>
      <c r="J612" s="449"/>
      <c r="K612" s="449"/>
      <c r="L612" s="449"/>
      <c r="M612" s="449"/>
      <c r="N612" s="449"/>
      <c r="O612" s="449"/>
      <c r="P612" s="449"/>
      <c r="Q612" s="449"/>
      <c r="R612" s="449"/>
      <c r="S612" s="449"/>
      <c r="T612" s="449"/>
      <c r="U612" s="449"/>
      <c r="V612" s="449"/>
      <c r="W612" s="449"/>
      <c r="X612" s="449"/>
      <c r="Y612" s="449"/>
      <c r="Z612" s="449"/>
      <c r="AA612" s="449"/>
      <c r="AB612" s="449"/>
    </row>
    <row r="613">
      <c r="A613" s="337"/>
      <c r="B613" s="338"/>
      <c r="C613" s="338"/>
      <c r="D613" s="338"/>
      <c r="E613" s="338"/>
      <c r="F613" s="337"/>
      <c r="G613" s="449"/>
      <c r="H613" s="449"/>
      <c r="I613" s="449"/>
      <c r="J613" s="449"/>
      <c r="K613" s="449"/>
      <c r="L613" s="449"/>
      <c r="M613" s="449"/>
      <c r="N613" s="449"/>
      <c r="O613" s="449"/>
      <c r="P613" s="449"/>
      <c r="Q613" s="449"/>
      <c r="R613" s="449"/>
      <c r="S613" s="449"/>
      <c r="T613" s="449"/>
      <c r="U613" s="449"/>
      <c r="V613" s="449"/>
      <c r="W613" s="449"/>
      <c r="X613" s="449"/>
      <c r="Y613" s="449"/>
      <c r="Z613" s="449"/>
      <c r="AA613" s="449"/>
      <c r="AB613" s="449"/>
    </row>
    <row r="614">
      <c r="A614" s="337"/>
      <c r="B614" s="338"/>
      <c r="C614" s="338"/>
      <c r="D614" s="338"/>
      <c r="E614" s="338"/>
      <c r="F614" s="337"/>
      <c r="G614" s="449"/>
      <c r="H614" s="449"/>
      <c r="I614" s="449"/>
      <c r="J614" s="449"/>
      <c r="K614" s="449"/>
      <c r="L614" s="449"/>
      <c r="M614" s="449"/>
      <c r="N614" s="449"/>
      <c r="O614" s="449"/>
      <c r="P614" s="449"/>
      <c r="Q614" s="449"/>
      <c r="R614" s="449"/>
      <c r="S614" s="449"/>
      <c r="T614" s="449"/>
      <c r="U614" s="449"/>
      <c r="V614" s="449"/>
      <c r="W614" s="449"/>
      <c r="X614" s="449"/>
      <c r="Y614" s="449"/>
      <c r="Z614" s="449"/>
      <c r="AA614" s="449"/>
      <c r="AB614" s="449"/>
    </row>
    <row r="615">
      <c r="A615" s="337"/>
      <c r="B615" s="338"/>
      <c r="C615" s="338"/>
      <c r="D615" s="338"/>
      <c r="E615" s="338"/>
      <c r="F615" s="337"/>
      <c r="G615" s="449"/>
      <c r="H615" s="449"/>
      <c r="I615" s="449"/>
      <c r="J615" s="449"/>
      <c r="K615" s="449"/>
      <c r="L615" s="449"/>
      <c r="M615" s="449"/>
      <c r="N615" s="449"/>
      <c r="O615" s="449"/>
      <c r="P615" s="449"/>
      <c r="Q615" s="449"/>
      <c r="R615" s="449"/>
      <c r="S615" s="449"/>
      <c r="T615" s="449"/>
      <c r="U615" s="449"/>
      <c r="V615" s="449"/>
      <c r="W615" s="449"/>
      <c r="X615" s="449"/>
      <c r="Y615" s="449"/>
      <c r="Z615" s="449"/>
      <c r="AA615" s="449"/>
      <c r="AB615" s="449"/>
    </row>
    <row r="616">
      <c r="A616" s="337"/>
      <c r="B616" s="338"/>
      <c r="C616" s="338"/>
      <c r="D616" s="338"/>
      <c r="E616" s="338"/>
      <c r="F616" s="337"/>
      <c r="G616" s="449"/>
      <c r="H616" s="449"/>
      <c r="I616" s="449"/>
      <c r="J616" s="449"/>
      <c r="K616" s="449"/>
      <c r="L616" s="449"/>
      <c r="M616" s="449"/>
      <c r="N616" s="449"/>
      <c r="O616" s="449"/>
      <c r="P616" s="449"/>
      <c r="Q616" s="449"/>
      <c r="R616" s="449"/>
      <c r="S616" s="449"/>
      <c r="T616" s="449"/>
      <c r="U616" s="449"/>
      <c r="V616" s="449"/>
      <c r="W616" s="449"/>
      <c r="X616" s="449"/>
      <c r="Y616" s="449"/>
      <c r="Z616" s="449"/>
      <c r="AA616" s="449"/>
      <c r="AB616" s="449"/>
    </row>
    <row r="617">
      <c r="A617" s="337"/>
      <c r="B617" s="338"/>
      <c r="C617" s="338"/>
      <c r="D617" s="338"/>
      <c r="E617" s="338"/>
      <c r="F617" s="337"/>
      <c r="G617" s="449"/>
      <c r="H617" s="449"/>
      <c r="I617" s="449"/>
      <c r="J617" s="449"/>
      <c r="K617" s="449"/>
      <c r="L617" s="449"/>
      <c r="M617" s="449"/>
      <c r="N617" s="449"/>
      <c r="O617" s="449"/>
      <c r="P617" s="449"/>
      <c r="Q617" s="449"/>
      <c r="R617" s="449"/>
      <c r="S617" s="449"/>
      <c r="T617" s="449"/>
      <c r="U617" s="449"/>
      <c r="V617" s="449"/>
      <c r="W617" s="449"/>
      <c r="X617" s="449"/>
      <c r="Y617" s="449"/>
      <c r="Z617" s="449"/>
      <c r="AA617" s="449"/>
      <c r="AB617" s="449"/>
    </row>
    <row r="618">
      <c r="A618" s="337"/>
      <c r="B618" s="338"/>
      <c r="C618" s="338"/>
      <c r="D618" s="338"/>
      <c r="E618" s="338"/>
      <c r="F618" s="337"/>
      <c r="G618" s="449"/>
      <c r="H618" s="449"/>
      <c r="I618" s="449"/>
      <c r="J618" s="449"/>
      <c r="K618" s="449"/>
      <c r="L618" s="449"/>
      <c r="M618" s="449"/>
      <c r="N618" s="449"/>
      <c r="O618" s="449"/>
      <c r="P618" s="449"/>
      <c r="Q618" s="449"/>
      <c r="R618" s="449"/>
      <c r="S618" s="449"/>
      <c r="T618" s="449"/>
      <c r="U618" s="449"/>
      <c r="V618" s="449"/>
      <c r="W618" s="449"/>
      <c r="X618" s="449"/>
      <c r="Y618" s="449"/>
      <c r="Z618" s="449"/>
      <c r="AA618" s="449"/>
      <c r="AB618" s="449"/>
    </row>
    <row r="619">
      <c r="A619" s="337"/>
      <c r="B619" s="338"/>
      <c r="C619" s="338"/>
      <c r="D619" s="338"/>
      <c r="E619" s="338"/>
      <c r="F619" s="337"/>
      <c r="G619" s="449"/>
      <c r="H619" s="449"/>
      <c r="I619" s="449"/>
      <c r="J619" s="449"/>
      <c r="K619" s="449"/>
      <c r="L619" s="449"/>
      <c r="M619" s="449"/>
      <c r="N619" s="449"/>
      <c r="O619" s="449"/>
      <c r="P619" s="449"/>
      <c r="Q619" s="449"/>
      <c r="R619" s="449"/>
      <c r="S619" s="449"/>
      <c r="T619" s="449"/>
      <c r="U619" s="449"/>
      <c r="V619" s="449"/>
      <c r="W619" s="449"/>
      <c r="X619" s="449"/>
      <c r="Y619" s="449"/>
      <c r="Z619" s="449"/>
      <c r="AA619" s="449"/>
      <c r="AB619" s="449"/>
    </row>
    <row r="620">
      <c r="A620" s="337"/>
      <c r="B620" s="338"/>
      <c r="C620" s="338"/>
      <c r="D620" s="338"/>
      <c r="E620" s="338"/>
      <c r="F620" s="337"/>
      <c r="G620" s="449"/>
      <c r="H620" s="449"/>
      <c r="I620" s="449"/>
      <c r="J620" s="449"/>
      <c r="K620" s="449"/>
      <c r="L620" s="449"/>
      <c r="M620" s="449"/>
      <c r="N620" s="449"/>
      <c r="O620" s="449"/>
      <c r="P620" s="449"/>
      <c r="Q620" s="449"/>
      <c r="R620" s="449"/>
      <c r="S620" s="449"/>
      <c r="T620" s="449"/>
      <c r="U620" s="449"/>
      <c r="V620" s="449"/>
      <c r="W620" s="449"/>
      <c r="X620" s="449"/>
      <c r="Y620" s="449"/>
      <c r="Z620" s="449"/>
      <c r="AA620" s="449"/>
      <c r="AB620" s="449"/>
    </row>
    <row r="621">
      <c r="A621" s="337"/>
      <c r="B621" s="338"/>
      <c r="C621" s="338"/>
      <c r="D621" s="338"/>
      <c r="E621" s="338"/>
      <c r="F621" s="337"/>
      <c r="G621" s="449"/>
      <c r="H621" s="449"/>
      <c r="I621" s="449"/>
      <c r="J621" s="449"/>
      <c r="K621" s="449"/>
      <c r="L621" s="449"/>
      <c r="M621" s="449"/>
      <c r="N621" s="449"/>
      <c r="O621" s="449"/>
      <c r="P621" s="449"/>
      <c r="Q621" s="449"/>
      <c r="R621" s="449"/>
      <c r="S621" s="449"/>
      <c r="T621" s="449"/>
      <c r="U621" s="449"/>
      <c r="V621" s="449"/>
      <c r="W621" s="449"/>
      <c r="X621" s="449"/>
      <c r="Y621" s="449"/>
      <c r="Z621" s="449"/>
      <c r="AA621" s="449"/>
      <c r="AB621" s="449"/>
    </row>
    <row r="622">
      <c r="A622" s="337"/>
      <c r="B622" s="338"/>
      <c r="C622" s="338"/>
      <c r="D622" s="338"/>
      <c r="E622" s="338"/>
      <c r="F622" s="337"/>
      <c r="G622" s="449"/>
      <c r="H622" s="449"/>
      <c r="I622" s="449"/>
      <c r="J622" s="449"/>
      <c r="K622" s="449"/>
      <c r="L622" s="449"/>
      <c r="M622" s="449"/>
      <c r="N622" s="449"/>
      <c r="O622" s="449"/>
      <c r="P622" s="449"/>
      <c r="Q622" s="449"/>
      <c r="R622" s="449"/>
      <c r="S622" s="449"/>
      <c r="T622" s="449"/>
      <c r="U622" s="449"/>
      <c r="V622" s="449"/>
      <c r="W622" s="449"/>
      <c r="X622" s="449"/>
      <c r="Y622" s="449"/>
      <c r="Z622" s="449"/>
      <c r="AA622" s="449"/>
      <c r="AB622" s="449"/>
    </row>
    <row r="623">
      <c r="A623" s="337"/>
      <c r="B623" s="338"/>
      <c r="C623" s="338"/>
      <c r="D623" s="338"/>
      <c r="E623" s="338"/>
      <c r="F623" s="337"/>
      <c r="G623" s="449"/>
      <c r="H623" s="449"/>
      <c r="I623" s="449"/>
      <c r="J623" s="449"/>
      <c r="K623" s="449"/>
      <c r="L623" s="449"/>
      <c r="M623" s="449"/>
      <c r="N623" s="449"/>
      <c r="O623" s="449"/>
      <c r="P623" s="449"/>
      <c r="Q623" s="449"/>
      <c r="R623" s="449"/>
      <c r="S623" s="449"/>
      <c r="T623" s="449"/>
      <c r="U623" s="449"/>
      <c r="V623" s="449"/>
      <c r="W623" s="449"/>
      <c r="X623" s="449"/>
      <c r="Y623" s="449"/>
      <c r="Z623" s="449"/>
      <c r="AA623" s="449"/>
      <c r="AB623" s="449"/>
    </row>
    <row r="624">
      <c r="A624" s="337"/>
      <c r="B624" s="338"/>
      <c r="C624" s="338"/>
      <c r="D624" s="338"/>
      <c r="E624" s="338"/>
      <c r="F624" s="337"/>
      <c r="G624" s="449"/>
      <c r="H624" s="449"/>
      <c r="I624" s="449"/>
      <c r="J624" s="449"/>
      <c r="K624" s="449"/>
      <c r="L624" s="449"/>
      <c r="M624" s="449"/>
      <c r="N624" s="449"/>
      <c r="O624" s="449"/>
      <c r="P624" s="449"/>
      <c r="Q624" s="449"/>
      <c r="R624" s="449"/>
      <c r="S624" s="449"/>
      <c r="T624" s="449"/>
      <c r="U624" s="449"/>
      <c r="V624" s="449"/>
      <c r="W624" s="449"/>
      <c r="X624" s="449"/>
      <c r="Y624" s="449"/>
      <c r="Z624" s="449"/>
      <c r="AA624" s="449"/>
      <c r="AB624" s="449"/>
    </row>
    <row r="625">
      <c r="A625" s="337"/>
      <c r="B625" s="338"/>
      <c r="C625" s="338"/>
      <c r="D625" s="338"/>
      <c r="E625" s="338"/>
      <c r="F625" s="337"/>
      <c r="G625" s="449"/>
      <c r="H625" s="449"/>
      <c r="I625" s="449"/>
      <c r="J625" s="449"/>
      <c r="K625" s="449"/>
      <c r="L625" s="449"/>
      <c r="M625" s="449"/>
      <c r="N625" s="449"/>
      <c r="O625" s="449"/>
      <c r="P625" s="449"/>
      <c r="Q625" s="449"/>
      <c r="R625" s="449"/>
      <c r="S625" s="449"/>
      <c r="T625" s="449"/>
      <c r="U625" s="449"/>
      <c r="V625" s="449"/>
      <c r="W625" s="449"/>
      <c r="X625" s="449"/>
      <c r="Y625" s="449"/>
      <c r="Z625" s="449"/>
      <c r="AA625" s="449"/>
      <c r="AB625" s="449"/>
    </row>
    <row r="626">
      <c r="A626" s="337"/>
      <c r="B626" s="338"/>
      <c r="C626" s="338"/>
      <c r="D626" s="338"/>
      <c r="E626" s="338"/>
      <c r="F626" s="337"/>
      <c r="G626" s="449"/>
      <c r="H626" s="449"/>
      <c r="I626" s="449"/>
      <c r="J626" s="449"/>
      <c r="K626" s="449"/>
      <c r="L626" s="449"/>
      <c r="M626" s="449"/>
      <c r="N626" s="449"/>
      <c r="O626" s="449"/>
      <c r="P626" s="449"/>
      <c r="Q626" s="449"/>
      <c r="R626" s="449"/>
      <c r="S626" s="449"/>
      <c r="T626" s="449"/>
      <c r="U626" s="449"/>
      <c r="V626" s="449"/>
      <c r="W626" s="449"/>
      <c r="X626" s="449"/>
      <c r="Y626" s="449"/>
      <c r="Z626" s="449"/>
      <c r="AA626" s="449"/>
      <c r="AB626" s="449"/>
    </row>
    <row r="627">
      <c r="A627" s="337"/>
      <c r="B627" s="338"/>
      <c r="C627" s="338"/>
      <c r="D627" s="338"/>
      <c r="E627" s="338"/>
      <c r="F627" s="337"/>
      <c r="G627" s="449"/>
      <c r="H627" s="449"/>
      <c r="I627" s="449"/>
      <c r="J627" s="449"/>
      <c r="K627" s="449"/>
      <c r="L627" s="449"/>
      <c r="M627" s="449"/>
      <c r="N627" s="449"/>
      <c r="O627" s="449"/>
      <c r="P627" s="449"/>
      <c r="Q627" s="449"/>
      <c r="R627" s="449"/>
      <c r="S627" s="449"/>
      <c r="T627" s="449"/>
      <c r="U627" s="449"/>
      <c r="V627" s="449"/>
      <c r="W627" s="449"/>
      <c r="X627" s="449"/>
      <c r="Y627" s="449"/>
      <c r="Z627" s="449"/>
      <c r="AA627" s="449"/>
      <c r="AB627" s="449"/>
    </row>
    <row r="628">
      <c r="A628" s="337"/>
      <c r="B628" s="338"/>
      <c r="C628" s="338"/>
      <c r="D628" s="338"/>
      <c r="E628" s="338"/>
      <c r="F628" s="337"/>
      <c r="G628" s="449"/>
      <c r="H628" s="449"/>
      <c r="I628" s="449"/>
      <c r="J628" s="449"/>
      <c r="K628" s="449"/>
      <c r="L628" s="449"/>
      <c r="M628" s="449"/>
      <c r="N628" s="449"/>
      <c r="O628" s="449"/>
      <c r="P628" s="449"/>
      <c r="Q628" s="449"/>
      <c r="R628" s="449"/>
      <c r="S628" s="449"/>
      <c r="T628" s="449"/>
      <c r="U628" s="449"/>
      <c r="V628" s="449"/>
      <c r="W628" s="449"/>
      <c r="X628" s="449"/>
      <c r="Y628" s="449"/>
      <c r="Z628" s="449"/>
      <c r="AA628" s="449"/>
      <c r="AB628" s="449"/>
    </row>
    <row r="629">
      <c r="A629" s="337"/>
      <c r="B629" s="338"/>
      <c r="C629" s="338"/>
      <c r="D629" s="338"/>
      <c r="E629" s="338"/>
      <c r="F629" s="337"/>
      <c r="G629" s="449"/>
      <c r="H629" s="449"/>
      <c r="I629" s="449"/>
      <c r="J629" s="449"/>
      <c r="K629" s="449"/>
      <c r="L629" s="449"/>
      <c r="M629" s="449"/>
      <c r="N629" s="449"/>
      <c r="O629" s="449"/>
      <c r="P629" s="449"/>
      <c r="Q629" s="449"/>
      <c r="R629" s="449"/>
      <c r="S629" s="449"/>
      <c r="T629" s="449"/>
      <c r="U629" s="449"/>
      <c r="V629" s="449"/>
      <c r="W629" s="449"/>
      <c r="X629" s="449"/>
      <c r="Y629" s="449"/>
      <c r="Z629" s="449"/>
      <c r="AA629" s="449"/>
      <c r="AB629" s="449"/>
    </row>
    <row r="630">
      <c r="A630" s="337"/>
      <c r="B630" s="338"/>
      <c r="C630" s="338"/>
      <c r="D630" s="338"/>
      <c r="E630" s="338"/>
      <c r="F630" s="337"/>
      <c r="G630" s="449"/>
      <c r="H630" s="449"/>
      <c r="I630" s="449"/>
      <c r="J630" s="449"/>
      <c r="K630" s="449"/>
      <c r="L630" s="449"/>
      <c r="M630" s="449"/>
      <c r="N630" s="449"/>
      <c r="O630" s="449"/>
      <c r="P630" s="449"/>
      <c r="Q630" s="449"/>
      <c r="R630" s="449"/>
      <c r="S630" s="449"/>
      <c r="T630" s="449"/>
      <c r="U630" s="449"/>
      <c r="V630" s="449"/>
      <c r="W630" s="449"/>
      <c r="X630" s="449"/>
      <c r="Y630" s="449"/>
      <c r="Z630" s="449"/>
      <c r="AA630" s="449"/>
      <c r="AB630" s="449"/>
    </row>
    <row r="631">
      <c r="A631" s="337"/>
      <c r="B631" s="338"/>
      <c r="C631" s="338"/>
      <c r="D631" s="338"/>
      <c r="E631" s="338"/>
      <c r="F631" s="337"/>
      <c r="G631" s="449"/>
      <c r="H631" s="449"/>
      <c r="I631" s="449"/>
      <c r="J631" s="449"/>
      <c r="K631" s="449"/>
      <c r="L631" s="449"/>
      <c r="M631" s="449"/>
      <c r="N631" s="449"/>
      <c r="O631" s="449"/>
      <c r="P631" s="449"/>
      <c r="Q631" s="449"/>
      <c r="R631" s="449"/>
      <c r="S631" s="449"/>
      <c r="T631" s="449"/>
      <c r="U631" s="449"/>
      <c r="V631" s="449"/>
      <c r="W631" s="449"/>
      <c r="X631" s="449"/>
      <c r="Y631" s="449"/>
      <c r="Z631" s="449"/>
      <c r="AA631" s="449"/>
      <c r="AB631" s="449"/>
    </row>
    <row r="632">
      <c r="A632" s="337"/>
      <c r="B632" s="338"/>
      <c r="C632" s="338"/>
      <c r="D632" s="338"/>
      <c r="E632" s="338"/>
      <c r="F632" s="337"/>
      <c r="G632" s="449"/>
      <c r="H632" s="449"/>
      <c r="I632" s="449"/>
      <c r="J632" s="449"/>
      <c r="K632" s="449"/>
      <c r="L632" s="449"/>
      <c r="M632" s="449"/>
      <c r="N632" s="449"/>
      <c r="O632" s="449"/>
      <c r="P632" s="449"/>
      <c r="Q632" s="449"/>
      <c r="R632" s="449"/>
      <c r="S632" s="449"/>
      <c r="T632" s="449"/>
      <c r="U632" s="449"/>
      <c r="V632" s="449"/>
      <c r="W632" s="449"/>
      <c r="X632" s="449"/>
      <c r="Y632" s="449"/>
      <c r="Z632" s="449"/>
      <c r="AA632" s="449"/>
      <c r="AB632" s="449"/>
    </row>
    <row r="633">
      <c r="A633" s="337"/>
      <c r="B633" s="338"/>
      <c r="C633" s="338"/>
      <c r="D633" s="338"/>
      <c r="E633" s="338"/>
      <c r="F633" s="337"/>
      <c r="G633" s="449"/>
      <c r="H633" s="449"/>
      <c r="I633" s="449"/>
      <c r="J633" s="449"/>
      <c r="K633" s="449"/>
      <c r="L633" s="449"/>
      <c r="M633" s="449"/>
      <c r="N633" s="449"/>
      <c r="O633" s="449"/>
      <c r="P633" s="449"/>
      <c r="Q633" s="449"/>
      <c r="R633" s="449"/>
      <c r="S633" s="449"/>
      <c r="T633" s="449"/>
      <c r="U633" s="449"/>
      <c r="V633" s="449"/>
      <c r="W633" s="449"/>
      <c r="X633" s="449"/>
      <c r="Y633" s="449"/>
      <c r="Z633" s="449"/>
      <c r="AA633" s="449"/>
      <c r="AB633" s="449"/>
    </row>
    <row r="634">
      <c r="A634" s="337"/>
      <c r="B634" s="338"/>
      <c r="C634" s="338"/>
      <c r="D634" s="338"/>
      <c r="E634" s="338"/>
      <c r="F634" s="337"/>
      <c r="G634" s="449"/>
      <c r="H634" s="449"/>
      <c r="I634" s="449"/>
      <c r="J634" s="449"/>
      <c r="K634" s="449"/>
      <c r="L634" s="449"/>
      <c r="M634" s="449"/>
      <c r="N634" s="449"/>
      <c r="O634" s="449"/>
      <c r="P634" s="449"/>
      <c r="Q634" s="449"/>
      <c r="R634" s="449"/>
      <c r="S634" s="449"/>
      <c r="T634" s="449"/>
      <c r="U634" s="449"/>
      <c r="V634" s="449"/>
      <c r="W634" s="449"/>
      <c r="X634" s="449"/>
      <c r="Y634" s="449"/>
      <c r="Z634" s="449"/>
      <c r="AA634" s="449"/>
      <c r="AB634" s="449"/>
    </row>
    <row r="635">
      <c r="A635" s="337"/>
      <c r="B635" s="338"/>
      <c r="C635" s="338"/>
      <c r="D635" s="338"/>
      <c r="E635" s="338"/>
      <c r="F635" s="337"/>
      <c r="G635" s="449"/>
      <c r="H635" s="449"/>
      <c r="I635" s="449"/>
      <c r="J635" s="449"/>
      <c r="K635" s="449"/>
      <c r="L635" s="449"/>
      <c r="M635" s="449"/>
      <c r="N635" s="449"/>
      <c r="O635" s="449"/>
      <c r="P635" s="449"/>
      <c r="Q635" s="449"/>
      <c r="R635" s="449"/>
      <c r="S635" s="449"/>
      <c r="T635" s="449"/>
      <c r="U635" s="449"/>
      <c r="V635" s="449"/>
      <c r="W635" s="449"/>
      <c r="X635" s="449"/>
      <c r="Y635" s="449"/>
      <c r="Z635" s="449"/>
      <c r="AA635" s="449"/>
      <c r="AB635" s="449"/>
    </row>
    <row r="636">
      <c r="A636" s="337"/>
      <c r="B636" s="338"/>
      <c r="C636" s="338"/>
      <c r="D636" s="338"/>
      <c r="E636" s="338"/>
      <c r="F636" s="337"/>
      <c r="G636" s="449"/>
      <c r="H636" s="449"/>
      <c r="I636" s="449"/>
      <c r="J636" s="449"/>
      <c r="K636" s="449"/>
      <c r="L636" s="449"/>
      <c r="M636" s="449"/>
      <c r="N636" s="449"/>
      <c r="O636" s="449"/>
      <c r="P636" s="449"/>
      <c r="Q636" s="449"/>
      <c r="R636" s="449"/>
      <c r="S636" s="449"/>
      <c r="T636" s="449"/>
      <c r="U636" s="449"/>
      <c r="V636" s="449"/>
      <c r="W636" s="449"/>
      <c r="X636" s="449"/>
      <c r="Y636" s="449"/>
      <c r="Z636" s="449"/>
      <c r="AA636" s="449"/>
      <c r="AB636" s="449"/>
    </row>
    <row r="637">
      <c r="A637" s="337"/>
      <c r="B637" s="338"/>
      <c r="C637" s="338"/>
      <c r="D637" s="338"/>
      <c r="E637" s="338"/>
      <c r="F637" s="337"/>
      <c r="G637" s="449"/>
      <c r="H637" s="449"/>
      <c r="I637" s="449"/>
      <c r="J637" s="449"/>
      <c r="K637" s="449"/>
      <c r="L637" s="449"/>
      <c r="M637" s="449"/>
      <c r="N637" s="449"/>
      <c r="O637" s="449"/>
      <c r="P637" s="449"/>
      <c r="Q637" s="449"/>
      <c r="R637" s="449"/>
      <c r="S637" s="449"/>
      <c r="T637" s="449"/>
      <c r="U637" s="449"/>
      <c r="V637" s="449"/>
      <c r="W637" s="449"/>
      <c r="X637" s="449"/>
      <c r="Y637" s="449"/>
      <c r="Z637" s="449"/>
      <c r="AA637" s="449"/>
      <c r="AB637" s="449"/>
    </row>
    <row r="638">
      <c r="A638" s="337"/>
      <c r="B638" s="338"/>
      <c r="C638" s="338"/>
      <c r="D638" s="338"/>
      <c r="E638" s="338"/>
      <c r="F638" s="337"/>
      <c r="G638" s="449"/>
      <c r="H638" s="449"/>
      <c r="I638" s="449"/>
      <c r="J638" s="449"/>
      <c r="K638" s="449"/>
      <c r="L638" s="449"/>
      <c r="M638" s="449"/>
      <c r="N638" s="449"/>
      <c r="O638" s="449"/>
      <c r="P638" s="449"/>
      <c r="Q638" s="449"/>
      <c r="R638" s="449"/>
      <c r="S638" s="449"/>
      <c r="T638" s="449"/>
      <c r="U638" s="449"/>
      <c r="V638" s="449"/>
      <c r="W638" s="449"/>
      <c r="X638" s="449"/>
      <c r="Y638" s="449"/>
      <c r="Z638" s="449"/>
      <c r="AA638" s="449"/>
      <c r="AB638" s="449"/>
    </row>
    <row r="639">
      <c r="A639" s="337"/>
      <c r="B639" s="338"/>
      <c r="C639" s="338"/>
      <c r="D639" s="338"/>
      <c r="E639" s="338"/>
      <c r="F639" s="337"/>
      <c r="G639" s="449"/>
      <c r="H639" s="449"/>
      <c r="I639" s="449"/>
      <c r="J639" s="449"/>
      <c r="K639" s="449"/>
      <c r="L639" s="449"/>
      <c r="M639" s="449"/>
      <c r="N639" s="449"/>
      <c r="O639" s="449"/>
      <c r="P639" s="449"/>
      <c r="Q639" s="449"/>
      <c r="R639" s="449"/>
      <c r="S639" s="449"/>
      <c r="T639" s="449"/>
      <c r="U639" s="449"/>
      <c r="V639" s="449"/>
      <c r="W639" s="449"/>
      <c r="X639" s="449"/>
      <c r="Y639" s="449"/>
      <c r="Z639" s="449"/>
      <c r="AA639" s="449"/>
      <c r="AB639" s="449"/>
    </row>
    <row r="640">
      <c r="A640" s="337"/>
      <c r="B640" s="338"/>
      <c r="C640" s="338"/>
      <c r="D640" s="338"/>
      <c r="E640" s="338"/>
      <c r="F640" s="337"/>
      <c r="G640" s="449"/>
      <c r="H640" s="449"/>
      <c r="I640" s="449"/>
      <c r="J640" s="449"/>
      <c r="K640" s="449"/>
      <c r="L640" s="449"/>
      <c r="M640" s="449"/>
      <c r="N640" s="449"/>
      <c r="O640" s="449"/>
      <c r="P640" s="449"/>
      <c r="Q640" s="449"/>
      <c r="R640" s="449"/>
      <c r="S640" s="449"/>
      <c r="T640" s="449"/>
      <c r="U640" s="449"/>
      <c r="V640" s="449"/>
      <c r="W640" s="449"/>
      <c r="X640" s="449"/>
      <c r="Y640" s="449"/>
      <c r="Z640" s="449"/>
      <c r="AA640" s="449"/>
      <c r="AB640" s="449"/>
    </row>
    <row r="641">
      <c r="A641" s="337"/>
      <c r="B641" s="338"/>
      <c r="C641" s="338"/>
      <c r="D641" s="338"/>
      <c r="E641" s="338"/>
      <c r="F641" s="337"/>
      <c r="G641" s="449"/>
      <c r="H641" s="449"/>
      <c r="I641" s="449"/>
      <c r="J641" s="449"/>
      <c r="K641" s="449"/>
      <c r="L641" s="449"/>
      <c r="M641" s="449"/>
      <c r="N641" s="449"/>
      <c r="O641" s="449"/>
      <c r="P641" s="449"/>
      <c r="Q641" s="449"/>
      <c r="R641" s="449"/>
      <c r="S641" s="449"/>
      <c r="T641" s="449"/>
      <c r="U641" s="449"/>
      <c r="V641" s="449"/>
      <c r="W641" s="449"/>
      <c r="X641" s="449"/>
      <c r="Y641" s="449"/>
      <c r="Z641" s="449"/>
      <c r="AA641" s="449"/>
      <c r="AB641" s="449"/>
    </row>
    <row r="642">
      <c r="A642" s="337"/>
      <c r="B642" s="338"/>
      <c r="C642" s="338"/>
      <c r="D642" s="338"/>
      <c r="E642" s="338"/>
      <c r="F642" s="337"/>
      <c r="G642" s="449"/>
      <c r="H642" s="449"/>
      <c r="I642" s="449"/>
      <c r="J642" s="449"/>
      <c r="K642" s="449"/>
      <c r="L642" s="449"/>
      <c r="M642" s="449"/>
      <c r="N642" s="449"/>
      <c r="O642" s="449"/>
      <c r="P642" s="449"/>
      <c r="Q642" s="449"/>
      <c r="R642" s="449"/>
      <c r="S642" s="449"/>
      <c r="T642" s="449"/>
      <c r="U642" s="449"/>
      <c r="V642" s="449"/>
      <c r="W642" s="449"/>
      <c r="X642" s="449"/>
      <c r="Y642" s="449"/>
      <c r="Z642" s="449"/>
      <c r="AA642" s="449"/>
      <c r="AB642" s="449"/>
    </row>
    <row r="643">
      <c r="A643" s="337"/>
      <c r="B643" s="338"/>
      <c r="C643" s="338"/>
      <c r="D643" s="338"/>
      <c r="E643" s="338"/>
      <c r="F643" s="337"/>
      <c r="G643" s="449"/>
      <c r="H643" s="449"/>
      <c r="I643" s="449"/>
      <c r="J643" s="449"/>
      <c r="K643" s="449"/>
      <c r="L643" s="449"/>
      <c r="M643" s="449"/>
      <c r="N643" s="449"/>
      <c r="O643" s="449"/>
      <c r="P643" s="449"/>
      <c r="Q643" s="449"/>
      <c r="R643" s="449"/>
      <c r="S643" s="449"/>
      <c r="T643" s="449"/>
      <c r="U643" s="449"/>
      <c r="V643" s="449"/>
      <c r="W643" s="449"/>
      <c r="X643" s="449"/>
      <c r="Y643" s="449"/>
      <c r="Z643" s="449"/>
      <c r="AA643" s="449"/>
      <c r="AB643" s="449"/>
    </row>
    <row r="644">
      <c r="A644" s="337"/>
      <c r="B644" s="338"/>
      <c r="C644" s="338"/>
      <c r="D644" s="338"/>
      <c r="E644" s="338"/>
      <c r="F644" s="337"/>
      <c r="G644" s="449"/>
      <c r="H644" s="449"/>
      <c r="I644" s="449"/>
      <c r="J644" s="449"/>
      <c r="K644" s="449"/>
      <c r="L644" s="449"/>
      <c r="M644" s="449"/>
      <c r="N644" s="449"/>
      <c r="O644" s="449"/>
      <c r="P644" s="449"/>
      <c r="Q644" s="449"/>
      <c r="R644" s="449"/>
      <c r="S644" s="449"/>
      <c r="T644" s="449"/>
      <c r="U644" s="449"/>
      <c r="V644" s="449"/>
      <c r="W644" s="449"/>
      <c r="X644" s="449"/>
      <c r="Y644" s="449"/>
      <c r="Z644" s="449"/>
      <c r="AA644" s="449"/>
      <c r="AB644" s="449"/>
    </row>
    <row r="645">
      <c r="A645" s="337"/>
      <c r="B645" s="338"/>
      <c r="C645" s="338"/>
      <c r="D645" s="338"/>
      <c r="E645" s="338"/>
      <c r="F645" s="337"/>
      <c r="G645" s="449"/>
      <c r="H645" s="449"/>
      <c r="I645" s="449"/>
      <c r="J645" s="449"/>
      <c r="K645" s="449"/>
      <c r="L645" s="449"/>
      <c r="M645" s="449"/>
      <c r="N645" s="449"/>
      <c r="O645" s="449"/>
      <c r="P645" s="449"/>
      <c r="Q645" s="449"/>
      <c r="R645" s="449"/>
      <c r="S645" s="449"/>
      <c r="T645" s="449"/>
      <c r="U645" s="449"/>
      <c r="V645" s="449"/>
      <c r="W645" s="449"/>
      <c r="X645" s="449"/>
      <c r="Y645" s="449"/>
      <c r="Z645" s="449"/>
      <c r="AA645" s="449"/>
      <c r="AB645" s="449"/>
    </row>
    <row r="646">
      <c r="A646" s="337"/>
      <c r="B646" s="338"/>
      <c r="C646" s="338"/>
      <c r="D646" s="338"/>
      <c r="E646" s="338"/>
      <c r="F646" s="337"/>
      <c r="G646" s="449"/>
      <c r="H646" s="449"/>
      <c r="I646" s="449"/>
      <c r="J646" s="449"/>
      <c r="K646" s="449"/>
      <c r="L646" s="449"/>
      <c r="M646" s="449"/>
      <c r="N646" s="449"/>
      <c r="O646" s="449"/>
      <c r="P646" s="449"/>
      <c r="Q646" s="449"/>
      <c r="R646" s="449"/>
      <c r="S646" s="449"/>
      <c r="T646" s="449"/>
      <c r="U646" s="449"/>
      <c r="V646" s="449"/>
      <c r="W646" s="449"/>
      <c r="X646" s="449"/>
      <c r="Y646" s="449"/>
      <c r="Z646" s="449"/>
      <c r="AA646" s="449"/>
      <c r="AB646" s="449"/>
    </row>
    <row r="647">
      <c r="A647" s="337"/>
      <c r="B647" s="338"/>
      <c r="C647" s="338"/>
      <c r="D647" s="338"/>
      <c r="E647" s="338"/>
      <c r="F647" s="337"/>
      <c r="G647" s="449"/>
      <c r="H647" s="449"/>
      <c r="I647" s="449"/>
      <c r="J647" s="449"/>
      <c r="K647" s="449"/>
      <c r="L647" s="449"/>
      <c r="M647" s="449"/>
      <c r="N647" s="449"/>
      <c r="O647" s="449"/>
      <c r="P647" s="449"/>
      <c r="Q647" s="449"/>
      <c r="R647" s="449"/>
      <c r="S647" s="449"/>
      <c r="T647" s="449"/>
      <c r="U647" s="449"/>
      <c r="V647" s="449"/>
      <c r="W647" s="449"/>
      <c r="X647" s="449"/>
      <c r="Y647" s="449"/>
      <c r="Z647" s="449"/>
      <c r="AA647" s="449"/>
      <c r="AB647" s="449"/>
    </row>
    <row r="648">
      <c r="A648" s="337"/>
      <c r="B648" s="338"/>
      <c r="C648" s="338"/>
      <c r="D648" s="338"/>
      <c r="E648" s="338"/>
      <c r="F648" s="337"/>
      <c r="G648" s="449"/>
      <c r="H648" s="449"/>
      <c r="I648" s="449"/>
      <c r="J648" s="449"/>
      <c r="K648" s="449"/>
      <c r="L648" s="449"/>
      <c r="M648" s="449"/>
      <c r="N648" s="449"/>
      <c r="O648" s="449"/>
      <c r="P648" s="449"/>
      <c r="Q648" s="449"/>
      <c r="R648" s="449"/>
      <c r="S648" s="449"/>
      <c r="T648" s="449"/>
      <c r="U648" s="449"/>
      <c r="V648" s="449"/>
      <c r="W648" s="449"/>
      <c r="X648" s="449"/>
      <c r="Y648" s="449"/>
      <c r="Z648" s="449"/>
      <c r="AA648" s="449"/>
      <c r="AB648" s="449"/>
    </row>
    <row r="649">
      <c r="A649" s="337"/>
      <c r="B649" s="338"/>
      <c r="C649" s="338"/>
      <c r="D649" s="338"/>
      <c r="E649" s="338"/>
      <c r="F649" s="337"/>
      <c r="G649" s="449"/>
      <c r="H649" s="449"/>
      <c r="I649" s="449"/>
      <c r="J649" s="449"/>
      <c r="K649" s="449"/>
      <c r="L649" s="449"/>
      <c r="M649" s="449"/>
      <c r="N649" s="449"/>
      <c r="O649" s="449"/>
      <c r="P649" s="449"/>
      <c r="Q649" s="449"/>
      <c r="R649" s="449"/>
      <c r="S649" s="449"/>
      <c r="T649" s="449"/>
      <c r="U649" s="449"/>
      <c r="V649" s="449"/>
      <c r="W649" s="449"/>
      <c r="X649" s="449"/>
      <c r="Y649" s="449"/>
      <c r="Z649" s="449"/>
      <c r="AA649" s="449"/>
      <c r="AB649" s="449"/>
    </row>
    <row r="650">
      <c r="A650" s="337"/>
      <c r="B650" s="338"/>
      <c r="C650" s="338"/>
      <c r="D650" s="338"/>
      <c r="E650" s="338"/>
      <c r="F650" s="337"/>
      <c r="G650" s="449"/>
      <c r="H650" s="449"/>
      <c r="I650" s="449"/>
      <c r="J650" s="449"/>
      <c r="K650" s="449"/>
      <c r="L650" s="449"/>
      <c r="M650" s="449"/>
      <c r="N650" s="449"/>
      <c r="O650" s="449"/>
      <c r="P650" s="449"/>
      <c r="Q650" s="449"/>
      <c r="R650" s="449"/>
      <c r="S650" s="449"/>
      <c r="T650" s="449"/>
      <c r="U650" s="449"/>
      <c r="V650" s="449"/>
      <c r="W650" s="449"/>
      <c r="X650" s="449"/>
      <c r="Y650" s="449"/>
      <c r="Z650" s="449"/>
      <c r="AA650" s="449"/>
      <c r="AB650" s="449"/>
    </row>
    <row r="651">
      <c r="A651" s="337"/>
      <c r="B651" s="338"/>
      <c r="C651" s="338"/>
      <c r="D651" s="338"/>
      <c r="E651" s="338"/>
      <c r="F651" s="337"/>
      <c r="G651" s="449"/>
      <c r="H651" s="449"/>
      <c r="I651" s="449"/>
      <c r="J651" s="449"/>
      <c r="K651" s="449"/>
      <c r="L651" s="449"/>
      <c r="M651" s="449"/>
      <c r="N651" s="449"/>
      <c r="O651" s="449"/>
      <c r="P651" s="449"/>
      <c r="Q651" s="449"/>
      <c r="R651" s="449"/>
      <c r="S651" s="449"/>
      <c r="T651" s="449"/>
      <c r="U651" s="449"/>
      <c r="V651" s="449"/>
      <c r="W651" s="449"/>
      <c r="X651" s="449"/>
      <c r="Y651" s="449"/>
      <c r="Z651" s="449"/>
      <c r="AA651" s="449"/>
      <c r="AB651" s="449"/>
    </row>
    <row r="652">
      <c r="A652" s="337"/>
      <c r="B652" s="338"/>
      <c r="C652" s="338"/>
      <c r="D652" s="338"/>
      <c r="E652" s="338"/>
      <c r="F652" s="337"/>
      <c r="G652" s="449"/>
      <c r="H652" s="449"/>
      <c r="I652" s="449"/>
      <c r="J652" s="449"/>
      <c r="K652" s="449"/>
      <c r="L652" s="449"/>
      <c r="M652" s="449"/>
      <c r="N652" s="449"/>
      <c r="O652" s="449"/>
      <c r="P652" s="449"/>
      <c r="Q652" s="449"/>
      <c r="R652" s="449"/>
      <c r="S652" s="449"/>
      <c r="T652" s="449"/>
      <c r="U652" s="449"/>
      <c r="V652" s="449"/>
      <c r="W652" s="449"/>
      <c r="X652" s="449"/>
      <c r="Y652" s="449"/>
      <c r="Z652" s="449"/>
      <c r="AA652" s="449"/>
      <c r="AB652" s="449"/>
    </row>
    <row r="653">
      <c r="A653" s="337"/>
      <c r="B653" s="338"/>
      <c r="C653" s="338"/>
      <c r="D653" s="338"/>
      <c r="E653" s="338"/>
      <c r="F653" s="337"/>
      <c r="G653" s="449"/>
      <c r="H653" s="449"/>
      <c r="I653" s="449"/>
      <c r="J653" s="449"/>
      <c r="K653" s="449"/>
      <c r="L653" s="449"/>
      <c r="M653" s="449"/>
      <c r="N653" s="449"/>
      <c r="O653" s="449"/>
      <c r="P653" s="449"/>
      <c r="Q653" s="449"/>
      <c r="R653" s="449"/>
      <c r="S653" s="449"/>
      <c r="T653" s="449"/>
      <c r="U653" s="449"/>
      <c r="V653" s="449"/>
      <c r="W653" s="449"/>
      <c r="X653" s="449"/>
      <c r="Y653" s="449"/>
      <c r="Z653" s="449"/>
      <c r="AA653" s="449"/>
      <c r="AB653" s="449"/>
    </row>
    <row r="654">
      <c r="A654" s="337"/>
      <c r="B654" s="338"/>
      <c r="C654" s="338"/>
      <c r="D654" s="338"/>
      <c r="E654" s="338"/>
      <c r="F654" s="337"/>
      <c r="G654" s="449"/>
      <c r="H654" s="449"/>
      <c r="I654" s="449"/>
      <c r="J654" s="449"/>
      <c r="K654" s="449"/>
      <c r="L654" s="449"/>
      <c r="M654" s="449"/>
      <c r="N654" s="449"/>
      <c r="O654" s="449"/>
      <c r="P654" s="449"/>
      <c r="Q654" s="449"/>
      <c r="R654" s="449"/>
      <c r="S654" s="449"/>
      <c r="T654" s="449"/>
      <c r="U654" s="449"/>
      <c r="V654" s="449"/>
      <c r="W654" s="449"/>
      <c r="X654" s="449"/>
      <c r="Y654" s="449"/>
      <c r="Z654" s="449"/>
      <c r="AA654" s="449"/>
      <c r="AB654" s="449"/>
    </row>
    <row r="655">
      <c r="A655" s="337"/>
      <c r="B655" s="338"/>
      <c r="C655" s="338"/>
      <c r="D655" s="338"/>
      <c r="E655" s="338"/>
      <c r="F655" s="337"/>
      <c r="G655" s="449"/>
      <c r="H655" s="449"/>
      <c r="I655" s="449"/>
      <c r="J655" s="449"/>
      <c r="K655" s="449"/>
      <c r="L655" s="449"/>
      <c r="M655" s="449"/>
      <c r="N655" s="449"/>
      <c r="O655" s="449"/>
      <c r="P655" s="449"/>
      <c r="Q655" s="449"/>
      <c r="R655" s="449"/>
      <c r="S655" s="449"/>
      <c r="T655" s="449"/>
      <c r="U655" s="449"/>
      <c r="V655" s="449"/>
      <c r="W655" s="449"/>
      <c r="X655" s="449"/>
      <c r="Y655" s="449"/>
      <c r="Z655" s="449"/>
      <c r="AA655" s="449"/>
      <c r="AB655" s="449"/>
    </row>
    <row r="656">
      <c r="A656" s="337"/>
      <c r="B656" s="338"/>
      <c r="C656" s="338"/>
      <c r="D656" s="338"/>
      <c r="E656" s="338"/>
      <c r="F656" s="337"/>
      <c r="G656" s="449"/>
      <c r="H656" s="449"/>
      <c r="I656" s="449"/>
      <c r="J656" s="449"/>
      <c r="K656" s="449"/>
      <c r="L656" s="449"/>
      <c r="M656" s="449"/>
      <c r="N656" s="449"/>
      <c r="O656" s="449"/>
      <c r="P656" s="449"/>
      <c r="Q656" s="449"/>
      <c r="R656" s="449"/>
      <c r="S656" s="449"/>
      <c r="T656" s="449"/>
      <c r="U656" s="449"/>
      <c r="V656" s="449"/>
      <c r="W656" s="449"/>
      <c r="X656" s="449"/>
      <c r="Y656" s="449"/>
      <c r="Z656" s="449"/>
      <c r="AA656" s="449"/>
      <c r="AB656" s="449"/>
    </row>
    <row r="657">
      <c r="A657" s="337"/>
      <c r="B657" s="338"/>
      <c r="C657" s="338"/>
      <c r="D657" s="338"/>
      <c r="E657" s="338"/>
      <c r="F657" s="337"/>
      <c r="G657" s="449"/>
      <c r="H657" s="449"/>
      <c r="I657" s="449"/>
      <c r="J657" s="449"/>
      <c r="K657" s="449"/>
      <c r="L657" s="449"/>
      <c r="M657" s="449"/>
      <c r="N657" s="449"/>
      <c r="O657" s="449"/>
      <c r="P657" s="449"/>
      <c r="Q657" s="449"/>
      <c r="R657" s="449"/>
      <c r="S657" s="449"/>
      <c r="T657" s="449"/>
      <c r="U657" s="449"/>
      <c r="V657" s="449"/>
      <c r="W657" s="449"/>
      <c r="X657" s="449"/>
      <c r="Y657" s="449"/>
      <c r="Z657" s="449"/>
      <c r="AA657" s="449"/>
      <c r="AB657" s="449"/>
    </row>
    <row r="658">
      <c r="A658" s="337"/>
      <c r="B658" s="338"/>
      <c r="C658" s="338"/>
      <c r="D658" s="338"/>
      <c r="E658" s="338"/>
      <c r="F658" s="337"/>
      <c r="G658" s="449"/>
      <c r="H658" s="449"/>
      <c r="I658" s="449"/>
      <c r="J658" s="449"/>
      <c r="K658" s="449"/>
      <c r="L658" s="449"/>
      <c r="M658" s="449"/>
      <c r="N658" s="449"/>
      <c r="O658" s="449"/>
      <c r="P658" s="449"/>
      <c r="Q658" s="449"/>
      <c r="R658" s="449"/>
      <c r="S658" s="449"/>
      <c r="T658" s="449"/>
      <c r="U658" s="449"/>
      <c r="V658" s="449"/>
      <c r="W658" s="449"/>
      <c r="X658" s="449"/>
      <c r="Y658" s="449"/>
      <c r="Z658" s="449"/>
      <c r="AA658" s="449"/>
      <c r="AB658" s="449"/>
    </row>
    <row r="659">
      <c r="A659" s="337"/>
      <c r="B659" s="338"/>
      <c r="C659" s="338"/>
      <c r="D659" s="338"/>
      <c r="E659" s="338"/>
      <c r="F659" s="337"/>
      <c r="G659" s="449"/>
      <c r="H659" s="449"/>
      <c r="I659" s="449"/>
      <c r="J659" s="449"/>
      <c r="K659" s="449"/>
      <c r="L659" s="449"/>
      <c r="M659" s="449"/>
      <c r="N659" s="449"/>
      <c r="O659" s="449"/>
      <c r="P659" s="449"/>
      <c r="Q659" s="449"/>
      <c r="R659" s="449"/>
      <c r="S659" s="449"/>
      <c r="T659" s="449"/>
      <c r="U659" s="449"/>
      <c r="V659" s="449"/>
      <c r="W659" s="449"/>
      <c r="X659" s="449"/>
      <c r="Y659" s="449"/>
      <c r="Z659" s="449"/>
      <c r="AA659" s="449"/>
      <c r="AB659" s="449"/>
    </row>
    <row r="660">
      <c r="A660" s="337"/>
      <c r="B660" s="338"/>
      <c r="C660" s="338"/>
      <c r="D660" s="338"/>
      <c r="E660" s="338"/>
      <c r="F660" s="337"/>
      <c r="G660" s="449"/>
      <c r="H660" s="449"/>
      <c r="I660" s="449"/>
      <c r="J660" s="449"/>
      <c r="K660" s="449"/>
      <c r="L660" s="449"/>
      <c r="M660" s="449"/>
      <c r="N660" s="449"/>
      <c r="O660" s="449"/>
      <c r="P660" s="449"/>
      <c r="Q660" s="449"/>
      <c r="R660" s="449"/>
      <c r="S660" s="449"/>
      <c r="T660" s="449"/>
      <c r="U660" s="449"/>
      <c r="V660" s="449"/>
      <c r="W660" s="449"/>
      <c r="X660" s="449"/>
      <c r="Y660" s="449"/>
      <c r="Z660" s="449"/>
      <c r="AA660" s="449"/>
      <c r="AB660" s="449"/>
    </row>
    <row r="661">
      <c r="A661" s="337"/>
      <c r="B661" s="338"/>
      <c r="C661" s="338"/>
      <c r="D661" s="338"/>
      <c r="E661" s="338"/>
      <c r="F661" s="337"/>
      <c r="G661" s="449"/>
      <c r="H661" s="449"/>
      <c r="I661" s="449"/>
      <c r="J661" s="449"/>
      <c r="K661" s="449"/>
      <c r="L661" s="449"/>
      <c r="M661" s="449"/>
      <c r="N661" s="449"/>
      <c r="O661" s="449"/>
      <c r="P661" s="449"/>
      <c r="Q661" s="449"/>
      <c r="R661" s="449"/>
      <c r="S661" s="449"/>
      <c r="T661" s="449"/>
      <c r="U661" s="449"/>
      <c r="V661" s="449"/>
      <c r="W661" s="449"/>
      <c r="X661" s="449"/>
      <c r="Y661" s="449"/>
      <c r="Z661" s="449"/>
      <c r="AA661" s="449"/>
      <c r="AB661" s="449"/>
    </row>
    <row r="662">
      <c r="A662" s="337"/>
      <c r="B662" s="338"/>
      <c r="C662" s="338"/>
      <c r="D662" s="338"/>
      <c r="E662" s="338"/>
      <c r="F662" s="337"/>
      <c r="G662" s="449"/>
      <c r="H662" s="449"/>
      <c r="I662" s="449"/>
      <c r="J662" s="449"/>
      <c r="K662" s="449"/>
      <c r="L662" s="449"/>
      <c r="M662" s="449"/>
      <c r="N662" s="449"/>
      <c r="O662" s="449"/>
      <c r="P662" s="449"/>
      <c r="Q662" s="449"/>
      <c r="R662" s="449"/>
      <c r="S662" s="449"/>
      <c r="T662" s="449"/>
      <c r="U662" s="449"/>
      <c r="V662" s="449"/>
      <c r="W662" s="449"/>
      <c r="X662" s="449"/>
      <c r="Y662" s="449"/>
      <c r="Z662" s="449"/>
      <c r="AA662" s="449"/>
      <c r="AB662" s="449"/>
    </row>
    <row r="663">
      <c r="A663" s="337"/>
      <c r="B663" s="338"/>
      <c r="C663" s="338"/>
      <c r="D663" s="338"/>
      <c r="E663" s="338"/>
      <c r="F663" s="337"/>
      <c r="G663" s="449"/>
      <c r="H663" s="449"/>
      <c r="I663" s="449"/>
      <c r="J663" s="449"/>
      <c r="K663" s="449"/>
      <c r="L663" s="449"/>
      <c r="M663" s="449"/>
      <c r="N663" s="449"/>
      <c r="O663" s="449"/>
      <c r="P663" s="449"/>
      <c r="Q663" s="449"/>
      <c r="R663" s="449"/>
      <c r="S663" s="449"/>
      <c r="T663" s="449"/>
      <c r="U663" s="449"/>
      <c r="V663" s="449"/>
      <c r="W663" s="449"/>
      <c r="X663" s="449"/>
      <c r="Y663" s="449"/>
      <c r="Z663" s="449"/>
      <c r="AA663" s="449"/>
      <c r="AB663" s="449"/>
    </row>
    <row r="664">
      <c r="A664" s="337"/>
      <c r="B664" s="338"/>
      <c r="C664" s="338"/>
      <c r="D664" s="338"/>
      <c r="E664" s="338"/>
      <c r="F664" s="337"/>
      <c r="G664" s="449"/>
      <c r="H664" s="449"/>
      <c r="I664" s="449"/>
      <c r="J664" s="449"/>
      <c r="K664" s="449"/>
      <c r="L664" s="449"/>
      <c r="M664" s="449"/>
      <c r="N664" s="449"/>
      <c r="O664" s="449"/>
      <c r="P664" s="449"/>
      <c r="Q664" s="449"/>
      <c r="R664" s="449"/>
      <c r="S664" s="449"/>
      <c r="T664" s="449"/>
      <c r="U664" s="449"/>
      <c r="V664" s="449"/>
      <c r="W664" s="449"/>
      <c r="X664" s="449"/>
      <c r="Y664" s="449"/>
      <c r="Z664" s="449"/>
      <c r="AA664" s="449"/>
      <c r="AB664" s="449"/>
    </row>
    <row r="665">
      <c r="A665" s="337"/>
      <c r="B665" s="338"/>
      <c r="C665" s="338"/>
      <c r="D665" s="338"/>
      <c r="E665" s="338"/>
      <c r="F665" s="337"/>
      <c r="G665" s="449"/>
      <c r="H665" s="449"/>
      <c r="I665" s="449"/>
      <c r="J665" s="449"/>
      <c r="K665" s="449"/>
      <c r="L665" s="449"/>
      <c r="M665" s="449"/>
      <c r="N665" s="449"/>
      <c r="O665" s="449"/>
      <c r="P665" s="449"/>
      <c r="Q665" s="449"/>
      <c r="R665" s="449"/>
      <c r="S665" s="449"/>
      <c r="T665" s="449"/>
      <c r="U665" s="449"/>
      <c r="V665" s="449"/>
      <c r="W665" s="449"/>
      <c r="X665" s="449"/>
      <c r="Y665" s="449"/>
      <c r="Z665" s="449"/>
      <c r="AA665" s="449"/>
      <c r="AB665" s="449"/>
    </row>
    <row r="666">
      <c r="A666" s="337"/>
      <c r="B666" s="338"/>
      <c r="C666" s="338"/>
      <c r="D666" s="338"/>
      <c r="E666" s="338"/>
      <c r="F666" s="337"/>
      <c r="G666" s="449"/>
      <c r="H666" s="449"/>
      <c r="I666" s="449"/>
      <c r="J666" s="449"/>
      <c r="K666" s="449"/>
      <c r="L666" s="449"/>
      <c r="M666" s="449"/>
      <c r="N666" s="449"/>
      <c r="O666" s="449"/>
      <c r="P666" s="449"/>
      <c r="Q666" s="449"/>
      <c r="R666" s="449"/>
      <c r="S666" s="449"/>
      <c r="T666" s="449"/>
      <c r="U666" s="449"/>
      <c r="V666" s="449"/>
      <c r="W666" s="449"/>
      <c r="X666" s="449"/>
      <c r="Y666" s="449"/>
      <c r="Z666" s="449"/>
      <c r="AA666" s="449"/>
      <c r="AB666" s="449"/>
    </row>
    <row r="667">
      <c r="A667" s="337"/>
      <c r="B667" s="338"/>
      <c r="C667" s="338"/>
      <c r="D667" s="338"/>
      <c r="E667" s="338"/>
      <c r="F667" s="337"/>
      <c r="G667" s="449"/>
      <c r="H667" s="449"/>
      <c r="I667" s="449"/>
      <c r="J667" s="449"/>
      <c r="K667" s="449"/>
      <c r="L667" s="449"/>
      <c r="M667" s="449"/>
      <c r="N667" s="449"/>
      <c r="O667" s="449"/>
      <c r="P667" s="449"/>
      <c r="Q667" s="449"/>
      <c r="R667" s="449"/>
      <c r="S667" s="449"/>
      <c r="T667" s="449"/>
      <c r="U667" s="449"/>
      <c r="V667" s="449"/>
      <c r="W667" s="449"/>
      <c r="X667" s="449"/>
      <c r="Y667" s="449"/>
      <c r="Z667" s="449"/>
      <c r="AA667" s="449"/>
      <c r="AB667" s="449"/>
    </row>
    <row r="668">
      <c r="A668" s="337"/>
      <c r="B668" s="338"/>
      <c r="C668" s="338"/>
      <c r="D668" s="338"/>
      <c r="E668" s="338"/>
      <c r="F668" s="337"/>
      <c r="G668" s="449"/>
      <c r="H668" s="449"/>
      <c r="I668" s="449"/>
      <c r="J668" s="449"/>
      <c r="K668" s="449"/>
      <c r="L668" s="449"/>
      <c r="M668" s="449"/>
      <c r="N668" s="449"/>
      <c r="O668" s="449"/>
      <c r="P668" s="449"/>
      <c r="Q668" s="449"/>
      <c r="R668" s="449"/>
      <c r="S668" s="449"/>
      <c r="T668" s="449"/>
      <c r="U668" s="449"/>
      <c r="V668" s="449"/>
      <c r="W668" s="449"/>
      <c r="X668" s="449"/>
      <c r="Y668" s="449"/>
      <c r="Z668" s="449"/>
      <c r="AA668" s="449"/>
      <c r="AB668" s="449"/>
    </row>
    <row r="669">
      <c r="A669" s="337"/>
      <c r="B669" s="338"/>
      <c r="C669" s="338"/>
      <c r="D669" s="338"/>
      <c r="E669" s="338"/>
      <c r="F669" s="337"/>
      <c r="G669" s="449"/>
      <c r="H669" s="449"/>
      <c r="I669" s="449"/>
      <c r="J669" s="449"/>
      <c r="K669" s="449"/>
      <c r="L669" s="449"/>
      <c r="M669" s="449"/>
      <c r="N669" s="449"/>
      <c r="O669" s="449"/>
      <c r="P669" s="449"/>
      <c r="Q669" s="449"/>
      <c r="R669" s="449"/>
      <c r="S669" s="449"/>
      <c r="T669" s="449"/>
      <c r="U669" s="449"/>
      <c r="V669" s="449"/>
      <c r="W669" s="449"/>
      <c r="X669" s="449"/>
      <c r="Y669" s="449"/>
      <c r="Z669" s="449"/>
      <c r="AA669" s="449"/>
      <c r="AB669" s="449"/>
    </row>
    <row r="670">
      <c r="A670" s="337"/>
      <c r="B670" s="338"/>
      <c r="C670" s="338"/>
      <c r="D670" s="338"/>
      <c r="E670" s="338"/>
      <c r="F670" s="337"/>
      <c r="G670" s="449"/>
      <c r="H670" s="449"/>
      <c r="I670" s="449"/>
      <c r="J670" s="449"/>
      <c r="K670" s="449"/>
      <c r="L670" s="449"/>
      <c r="M670" s="449"/>
      <c r="N670" s="449"/>
      <c r="O670" s="449"/>
      <c r="P670" s="449"/>
      <c r="Q670" s="449"/>
      <c r="R670" s="449"/>
      <c r="S670" s="449"/>
      <c r="T670" s="449"/>
      <c r="U670" s="449"/>
      <c r="V670" s="449"/>
      <c r="W670" s="449"/>
      <c r="X670" s="449"/>
      <c r="Y670" s="449"/>
      <c r="Z670" s="449"/>
      <c r="AA670" s="449"/>
      <c r="AB670" s="449"/>
    </row>
    <row r="671">
      <c r="A671" s="337"/>
      <c r="B671" s="338"/>
      <c r="C671" s="338"/>
      <c r="D671" s="338"/>
      <c r="E671" s="338"/>
      <c r="F671" s="337"/>
      <c r="G671" s="449"/>
      <c r="H671" s="449"/>
      <c r="I671" s="449"/>
      <c r="J671" s="449"/>
      <c r="K671" s="449"/>
      <c r="L671" s="449"/>
      <c r="M671" s="449"/>
      <c r="N671" s="449"/>
      <c r="O671" s="449"/>
      <c r="P671" s="449"/>
      <c r="Q671" s="449"/>
      <c r="R671" s="449"/>
      <c r="S671" s="449"/>
      <c r="T671" s="449"/>
      <c r="U671" s="449"/>
      <c r="V671" s="449"/>
      <c r="W671" s="449"/>
      <c r="X671" s="449"/>
      <c r="Y671" s="449"/>
      <c r="Z671" s="449"/>
      <c r="AA671" s="449"/>
      <c r="AB671" s="449"/>
    </row>
    <row r="672">
      <c r="A672" s="337"/>
      <c r="B672" s="338"/>
      <c r="C672" s="338"/>
      <c r="D672" s="338"/>
      <c r="E672" s="338"/>
      <c r="F672" s="337"/>
      <c r="G672" s="449"/>
      <c r="H672" s="449"/>
      <c r="I672" s="449"/>
      <c r="J672" s="449"/>
      <c r="K672" s="449"/>
      <c r="L672" s="449"/>
      <c r="M672" s="449"/>
      <c r="N672" s="449"/>
      <c r="O672" s="449"/>
      <c r="P672" s="449"/>
      <c r="Q672" s="449"/>
      <c r="R672" s="449"/>
      <c r="S672" s="449"/>
      <c r="T672" s="449"/>
      <c r="U672" s="449"/>
      <c r="V672" s="449"/>
      <c r="W672" s="449"/>
      <c r="X672" s="449"/>
      <c r="Y672" s="449"/>
      <c r="Z672" s="449"/>
      <c r="AA672" s="449"/>
      <c r="AB672" s="449"/>
    </row>
    <row r="673">
      <c r="A673" s="337"/>
      <c r="B673" s="338"/>
      <c r="C673" s="338"/>
      <c r="D673" s="338"/>
      <c r="E673" s="338"/>
      <c r="F673" s="337"/>
      <c r="G673" s="449"/>
      <c r="H673" s="449"/>
      <c r="I673" s="449"/>
      <c r="J673" s="449"/>
      <c r="K673" s="449"/>
      <c r="L673" s="449"/>
      <c r="M673" s="449"/>
      <c r="N673" s="449"/>
      <c r="O673" s="449"/>
      <c r="P673" s="449"/>
      <c r="Q673" s="449"/>
      <c r="R673" s="449"/>
      <c r="S673" s="449"/>
      <c r="T673" s="449"/>
      <c r="U673" s="449"/>
      <c r="V673" s="449"/>
      <c r="W673" s="449"/>
      <c r="X673" s="449"/>
      <c r="Y673" s="449"/>
      <c r="Z673" s="449"/>
      <c r="AA673" s="449"/>
      <c r="AB673" s="449"/>
    </row>
    <row r="674">
      <c r="A674" s="337"/>
      <c r="B674" s="338"/>
      <c r="C674" s="338"/>
      <c r="D674" s="338"/>
      <c r="E674" s="338"/>
      <c r="F674" s="337"/>
      <c r="G674" s="449"/>
      <c r="H674" s="449"/>
      <c r="I674" s="449"/>
      <c r="J674" s="449"/>
      <c r="K674" s="449"/>
      <c r="L674" s="449"/>
      <c r="M674" s="449"/>
      <c r="N674" s="449"/>
      <c r="O674" s="449"/>
      <c r="P674" s="449"/>
      <c r="Q674" s="449"/>
      <c r="R674" s="449"/>
      <c r="S674" s="449"/>
      <c r="T674" s="449"/>
      <c r="U674" s="449"/>
      <c r="V674" s="449"/>
      <c r="W674" s="449"/>
      <c r="X674" s="449"/>
      <c r="Y674" s="449"/>
      <c r="Z674" s="449"/>
      <c r="AA674" s="449"/>
      <c r="AB674" s="449"/>
    </row>
    <row r="675">
      <c r="A675" s="337"/>
      <c r="B675" s="338"/>
      <c r="C675" s="338"/>
      <c r="D675" s="338"/>
      <c r="E675" s="338"/>
      <c r="F675" s="337"/>
      <c r="G675" s="449"/>
      <c r="H675" s="449"/>
      <c r="I675" s="449"/>
      <c r="J675" s="449"/>
      <c r="K675" s="449"/>
      <c r="L675" s="449"/>
      <c r="M675" s="449"/>
      <c r="N675" s="449"/>
      <c r="O675" s="449"/>
      <c r="P675" s="449"/>
      <c r="Q675" s="449"/>
      <c r="R675" s="449"/>
      <c r="S675" s="449"/>
      <c r="T675" s="449"/>
      <c r="U675" s="449"/>
      <c r="V675" s="449"/>
      <c r="W675" s="449"/>
      <c r="X675" s="449"/>
      <c r="Y675" s="449"/>
      <c r="Z675" s="449"/>
      <c r="AA675" s="449"/>
      <c r="AB675" s="449"/>
    </row>
    <row r="676">
      <c r="A676" s="337"/>
      <c r="B676" s="338"/>
      <c r="C676" s="338"/>
      <c r="D676" s="338"/>
      <c r="E676" s="338"/>
      <c r="F676" s="337"/>
      <c r="G676" s="449"/>
      <c r="H676" s="449"/>
      <c r="I676" s="449"/>
      <c r="J676" s="449"/>
      <c r="K676" s="449"/>
      <c r="L676" s="449"/>
      <c r="M676" s="449"/>
      <c r="N676" s="449"/>
      <c r="O676" s="449"/>
      <c r="P676" s="449"/>
      <c r="Q676" s="449"/>
      <c r="R676" s="449"/>
      <c r="S676" s="449"/>
      <c r="T676" s="449"/>
      <c r="U676" s="449"/>
      <c r="V676" s="449"/>
      <c r="W676" s="449"/>
      <c r="X676" s="449"/>
      <c r="Y676" s="449"/>
      <c r="Z676" s="449"/>
      <c r="AA676" s="449"/>
      <c r="AB676" s="449"/>
    </row>
    <row r="677">
      <c r="A677" s="337"/>
      <c r="B677" s="338"/>
      <c r="C677" s="338"/>
      <c r="D677" s="338"/>
      <c r="E677" s="338"/>
      <c r="F677" s="337"/>
      <c r="G677" s="449"/>
      <c r="H677" s="449"/>
      <c r="I677" s="449"/>
      <c r="J677" s="449"/>
      <c r="K677" s="449"/>
      <c r="L677" s="449"/>
      <c r="M677" s="449"/>
      <c r="N677" s="449"/>
      <c r="O677" s="449"/>
      <c r="P677" s="449"/>
      <c r="Q677" s="449"/>
      <c r="R677" s="449"/>
      <c r="S677" s="449"/>
      <c r="T677" s="449"/>
      <c r="U677" s="449"/>
      <c r="V677" s="449"/>
      <c r="W677" s="449"/>
      <c r="X677" s="449"/>
      <c r="Y677" s="449"/>
      <c r="Z677" s="449"/>
      <c r="AA677" s="449"/>
      <c r="AB677" s="449"/>
    </row>
    <row r="678">
      <c r="A678" s="337"/>
      <c r="B678" s="338"/>
      <c r="C678" s="338"/>
      <c r="D678" s="338"/>
      <c r="E678" s="338"/>
      <c r="F678" s="337"/>
      <c r="G678" s="449"/>
      <c r="H678" s="449"/>
      <c r="I678" s="449"/>
      <c r="J678" s="449"/>
      <c r="K678" s="449"/>
      <c r="L678" s="449"/>
      <c r="M678" s="449"/>
      <c r="N678" s="449"/>
      <c r="O678" s="449"/>
      <c r="P678" s="449"/>
      <c r="Q678" s="449"/>
      <c r="R678" s="449"/>
      <c r="S678" s="449"/>
      <c r="T678" s="449"/>
      <c r="U678" s="449"/>
      <c r="V678" s="449"/>
      <c r="W678" s="449"/>
      <c r="X678" s="449"/>
      <c r="Y678" s="449"/>
      <c r="Z678" s="449"/>
      <c r="AA678" s="449"/>
      <c r="AB678" s="449"/>
    </row>
    <row r="679">
      <c r="A679" s="337"/>
      <c r="B679" s="338"/>
      <c r="C679" s="338"/>
      <c r="D679" s="338"/>
      <c r="E679" s="338"/>
      <c r="F679" s="337"/>
      <c r="G679" s="449"/>
      <c r="H679" s="449"/>
      <c r="I679" s="449"/>
      <c r="J679" s="449"/>
      <c r="K679" s="449"/>
      <c r="L679" s="449"/>
      <c r="M679" s="449"/>
      <c r="N679" s="449"/>
      <c r="O679" s="449"/>
      <c r="P679" s="449"/>
      <c r="Q679" s="449"/>
      <c r="R679" s="449"/>
      <c r="S679" s="449"/>
      <c r="T679" s="449"/>
      <c r="U679" s="449"/>
      <c r="V679" s="449"/>
      <c r="W679" s="449"/>
      <c r="X679" s="449"/>
      <c r="Y679" s="449"/>
      <c r="Z679" s="449"/>
      <c r="AA679" s="449"/>
      <c r="AB679" s="449"/>
    </row>
    <row r="680">
      <c r="A680" s="337"/>
      <c r="B680" s="338"/>
      <c r="C680" s="338"/>
      <c r="D680" s="338"/>
      <c r="E680" s="338"/>
      <c r="F680" s="337"/>
      <c r="G680" s="449"/>
      <c r="H680" s="449"/>
      <c r="I680" s="449"/>
      <c r="J680" s="449"/>
      <c r="K680" s="449"/>
      <c r="L680" s="449"/>
      <c r="M680" s="449"/>
      <c r="N680" s="449"/>
      <c r="O680" s="449"/>
      <c r="P680" s="449"/>
      <c r="Q680" s="449"/>
      <c r="R680" s="449"/>
      <c r="S680" s="449"/>
      <c r="T680" s="449"/>
      <c r="U680" s="449"/>
      <c r="V680" s="449"/>
      <c r="W680" s="449"/>
      <c r="X680" s="449"/>
      <c r="Y680" s="449"/>
      <c r="Z680" s="449"/>
      <c r="AA680" s="449"/>
      <c r="AB680" s="449"/>
    </row>
    <row r="681">
      <c r="A681" s="337"/>
      <c r="B681" s="338"/>
      <c r="C681" s="338"/>
      <c r="D681" s="338"/>
      <c r="E681" s="338"/>
      <c r="F681" s="337"/>
      <c r="G681" s="449"/>
      <c r="H681" s="449"/>
      <c r="I681" s="449"/>
      <c r="J681" s="449"/>
      <c r="K681" s="449"/>
      <c r="L681" s="449"/>
      <c r="M681" s="449"/>
      <c r="N681" s="449"/>
      <c r="O681" s="449"/>
      <c r="P681" s="449"/>
      <c r="Q681" s="449"/>
      <c r="R681" s="449"/>
      <c r="S681" s="449"/>
      <c r="T681" s="449"/>
      <c r="U681" s="449"/>
      <c r="V681" s="449"/>
      <c r="W681" s="449"/>
      <c r="X681" s="449"/>
      <c r="Y681" s="449"/>
      <c r="Z681" s="449"/>
      <c r="AA681" s="449"/>
      <c r="AB681" s="449"/>
    </row>
    <row r="682">
      <c r="A682" s="337"/>
      <c r="B682" s="338"/>
      <c r="C682" s="338"/>
      <c r="D682" s="338"/>
      <c r="E682" s="338"/>
      <c r="F682" s="337"/>
      <c r="G682" s="449"/>
      <c r="H682" s="449"/>
      <c r="I682" s="449"/>
      <c r="J682" s="449"/>
      <c r="K682" s="449"/>
      <c r="L682" s="449"/>
      <c r="M682" s="449"/>
      <c r="N682" s="449"/>
      <c r="O682" s="449"/>
      <c r="P682" s="449"/>
      <c r="Q682" s="449"/>
      <c r="R682" s="449"/>
      <c r="S682" s="449"/>
      <c r="T682" s="449"/>
      <c r="U682" s="449"/>
      <c r="V682" s="449"/>
      <c r="W682" s="449"/>
      <c r="X682" s="449"/>
      <c r="Y682" s="449"/>
      <c r="Z682" s="449"/>
      <c r="AA682" s="449"/>
      <c r="AB682" s="449"/>
    </row>
    <row r="683">
      <c r="A683" s="337"/>
      <c r="B683" s="338"/>
      <c r="C683" s="338"/>
      <c r="D683" s="338"/>
      <c r="E683" s="338"/>
      <c r="F683" s="337"/>
      <c r="G683" s="449"/>
      <c r="H683" s="449"/>
      <c r="I683" s="449"/>
      <c r="J683" s="449"/>
      <c r="K683" s="449"/>
      <c r="L683" s="449"/>
      <c r="M683" s="449"/>
      <c r="N683" s="449"/>
      <c r="O683" s="449"/>
      <c r="P683" s="449"/>
      <c r="Q683" s="449"/>
      <c r="R683" s="449"/>
      <c r="S683" s="449"/>
      <c r="T683" s="449"/>
      <c r="U683" s="449"/>
      <c r="V683" s="449"/>
      <c r="W683" s="449"/>
      <c r="X683" s="449"/>
      <c r="Y683" s="449"/>
      <c r="Z683" s="449"/>
      <c r="AA683" s="449"/>
      <c r="AB683" s="449"/>
    </row>
    <row r="684">
      <c r="A684" s="337"/>
      <c r="B684" s="338"/>
      <c r="C684" s="338"/>
      <c r="D684" s="338"/>
      <c r="E684" s="338"/>
      <c r="F684" s="337"/>
      <c r="G684" s="449"/>
      <c r="H684" s="449"/>
      <c r="I684" s="449"/>
      <c r="J684" s="449"/>
      <c r="K684" s="449"/>
      <c r="L684" s="449"/>
      <c r="M684" s="449"/>
      <c r="N684" s="449"/>
      <c r="O684" s="449"/>
      <c r="P684" s="449"/>
      <c r="Q684" s="449"/>
      <c r="R684" s="449"/>
      <c r="S684" s="449"/>
      <c r="T684" s="449"/>
      <c r="U684" s="449"/>
      <c r="V684" s="449"/>
      <c r="W684" s="449"/>
      <c r="X684" s="449"/>
      <c r="Y684" s="449"/>
      <c r="Z684" s="449"/>
      <c r="AA684" s="449"/>
      <c r="AB684" s="449"/>
    </row>
    <row r="685">
      <c r="A685" s="337"/>
      <c r="B685" s="338"/>
      <c r="C685" s="338"/>
      <c r="D685" s="338"/>
      <c r="E685" s="338"/>
      <c r="F685" s="337"/>
      <c r="G685" s="449"/>
      <c r="H685" s="449"/>
      <c r="I685" s="449"/>
      <c r="J685" s="449"/>
      <c r="K685" s="449"/>
      <c r="L685" s="449"/>
      <c r="M685" s="449"/>
      <c r="N685" s="449"/>
      <c r="O685" s="449"/>
      <c r="P685" s="449"/>
      <c r="Q685" s="449"/>
      <c r="R685" s="449"/>
      <c r="S685" s="449"/>
      <c r="T685" s="449"/>
      <c r="U685" s="449"/>
      <c r="V685" s="449"/>
      <c r="W685" s="449"/>
      <c r="X685" s="449"/>
      <c r="Y685" s="449"/>
      <c r="Z685" s="449"/>
      <c r="AA685" s="449"/>
      <c r="AB685" s="449"/>
    </row>
    <row r="686">
      <c r="A686" s="337"/>
      <c r="B686" s="338"/>
      <c r="C686" s="338"/>
      <c r="D686" s="338"/>
      <c r="E686" s="338"/>
      <c r="F686" s="337"/>
      <c r="G686" s="449"/>
      <c r="H686" s="449"/>
      <c r="I686" s="449"/>
      <c r="J686" s="449"/>
      <c r="K686" s="449"/>
      <c r="L686" s="449"/>
      <c r="M686" s="449"/>
      <c r="N686" s="449"/>
      <c r="O686" s="449"/>
      <c r="P686" s="449"/>
      <c r="Q686" s="449"/>
      <c r="R686" s="449"/>
      <c r="S686" s="449"/>
      <c r="T686" s="449"/>
      <c r="U686" s="449"/>
      <c r="V686" s="449"/>
      <c r="W686" s="449"/>
      <c r="X686" s="449"/>
      <c r="Y686" s="449"/>
      <c r="Z686" s="449"/>
      <c r="AA686" s="449"/>
      <c r="AB686" s="449"/>
    </row>
    <row r="687">
      <c r="A687" s="337"/>
      <c r="B687" s="338"/>
      <c r="C687" s="338"/>
      <c r="D687" s="338"/>
      <c r="E687" s="338"/>
      <c r="F687" s="337"/>
      <c r="G687" s="449"/>
      <c r="H687" s="449"/>
      <c r="I687" s="449"/>
      <c r="J687" s="449"/>
      <c r="K687" s="449"/>
      <c r="L687" s="449"/>
      <c r="M687" s="449"/>
      <c r="N687" s="449"/>
      <c r="O687" s="449"/>
      <c r="P687" s="449"/>
      <c r="Q687" s="449"/>
      <c r="R687" s="449"/>
      <c r="S687" s="449"/>
      <c r="T687" s="449"/>
      <c r="U687" s="449"/>
      <c r="V687" s="449"/>
      <c r="W687" s="449"/>
      <c r="X687" s="449"/>
      <c r="Y687" s="449"/>
      <c r="Z687" s="449"/>
      <c r="AA687" s="449"/>
      <c r="AB687" s="449"/>
    </row>
    <row r="688">
      <c r="A688" s="337"/>
      <c r="B688" s="338"/>
      <c r="C688" s="338"/>
      <c r="D688" s="338"/>
      <c r="E688" s="338"/>
      <c r="F688" s="337"/>
      <c r="G688" s="449"/>
      <c r="H688" s="449"/>
      <c r="I688" s="449"/>
      <c r="J688" s="449"/>
      <c r="K688" s="449"/>
      <c r="L688" s="449"/>
      <c r="M688" s="449"/>
      <c r="N688" s="449"/>
      <c r="O688" s="449"/>
      <c r="P688" s="449"/>
      <c r="Q688" s="449"/>
      <c r="R688" s="449"/>
      <c r="S688" s="449"/>
      <c r="T688" s="449"/>
      <c r="U688" s="449"/>
      <c r="V688" s="449"/>
      <c r="W688" s="449"/>
      <c r="X688" s="449"/>
      <c r="Y688" s="449"/>
      <c r="Z688" s="449"/>
      <c r="AA688" s="449"/>
      <c r="AB688" s="449"/>
    </row>
    <row r="689">
      <c r="A689" s="337"/>
      <c r="B689" s="338"/>
      <c r="C689" s="338"/>
      <c r="D689" s="338"/>
      <c r="E689" s="338"/>
      <c r="F689" s="337"/>
      <c r="G689" s="449"/>
      <c r="H689" s="449"/>
      <c r="I689" s="449"/>
      <c r="J689" s="449"/>
      <c r="K689" s="449"/>
      <c r="L689" s="449"/>
      <c r="M689" s="449"/>
      <c r="N689" s="449"/>
      <c r="O689" s="449"/>
      <c r="P689" s="449"/>
      <c r="Q689" s="449"/>
      <c r="R689" s="449"/>
      <c r="S689" s="449"/>
      <c r="T689" s="449"/>
      <c r="U689" s="449"/>
      <c r="V689" s="449"/>
      <c r="W689" s="449"/>
      <c r="X689" s="449"/>
      <c r="Y689" s="449"/>
      <c r="Z689" s="449"/>
      <c r="AA689" s="449"/>
      <c r="AB689" s="449"/>
    </row>
    <row r="690">
      <c r="A690" s="337"/>
      <c r="B690" s="338"/>
      <c r="C690" s="338"/>
      <c r="D690" s="338"/>
      <c r="E690" s="338"/>
      <c r="F690" s="337"/>
      <c r="G690" s="449"/>
      <c r="H690" s="449"/>
      <c r="I690" s="449"/>
      <c r="J690" s="449"/>
      <c r="K690" s="449"/>
      <c r="L690" s="449"/>
      <c r="M690" s="449"/>
      <c r="N690" s="449"/>
      <c r="O690" s="449"/>
      <c r="P690" s="449"/>
      <c r="Q690" s="449"/>
      <c r="R690" s="449"/>
      <c r="S690" s="449"/>
      <c r="T690" s="449"/>
      <c r="U690" s="449"/>
      <c r="V690" s="449"/>
      <c r="W690" s="449"/>
      <c r="X690" s="449"/>
      <c r="Y690" s="449"/>
      <c r="Z690" s="449"/>
      <c r="AA690" s="449"/>
      <c r="AB690" s="449"/>
    </row>
    <row r="691">
      <c r="A691" s="337"/>
      <c r="B691" s="338"/>
      <c r="C691" s="338"/>
      <c r="D691" s="338"/>
      <c r="E691" s="338"/>
      <c r="F691" s="337"/>
      <c r="G691" s="449"/>
      <c r="H691" s="449"/>
      <c r="I691" s="449"/>
      <c r="J691" s="449"/>
      <c r="K691" s="449"/>
      <c r="L691" s="449"/>
      <c r="M691" s="449"/>
      <c r="N691" s="449"/>
      <c r="O691" s="449"/>
      <c r="P691" s="449"/>
      <c r="Q691" s="449"/>
      <c r="R691" s="449"/>
      <c r="S691" s="449"/>
      <c r="T691" s="449"/>
      <c r="U691" s="449"/>
      <c r="V691" s="449"/>
      <c r="W691" s="449"/>
      <c r="X691" s="449"/>
      <c r="Y691" s="449"/>
      <c r="Z691" s="449"/>
      <c r="AA691" s="449"/>
      <c r="AB691" s="449"/>
    </row>
    <row r="692">
      <c r="A692" s="337"/>
      <c r="B692" s="338"/>
      <c r="C692" s="338"/>
      <c r="D692" s="338"/>
      <c r="E692" s="338"/>
      <c r="F692" s="337"/>
      <c r="G692" s="449"/>
      <c r="H692" s="449"/>
      <c r="I692" s="449"/>
      <c r="J692" s="449"/>
      <c r="K692" s="449"/>
      <c r="L692" s="449"/>
      <c r="M692" s="449"/>
      <c r="N692" s="449"/>
      <c r="O692" s="449"/>
      <c r="P692" s="449"/>
      <c r="Q692" s="449"/>
      <c r="R692" s="449"/>
      <c r="S692" s="449"/>
      <c r="T692" s="449"/>
      <c r="U692" s="449"/>
      <c r="V692" s="449"/>
      <c r="W692" s="449"/>
      <c r="X692" s="449"/>
      <c r="Y692" s="449"/>
      <c r="Z692" s="449"/>
      <c r="AA692" s="449"/>
      <c r="AB692" s="449"/>
    </row>
    <row r="693">
      <c r="A693" s="337"/>
      <c r="B693" s="338"/>
      <c r="C693" s="338"/>
      <c r="D693" s="338"/>
      <c r="E693" s="338"/>
      <c r="F693" s="337"/>
      <c r="G693" s="449"/>
      <c r="H693" s="449"/>
      <c r="I693" s="449"/>
      <c r="J693" s="449"/>
      <c r="K693" s="449"/>
      <c r="L693" s="449"/>
      <c r="M693" s="449"/>
      <c r="N693" s="449"/>
      <c r="O693" s="449"/>
      <c r="P693" s="449"/>
      <c r="Q693" s="449"/>
      <c r="R693" s="449"/>
      <c r="S693" s="449"/>
      <c r="T693" s="449"/>
      <c r="U693" s="449"/>
      <c r="V693" s="449"/>
      <c r="W693" s="449"/>
      <c r="X693" s="449"/>
      <c r="Y693" s="449"/>
      <c r="Z693" s="449"/>
      <c r="AA693" s="449"/>
      <c r="AB693" s="449"/>
    </row>
    <row r="694">
      <c r="A694" s="337"/>
      <c r="B694" s="338"/>
      <c r="C694" s="338"/>
      <c r="D694" s="338"/>
      <c r="E694" s="338"/>
      <c r="F694" s="337"/>
      <c r="G694" s="449"/>
      <c r="H694" s="449"/>
      <c r="I694" s="449"/>
      <c r="J694" s="449"/>
      <c r="K694" s="449"/>
      <c r="L694" s="449"/>
      <c r="M694" s="449"/>
      <c r="N694" s="449"/>
      <c r="O694" s="449"/>
      <c r="P694" s="449"/>
      <c r="Q694" s="449"/>
      <c r="R694" s="449"/>
      <c r="S694" s="449"/>
      <c r="T694" s="449"/>
      <c r="U694" s="449"/>
      <c r="V694" s="449"/>
      <c r="W694" s="449"/>
      <c r="X694" s="449"/>
      <c r="Y694" s="449"/>
      <c r="Z694" s="449"/>
      <c r="AA694" s="449"/>
      <c r="AB694" s="449"/>
    </row>
    <row r="695">
      <c r="A695" s="337"/>
      <c r="B695" s="338"/>
      <c r="C695" s="338"/>
      <c r="D695" s="338"/>
      <c r="E695" s="338"/>
      <c r="F695" s="337"/>
      <c r="G695" s="449"/>
      <c r="H695" s="449"/>
      <c r="I695" s="449"/>
      <c r="J695" s="449"/>
      <c r="K695" s="449"/>
      <c r="L695" s="449"/>
      <c r="M695" s="449"/>
      <c r="N695" s="449"/>
      <c r="O695" s="449"/>
      <c r="P695" s="449"/>
      <c r="Q695" s="449"/>
      <c r="R695" s="449"/>
      <c r="S695" s="449"/>
      <c r="T695" s="449"/>
      <c r="U695" s="449"/>
      <c r="V695" s="449"/>
      <c r="W695" s="449"/>
      <c r="X695" s="449"/>
      <c r="Y695" s="449"/>
      <c r="Z695" s="449"/>
      <c r="AA695" s="449"/>
      <c r="AB695" s="449"/>
    </row>
    <row r="696">
      <c r="A696" s="337"/>
      <c r="B696" s="338"/>
      <c r="C696" s="338"/>
      <c r="D696" s="338"/>
      <c r="E696" s="338"/>
      <c r="F696" s="337"/>
      <c r="G696" s="449"/>
      <c r="H696" s="449"/>
      <c r="I696" s="449"/>
      <c r="J696" s="449"/>
      <c r="K696" s="449"/>
      <c r="L696" s="449"/>
      <c r="M696" s="449"/>
      <c r="N696" s="449"/>
      <c r="O696" s="449"/>
      <c r="P696" s="449"/>
      <c r="Q696" s="449"/>
      <c r="R696" s="449"/>
      <c r="S696" s="449"/>
      <c r="T696" s="449"/>
      <c r="U696" s="449"/>
      <c r="V696" s="449"/>
      <c r="W696" s="449"/>
      <c r="X696" s="449"/>
      <c r="Y696" s="449"/>
      <c r="Z696" s="449"/>
      <c r="AA696" s="449"/>
      <c r="AB696" s="449"/>
    </row>
    <row r="697">
      <c r="A697" s="337"/>
      <c r="B697" s="338"/>
      <c r="C697" s="338"/>
      <c r="D697" s="338"/>
      <c r="E697" s="338"/>
      <c r="F697" s="337"/>
      <c r="G697" s="449"/>
      <c r="H697" s="449"/>
      <c r="I697" s="449"/>
      <c r="J697" s="449"/>
      <c r="K697" s="449"/>
      <c r="L697" s="449"/>
      <c r="M697" s="449"/>
      <c r="N697" s="449"/>
      <c r="O697" s="449"/>
      <c r="P697" s="449"/>
      <c r="Q697" s="449"/>
      <c r="R697" s="449"/>
      <c r="S697" s="449"/>
      <c r="T697" s="449"/>
      <c r="U697" s="449"/>
      <c r="V697" s="449"/>
      <c r="W697" s="449"/>
      <c r="X697" s="449"/>
      <c r="Y697" s="449"/>
      <c r="Z697" s="449"/>
      <c r="AA697" s="449"/>
      <c r="AB697" s="449"/>
    </row>
    <row r="698">
      <c r="A698" s="337"/>
      <c r="B698" s="338"/>
      <c r="C698" s="338"/>
      <c r="D698" s="338"/>
      <c r="E698" s="338"/>
      <c r="F698" s="337"/>
      <c r="G698" s="449"/>
      <c r="H698" s="449"/>
      <c r="I698" s="449"/>
      <c r="J698" s="449"/>
      <c r="K698" s="449"/>
      <c r="L698" s="449"/>
      <c r="M698" s="449"/>
      <c r="N698" s="449"/>
      <c r="O698" s="449"/>
      <c r="P698" s="449"/>
      <c r="Q698" s="449"/>
      <c r="R698" s="449"/>
      <c r="S698" s="449"/>
      <c r="T698" s="449"/>
      <c r="U698" s="449"/>
      <c r="V698" s="449"/>
      <c r="W698" s="449"/>
      <c r="X698" s="449"/>
      <c r="Y698" s="449"/>
      <c r="Z698" s="449"/>
      <c r="AA698" s="449"/>
      <c r="AB698" s="449"/>
    </row>
    <row r="699">
      <c r="A699" s="337"/>
      <c r="B699" s="338"/>
      <c r="C699" s="338"/>
      <c r="D699" s="338"/>
      <c r="E699" s="338"/>
      <c r="F699" s="337"/>
      <c r="G699" s="449"/>
      <c r="H699" s="449"/>
      <c r="I699" s="449"/>
      <c r="J699" s="449"/>
      <c r="K699" s="449"/>
      <c r="L699" s="449"/>
      <c r="M699" s="449"/>
      <c r="N699" s="449"/>
      <c r="O699" s="449"/>
      <c r="P699" s="449"/>
      <c r="Q699" s="449"/>
      <c r="R699" s="449"/>
      <c r="S699" s="449"/>
      <c r="T699" s="449"/>
      <c r="U699" s="449"/>
      <c r="V699" s="449"/>
      <c r="W699" s="449"/>
      <c r="X699" s="449"/>
      <c r="Y699" s="449"/>
      <c r="Z699" s="449"/>
      <c r="AA699" s="449"/>
      <c r="AB699" s="449"/>
    </row>
    <row r="700">
      <c r="A700" s="337"/>
      <c r="B700" s="338"/>
      <c r="C700" s="338"/>
      <c r="D700" s="338"/>
      <c r="E700" s="338"/>
      <c r="F700" s="337"/>
      <c r="G700" s="449"/>
      <c r="H700" s="449"/>
      <c r="I700" s="449"/>
      <c r="J700" s="449"/>
      <c r="K700" s="449"/>
      <c r="L700" s="449"/>
      <c r="M700" s="449"/>
      <c r="N700" s="449"/>
      <c r="O700" s="449"/>
      <c r="P700" s="449"/>
      <c r="Q700" s="449"/>
      <c r="R700" s="449"/>
      <c r="S700" s="449"/>
      <c r="T700" s="449"/>
      <c r="U700" s="449"/>
      <c r="V700" s="449"/>
      <c r="W700" s="449"/>
      <c r="X700" s="449"/>
      <c r="Y700" s="449"/>
      <c r="Z700" s="449"/>
      <c r="AA700" s="449"/>
      <c r="AB700" s="449"/>
    </row>
    <row r="701">
      <c r="A701" s="337"/>
      <c r="B701" s="338"/>
      <c r="C701" s="338"/>
      <c r="D701" s="338"/>
      <c r="E701" s="338"/>
      <c r="F701" s="337"/>
      <c r="G701" s="449"/>
      <c r="H701" s="449"/>
      <c r="I701" s="449"/>
      <c r="J701" s="449"/>
      <c r="K701" s="449"/>
      <c r="L701" s="449"/>
      <c r="M701" s="449"/>
      <c r="N701" s="449"/>
      <c r="O701" s="449"/>
      <c r="P701" s="449"/>
      <c r="Q701" s="449"/>
      <c r="R701" s="449"/>
      <c r="S701" s="449"/>
      <c r="T701" s="449"/>
      <c r="U701" s="449"/>
      <c r="V701" s="449"/>
      <c r="W701" s="449"/>
      <c r="X701" s="449"/>
      <c r="Y701" s="449"/>
      <c r="Z701" s="449"/>
      <c r="AA701" s="449"/>
      <c r="AB701" s="449"/>
    </row>
    <row r="702">
      <c r="A702" s="337"/>
      <c r="B702" s="338"/>
      <c r="C702" s="338"/>
      <c r="D702" s="338"/>
      <c r="E702" s="338"/>
      <c r="F702" s="337"/>
      <c r="G702" s="449"/>
      <c r="H702" s="449"/>
      <c r="I702" s="449"/>
      <c r="J702" s="449"/>
      <c r="K702" s="449"/>
      <c r="L702" s="449"/>
      <c r="M702" s="449"/>
      <c r="N702" s="449"/>
      <c r="O702" s="449"/>
      <c r="P702" s="449"/>
      <c r="Q702" s="449"/>
      <c r="R702" s="449"/>
      <c r="S702" s="449"/>
      <c r="T702" s="449"/>
      <c r="U702" s="449"/>
      <c r="V702" s="449"/>
      <c r="W702" s="449"/>
      <c r="X702" s="449"/>
      <c r="Y702" s="449"/>
      <c r="Z702" s="449"/>
      <c r="AA702" s="449"/>
      <c r="AB702" s="449"/>
    </row>
    <row r="703">
      <c r="A703" s="337"/>
      <c r="B703" s="338"/>
      <c r="C703" s="338"/>
      <c r="D703" s="338"/>
      <c r="E703" s="338"/>
      <c r="F703" s="337"/>
      <c r="G703" s="449"/>
      <c r="H703" s="449"/>
      <c r="I703" s="449"/>
      <c r="J703" s="449"/>
      <c r="K703" s="449"/>
      <c r="L703" s="449"/>
      <c r="M703" s="449"/>
      <c r="N703" s="449"/>
      <c r="O703" s="449"/>
      <c r="P703" s="449"/>
      <c r="Q703" s="449"/>
      <c r="R703" s="449"/>
      <c r="S703" s="449"/>
      <c r="T703" s="449"/>
      <c r="U703" s="449"/>
      <c r="V703" s="449"/>
      <c r="W703" s="449"/>
      <c r="X703" s="449"/>
      <c r="Y703" s="449"/>
      <c r="Z703" s="449"/>
      <c r="AA703" s="449"/>
      <c r="AB703" s="449"/>
    </row>
    <row r="704">
      <c r="A704" s="337"/>
      <c r="B704" s="338"/>
      <c r="C704" s="338"/>
      <c r="D704" s="338"/>
      <c r="E704" s="338"/>
      <c r="F704" s="337"/>
      <c r="G704" s="449"/>
      <c r="H704" s="449"/>
      <c r="I704" s="449"/>
      <c r="J704" s="449"/>
      <c r="K704" s="449"/>
      <c r="L704" s="449"/>
      <c r="M704" s="449"/>
      <c r="N704" s="449"/>
      <c r="O704" s="449"/>
      <c r="P704" s="449"/>
      <c r="Q704" s="449"/>
      <c r="R704" s="449"/>
      <c r="S704" s="449"/>
      <c r="T704" s="449"/>
      <c r="U704" s="449"/>
      <c r="V704" s="449"/>
      <c r="W704" s="449"/>
      <c r="X704" s="449"/>
      <c r="Y704" s="449"/>
      <c r="Z704" s="449"/>
      <c r="AA704" s="449"/>
      <c r="AB704" s="449"/>
    </row>
    <row r="705">
      <c r="A705" s="337"/>
      <c r="B705" s="338"/>
      <c r="C705" s="338"/>
      <c r="D705" s="338"/>
      <c r="E705" s="338"/>
      <c r="F705" s="337"/>
      <c r="G705" s="449"/>
      <c r="H705" s="449"/>
      <c r="I705" s="449"/>
      <c r="J705" s="449"/>
      <c r="K705" s="449"/>
      <c r="L705" s="449"/>
      <c r="M705" s="449"/>
      <c r="N705" s="449"/>
      <c r="O705" s="449"/>
      <c r="P705" s="449"/>
      <c r="Q705" s="449"/>
      <c r="R705" s="449"/>
      <c r="S705" s="449"/>
      <c r="T705" s="449"/>
      <c r="U705" s="449"/>
      <c r="V705" s="449"/>
      <c r="W705" s="449"/>
      <c r="X705" s="449"/>
      <c r="Y705" s="449"/>
      <c r="Z705" s="449"/>
      <c r="AA705" s="449"/>
      <c r="AB705" s="449"/>
    </row>
    <row r="706">
      <c r="A706" s="337"/>
      <c r="B706" s="338"/>
      <c r="C706" s="338"/>
      <c r="D706" s="338"/>
      <c r="E706" s="338"/>
      <c r="F706" s="337"/>
      <c r="G706" s="449"/>
      <c r="H706" s="449"/>
      <c r="I706" s="449"/>
      <c r="J706" s="449"/>
      <c r="K706" s="449"/>
      <c r="L706" s="449"/>
      <c r="M706" s="449"/>
      <c r="N706" s="449"/>
      <c r="O706" s="449"/>
      <c r="P706" s="449"/>
      <c r="Q706" s="449"/>
      <c r="R706" s="449"/>
      <c r="S706" s="449"/>
      <c r="T706" s="449"/>
      <c r="U706" s="449"/>
      <c r="V706" s="449"/>
      <c r="W706" s="449"/>
      <c r="X706" s="449"/>
      <c r="Y706" s="449"/>
      <c r="Z706" s="449"/>
      <c r="AA706" s="449"/>
      <c r="AB706" s="449"/>
    </row>
    <row r="707">
      <c r="A707" s="337"/>
      <c r="B707" s="338"/>
      <c r="C707" s="338"/>
      <c r="D707" s="338"/>
      <c r="E707" s="338"/>
      <c r="F707" s="337"/>
      <c r="G707" s="449"/>
      <c r="H707" s="449"/>
      <c r="I707" s="449"/>
      <c r="J707" s="449"/>
      <c r="K707" s="449"/>
      <c r="L707" s="449"/>
      <c r="M707" s="449"/>
      <c r="N707" s="449"/>
      <c r="O707" s="449"/>
      <c r="P707" s="449"/>
      <c r="Q707" s="449"/>
      <c r="R707" s="449"/>
      <c r="S707" s="449"/>
      <c r="T707" s="449"/>
      <c r="U707" s="449"/>
      <c r="V707" s="449"/>
      <c r="W707" s="449"/>
      <c r="X707" s="449"/>
      <c r="Y707" s="449"/>
      <c r="Z707" s="449"/>
      <c r="AA707" s="449"/>
      <c r="AB707" s="449"/>
    </row>
    <row r="708">
      <c r="A708" s="337"/>
      <c r="B708" s="338"/>
      <c r="C708" s="338"/>
      <c r="D708" s="338"/>
      <c r="E708" s="338"/>
      <c r="F708" s="337"/>
      <c r="G708" s="449"/>
      <c r="H708" s="449"/>
      <c r="I708" s="449"/>
      <c r="J708" s="449"/>
      <c r="K708" s="449"/>
      <c r="L708" s="449"/>
      <c r="M708" s="449"/>
      <c r="N708" s="449"/>
      <c r="O708" s="449"/>
      <c r="P708" s="449"/>
      <c r="Q708" s="449"/>
      <c r="R708" s="449"/>
      <c r="S708" s="449"/>
      <c r="T708" s="449"/>
      <c r="U708" s="449"/>
      <c r="V708" s="449"/>
      <c r="W708" s="449"/>
      <c r="X708" s="449"/>
      <c r="Y708" s="449"/>
      <c r="Z708" s="449"/>
      <c r="AA708" s="449"/>
      <c r="AB708" s="449"/>
    </row>
    <row r="709">
      <c r="A709" s="337"/>
      <c r="B709" s="338"/>
      <c r="C709" s="338"/>
      <c r="D709" s="338"/>
      <c r="E709" s="338"/>
      <c r="F709" s="337"/>
      <c r="G709" s="449"/>
      <c r="H709" s="449"/>
      <c r="I709" s="449"/>
      <c r="J709" s="449"/>
      <c r="K709" s="449"/>
      <c r="L709" s="449"/>
      <c r="M709" s="449"/>
      <c r="N709" s="449"/>
      <c r="O709" s="449"/>
      <c r="P709" s="449"/>
      <c r="Q709" s="449"/>
      <c r="R709" s="449"/>
      <c r="S709" s="449"/>
      <c r="T709" s="449"/>
      <c r="U709" s="449"/>
      <c r="V709" s="449"/>
      <c r="W709" s="449"/>
      <c r="X709" s="449"/>
      <c r="Y709" s="449"/>
      <c r="Z709" s="449"/>
      <c r="AA709" s="449"/>
      <c r="AB709" s="449"/>
    </row>
    <row r="710">
      <c r="A710" s="337"/>
      <c r="B710" s="338"/>
      <c r="C710" s="338"/>
      <c r="D710" s="338"/>
      <c r="E710" s="338"/>
      <c r="F710" s="337"/>
      <c r="G710" s="449"/>
      <c r="H710" s="449"/>
      <c r="I710" s="449"/>
      <c r="J710" s="449"/>
      <c r="K710" s="449"/>
      <c r="L710" s="449"/>
      <c r="M710" s="449"/>
      <c r="N710" s="449"/>
      <c r="O710" s="449"/>
      <c r="P710" s="449"/>
      <c r="Q710" s="449"/>
      <c r="R710" s="449"/>
      <c r="S710" s="449"/>
      <c r="T710" s="449"/>
      <c r="U710" s="449"/>
      <c r="V710" s="449"/>
      <c r="W710" s="449"/>
      <c r="X710" s="449"/>
      <c r="Y710" s="449"/>
      <c r="Z710" s="449"/>
      <c r="AA710" s="449"/>
      <c r="AB710" s="449"/>
    </row>
    <row r="711">
      <c r="A711" s="337"/>
      <c r="B711" s="338"/>
      <c r="C711" s="338"/>
      <c r="D711" s="338"/>
      <c r="E711" s="338"/>
      <c r="F711" s="337"/>
      <c r="G711" s="449"/>
      <c r="H711" s="449"/>
      <c r="I711" s="449"/>
      <c r="J711" s="449"/>
      <c r="K711" s="449"/>
      <c r="L711" s="449"/>
      <c r="M711" s="449"/>
      <c r="N711" s="449"/>
      <c r="O711" s="449"/>
      <c r="P711" s="449"/>
      <c r="Q711" s="449"/>
      <c r="R711" s="449"/>
      <c r="S711" s="449"/>
      <c r="T711" s="449"/>
      <c r="U711" s="449"/>
      <c r="V711" s="449"/>
      <c r="W711" s="449"/>
      <c r="X711" s="449"/>
      <c r="Y711" s="449"/>
      <c r="Z711" s="449"/>
      <c r="AA711" s="449"/>
      <c r="AB711" s="449"/>
    </row>
    <row r="712">
      <c r="A712" s="337"/>
      <c r="B712" s="338"/>
      <c r="C712" s="338"/>
      <c r="D712" s="338"/>
      <c r="E712" s="338"/>
      <c r="F712" s="337"/>
      <c r="G712" s="449"/>
      <c r="H712" s="449"/>
      <c r="I712" s="449"/>
      <c r="J712" s="449"/>
      <c r="K712" s="449"/>
      <c r="L712" s="449"/>
      <c r="M712" s="449"/>
      <c r="N712" s="449"/>
      <c r="O712" s="449"/>
      <c r="P712" s="449"/>
      <c r="Q712" s="449"/>
      <c r="R712" s="449"/>
      <c r="S712" s="449"/>
      <c r="T712" s="449"/>
      <c r="U712" s="449"/>
      <c r="V712" s="449"/>
      <c r="W712" s="449"/>
      <c r="X712" s="449"/>
      <c r="Y712" s="449"/>
      <c r="Z712" s="449"/>
      <c r="AA712" s="449"/>
      <c r="AB712" s="449"/>
    </row>
    <row r="713">
      <c r="A713" s="337"/>
      <c r="B713" s="338"/>
      <c r="C713" s="338"/>
      <c r="D713" s="338"/>
      <c r="E713" s="338"/>
      <c r="F713" s="337"/>
      <c r="G713" s="449"/>
      <c r="H713" s="449"/>
      <c r="I713" s="449"/>
      <c r="J713" s="449"/>
      <c r="K713" s="449"/>
      <c r="L713" s="449"/>
      <c r="M713" s="449"/>
      <c r="N713" s="449"/>
      <c r="O713" s="449"/>
      <c r="P713" s="449"/>
      <c r="Q713" s="449"/>
      <c r="R713" s="449"/>
      <c r="S713" s="449"/>
      <c r="T713" s="449"/>
      <c r="U713" s="449"/>
      <c r="V713" s="449"/>
      <c r="W713" s="449"/>
      <c r="X713" s="449"/>
      <c r="Y713" s="449"/>
      <c r="Z713" s="449"/>
      <c r="AA713" s="449"/>
      <c r="AB713" s="449"/>
    </row>
    <row r="714">
      <c r="A714" s="337"/>
      <c r="B714" s="338"/>
      <c r="C714" s="338"/>
      <c r="D714" s="338"/>
      <c r="E714" s="338"/>
      <c r="F714" s="337"/>
      <c r="G714" s="449"/>
      <c r="H714" s="449"/>
      <c r="I714" s="449"/>
      <c r="J714" s="449"/>
      <c r="K714" s="449"/>
      <c r="L714" s="449"/>
      <c r="M714" s="449"/>
      <c r="N714" s="449"/>
      <c r="O714" s="449"/>
      <c r="P714" s="449"/>
      <c r="Q714" s="449"/>
      <c r="R714" s="449"/>
      <c r="S714" s="449"/>
      <c r="T714" s="449"/>
      <c r="U714" s="449"/>
      <c r="V714" s="449"/>
      <c r="W714" s="449"/>
      <c r="X714" s="449"/>
      <c r="Y714" s="449"/>
      <c r="Z714" s="449"/>
      <c r="AA714" s="449"/>
      <c r="AB714" s="449"/>
    </row>
    <row r="715">
      <c r="A715" s="337"/>
      <c r="B715" s="338"/>
      <c r="C715" s="338"/>
      <c r="D715" s="338"/>
      <c r="E715" s="338"/>
      <c r="F715" s="337"/>
      <c r="G715" s="449"/>
      <c r="H715" s="449"/>
      <c r="I715" s="449"/>
      <c r="J715" s="449"/>
      <c r="K715" s="449"/>
      <c r="L715" s="449"/>
      <c r="M715" s="449"/>
      <c r="N715" s="449"/>
      <c r="O715" s="449"/>
      <c r="P715" s="449"/>
      <c r="Q715" s="449"/>
      <c r="R715" s="449"/>
      <c r="S715" s="449"/>
      <c r="T715" s="449"/>
      <c r="U715" s="449"/>
      <c r="V715" s="449"/>
      <c r="W715" s="449"/>
      <c r="X715" s="449"/>
      <c r="Y715" s="449"/>
      <c r="Z715" s="449"/>
      <c r="AA715" s="449"/>
      <c r="AB715" s="449"/>
    </row>
    <row r="716">
      <c r="A716" s="337"/>
      <c r="B716" s="338"/>
      <c r="C716" s="338"/>
      <c r="D716" s="338"/>
      <c r="E716" s="338"/>
      <c r="F716" s="337"/>
      <c r="G716" s="449"/>
      <c r="H716" s="449"/>
      <c r="I716" s="449"/>
      <c r="J716" s="449"/>
      <c r="K716" s="449"/>
      <c r="L716" s="449"/>
      <c r="M716" s="449"/>
      <c r="N716" s="449"/>
      <c r="O716" s="449"/>
      <c r="P716" s="449"/>
      <c r="Q716" s="449"/>
      <c r="R716" s="449"/>
      <c r="S716" s="449"/>
      <c r="T716" s="449"/>
      <c r="U716" s="449"/>
      <c r="V716" s="449"/>
      <c r="W716" s="449"/>
      <c r="X716" s="449"/>
      <c r="Y716" s="449"/>
      <c r="Z716" s="449"/>
      <c r="AA716" s="449"/>
      <c r="AB716" s="449"/>
    </row>
    <row r="717">
      <c r="A717" s="337"/>
      <c r="B717" s="338"/>
      <c r="C717" s="338"/>
      <c r="D717" s="338"/>
      <c r="E717" s="338"/>
      <c r="F717" s="337"/>
      <c r="G717" s="449"/>
      <c r="H717" s="449"/>
      <c r="I717" s="449"/>
      <c r="J717" s="449"/>
      <c r="K717" s="449"/>
      <c r="L717" s="449"/>
      <c r="M717" s="449"/>
      <c r="N717" s="449"/>
      <c r="O717" s="449"/>
      <c r="P717" s="449"/>
      <c r="Q717" s="449"/>
      <c r="R717" s="449"/>
      <c r="S717" s="449"/>
      <c r="T717" s="449"/>
      <c r="U717" s="449"/>
      <c r="V717" s="449"/>
      <c r="W717" s="449"/>
      <c r="X717" s="449"/>
      <c r="Y717" s="449"/>
      <c r="Z717" s="449"/>
      <c r="AA717" s="449"/>
      <c r="AB717" s="449"/>
    </row>
    <row r="718">
      <c r="A718" s="337"/>
      <c r="B718" s="338"/>
      <c r="C718" s="338"/>
      <c r="D718" s="338"/>
      <c r="E718" s="338"/>
      <c r="F718" s="337"/>
      <c r="G718" s="449"/>
      <c r="H718" s="449"/>
      <c r="I718" s="449"/>
      <c r="J718" s="449"/>
      <c r="K718" s="449"/>
      <c r="L718" s="449"/>
      <c r="M718" s="449"/>
      <c r="N718" s="449"/>
      <c r="O718" s="449"/>
      <c r="P718" s="449"/>
      <c r="Q718" s="449"/>
      <c r="R718" s="449"/>
      <c r="S718" s="449"/>
      <c r="T718" s="449"/>
      <c r="U718" s="449"/>
      <c r="V718" s="449"/>
      <c r="W718" s="449"/>
      <c r="X718" s="449"/>
      <c r="Y718" s="449"/>
      <c r="Z718" s="449"/>
      <c r="AA718" s="449"/>
      <c r="AB718" s="449"/>
    </row>
    <row r="719">
      <c r="A719" s="337"/>
      <c r="B719" s="338"/>
      <c r="C719" s="338"/>
      <c r="D719" s="338"/>
      <c r="E719" s="338"/>
      <c r="F719" s="337"/>
      <c r="G719" s="449"/>
      <c r="H719" s="449"/>
      <c r="I719" s="449"/>
      <c r="J719" s="449"/>
      <c r="K719" s="449"/>
      <c r="L719" s="449"/>
      <c r="M719" s="449"/>
      <c r="N719" s="449"/>
      <c r="O719" s="449"/>
      <c r="P719" s="449"/>
      <c r="Q719" s="449"/>
      <c r="R719" s="449"/>
      <c r="S719" s="449"/>
      <c r="T719" s="449"/>
      <c r="U719" s="449"/>
      <c r="V719" s="449"/>
      <c r="W719" s="449"/>
      <c r="X719" s="449"/>
      <c r="Y719" s="449"/>
      <c r="Z719" s="449"/>
      <c r="AA719" s="449"/>
      <c r="AB719" s="449"/>
    </row>
    <row r="720">
      <c r="A720" s="337"/>
      <c r="B720" s="338"/>
      <c r="C720" s="338"/>
      <c r="D720" s="338"/>
      <c r="E720" s="338"/>
      <c r="F720" s="337"/>
      <c r="G720" s="449"/>
      <c r="H720" s="449"/>
      <c r="I720" s="449"/>
      <c r="J720" s="449"/>
      <c r="K720" s="449"/>
      <c r="L720" s="449"/>
      <c r="M720" s="449"/>
      <c r="N720" s="449"/>
      <c r="O720" s="449"/>
      <c r="P720" s="449"/>
      <c r="Q720" s="449"/>
      <c r="R720" s="449"/>
      <c r="S720" s="449"/>
      <c r="T720" s="449"/>
      <c r="U720" s="449"/>
      <c r="V720" s="449"/>
      <c r="W720" s="449"/>
      <c r="X720" s="449"/>
      <c r="Y720" s="449"/>
      <c r="Z720" s="449"/>
      <c r="AA720" s="449"/>
      <c r="AB720" s="449"/>
    </row>
    <row r="721">
      <c r="A721" s="337"/>
      <c r="B721" s="338"/>
      <c r="C721" s="338"/>
      <c r="D721" s="338"/>
      <c r="E721" s="338"/>
      <c r="F721" s="337"/>
      <c r="G721" s="449"/>
      <c r="H721" s="449"/>
      <c r="I721" s="449"/>
      <c r="J721" s="449"/>
      <c r="K721" s="449"/>
      <c r="L721" s="449"/>
      <c r="M721" s="449"/>
      <c r="N721" s="449"/>
      <c r="O721" s="449"/>
      <c r="P721" s="449"/>
      <c r="Q721" s="449"/>
      <c r="R721" s="449"/>
      <c r="S721" s="449"/>
      <c r="T721" s="449"/>
      <c r="U721" s="449"/>
      <c r="V721" s="449"/>
      <c r="W721" s="449"/>
      <c r="X721" s="449"/>
      <c r="Y721" s="449"/>
      <c r="Z721" s="449"/>
      <c r="AA721" s="449"/>
      <c r="AB721" s="449"/>
    </row>
    <row r="722">
      <c r="A722" s="337"/>
      <c r="B722" s="338"/>
      <c r="C722" s="338"/>
      <c r="D722" s="338"/>
      <c r="E722" s="338"/>
      <c r="F722" s="337"/>
      <c r="G722" s="449"/>
      <c r="H722" s="449"/>
      <c r="I722" s="449"/>
      <c r="J722" s="449"/>
      <c r="K722" s="449"/>
      <c r="L722" s="449"/>
      <c r="M722" s="449"/>
      <c r="N722" s="449"/>
      <c r="O722" s="449"/>
      <c r="P722" s="449"/>
      <c r="Q722" s="449"/>
      <c r="R722" s="449"/>
      <c r="S722" s="449"/>
      <c r="T722" s="449"/>
      <c r="U722" s="449"/>
      <c r="V722" s="449"/>
      <c r="W722" s="449"/>
      <c r="X722" s="449"/>
      <c r="Y722" s="449"/>
      <c r="Z722" s="449"/>
      <c r="AA722" s="449"/>
      <c r="AB722" s="449"/>
    </row>
    <row r="723">
      <c r="A723" s="337"/>
      <c r="B723" s="338"/>
      <c r="C723" s="338"/>
      <c r="D723" s="338"/>
      <c r="E723" s="338"/>
      <c r="F723" s="337"/>
      <c r="G723" s="449"/>
      <c r="H723" s="449"/>
      <c r="I723" s="449"/>
      <c r="J723" s="449"/>
      <c r="K723" s="449"/>
      <c r="L723" s="449"/>
      <c r="M723" s="449"/>
      <c r="N723" s="449"/>
      <c r="O723" s="449"/>
      <c r="P723" s="449"/>
      <c r="Q723" s="449"/>
      <c r="R723" s="449"/>
      <c r="S723" s="449"/>
      <c r="T723" s="449"/>
      <c r="U723" s="449"/>
      <c r="V723" s="449"/>
      <c r="W723" s="449"/>
      <c r="X723" s="449"/>
      <c r="Y723" s="449"/>
      <c r="Z723" s="449"/>
      <c r="AA723" s="449"/>
      <c r="AB723" s="449"/>
    </row>
    <row r="724">
      <c r="A724" s="337"/>
      <c r="B724" s="338"/>
      <c r="C724" s="338"/>
      <c r="D724" s="338"/>
      <c r="E724" s="338"/>
      <c r="F724" s="337"/>
      <c r="G724" s="449"/>
      <c r="H724" s="449"/>
      <c r="I724" s="449"/>
      <c r="J724" s="449"/>
      <c r="K724" s="449"/>
      <c r="L724" s="449"/>
      <c r="M724" s="449"/>
      <c r="N724" s="449"/>
      <c r="O724" s="449"/>
      <c r="P724" s="449"/>
      <c r="Q724" s="449"/>
      <c r="R724" s="449"/>
      <c r="S724" s="449"/>
      <c r="T724" s="449"/>
      <c r="U724" s="449"/>
      <c r="V724" s="449"/>
      <c r="W724" s="449"/>
      <c r="X724" s="449"/>
      <c r="Y724" s="449"/>
      <c r="Z724" s="449"/>
      <c r="AA724" s="449"/>
      <c r="AB724" s="449"/>
    </row>
    <row r="725">
      <c r="A725" s="337"/>
      <c r="B725" s="338"/>
      <c r="C725" s="338"/>
      <c r="D725" s="338"/>
      <c r="E725" s="338"/>
      <c r="F725" s="337"/>
      <c r="G725" s="449"/>
      <c r="H725" s="449"/>
      <c r="I725" s="449"/>
      <c r="J725" s="449"/>
      <c r="K725" s="449"/>
      <c r="L725" s="449"/>
      <c r="M725" s="449"/>
      <c r="N725" s="449"/>
      <c r="O725" s="449"/>
      <c r="P725" s="449"/>
      <c r="Q725" s="449"/>
      <c r="R725" s="449"/>
      <c r="S725" s="449"/>
      <c r="T725" s="449"/>
      <c r="U725" s="449"/>
      <c r="V725" s="449"/>
      <c r="W725" s="449"/>
      <c r="X725" s="449"/>
      <c r="Y725" s="449"/>
      <c r="Z725" s="449"/>
      <c r="AA725" s="449"/>
      <c r="AB725" s="449"/>
    </row>
    <row r="726">
      <c r="A726" s="337"/>
      <c r="B726" s="338"/>
      <c r="C726" s="338"/>
      <c r="D726" s="338"/>
      <c r="E726" s="338"/>
      <c r="F726" s="337"/>
      <c r="G726" s="449"/>
      <c r="H726" s="449"/>
      <c r="I726" s="449"/>
      <c r="J726" s="449"/>
      <c r="K726" s="449"/>
      <c r="L726" s="449"/>
      <c r="M726" s="449"/>
      <c r="N726" s="449"/>
      <c r="O726" s="449"/>
      <c r="P726" s="449"/>
      <c r="Q726" s="449"/>
      <c r="R726" s="449"/>
      <c r="S726" s="449"/>
      <c r="T726" s="449"/>
      <c r="U726" s="449"/>
      <c r="V726" s="449"/>
      <c r="W726" s="449"/>
      <c r="X726" s="449"/>
      <c r="Y726" s="449"/>
      <c r="Z726" s="449"/>
      <c r="AA726" s="449"/>
      <c r="AB726" s="449"/>
    </row>
    <row r="727">
      <c r="A727" s="337"/>
      <c r="B727" s="338"/>
      <c r="C727" s="338"/>
      <c r="D727" s="338"/>
      <c r="E727" s="338"/>
      <c r="F727" s="337"/>
      <c r="G727" s="449"/>
      <c r="H727" s="449"/>
      <c r="I727" s="449"/>
      <c r="J727" s="449"/>
      <c r="K727" s="449"/>
      <c r="L727" s="449"/>
      <c r="M727" s="449"/>
      <c r="N727" s="449"/>
      <c r="O727" s="449"/>
      <c r="P727" s="449"/>
      <c r="Q727" s="449"/>
      <c r="R727" s="449"/>
      <c r="S727" s="449"/>
      <c r="T727" s="449"/>
      <c r="U727" s="449"/>
      <c r="V727" s="449"/>
      <c r="W727" s="449"/>
      <c r="X727" s="449"/>
      <c r="Y727" s="449"/>
      <c r="Z727" s="449"/>
      <c r="AA727" s="449"/>
      <c r="AB727" s="449"/>
    </row>
    <row r="728">
      <c r="A728" s="337"/>
      <c r="B728" s="338"/>
      <c r="C728" s="338"/>
      <c r="D728" s="338"/>
      <c r="E728" s="338"/>
      <c r="F728" s="337"/>
      <c r="G728" s="449"/>
      <c r="H728" s="449"/>
      <c r="I728" s="449"/>
      <c r="J728" s="449"/>
      <c r="K728" s="449"/>
      <c r="L728" s="449"/>
      <c r="M728" s="449"/>
      <c r="N728" s="449"/>
      <c r="O728" s="449"/>
      <c r="P728" s="449"/>
      <c r="Q728" s="449"/>
      <c r="R728" s="449"/>
      <c r="S728" s="449"/>
      <c r="T728" s="449"/>
      <c r="U728" s="449"/>
      <c r="V728" s="449"/>
      <c r="W728" s="449"/>
      <c r="X728" s="449"/>
      <c r="Y728" s="449"/>
      <c r="Z728" s="449"/>
      <c r="AA728" s="449"/>
      <c r="AB728" s="449"/>
    </row>
    <row r="729">
      <c r="A729" s="337"/>
      <c r="B729" s="338"/>
      <c r="C729" s="338"/>
      <c r="D729" s="338"/>
      <c r="E729" s="338"/>
      <c r="F729" s="337"/>
      <c r="G729" s="449"/>
      <c r="H729" s="449"/>
      <c r="I729" s="449"/>
      <c r="J729" s="449"/>
      <c r="K729" s="449"/>
      <c r="L729" s="449"/>
      <c r="M729" s="449"/>
      <c r="N729" s="449"/>
      <c r="O729" s="449"/>
      <c r="P729" s="449"/>
      <c r="Q729" s="449"/>
      <c r="R729" s="449"/>
      <c r="S729" s="449"/>
      <c r="T729" s="449"/>
      <c r="U729" s="449"/>
      <c r="V729" s="449"/>
      <c r="W729" s="449"/>
      <c r="X729" s="449"/>
      <c r="Y729" s="449"/>
      <c r="Z729" s="449"/>
      <c r="AA729" s="449"/>
      <c r="AB729" s="449"/>
    </row>
    <row r="730">
      <c r="A730" s="337"/>
      <c r="B730" s="338"/>
      <c r="C730" s="338"/>
      <c r="D730" s="338"/>
      <c r="E730" s="338"/>
      <c r="F730" s="337"/>
      <c r="G730" s="449"/>
      <c r="H730" s="449"/>
      <c r="I730" s="449"/>
      <c r="J730" s="449"/>
      <c r="K730" s="449"/>
      <c r="L730" s="449"/>
      <c r="M730" s="449"/>
      <c r="N730" s="449"/>
      <c r="O730" s="449"/>
      <c r="P730" s="449"/>
      <c r="Q730" s="449"/>
      <c r="R730" s="449"/>
      <c r="S730" s="449"/>
      <c r="T730" s="449"/>
      <c r="U730" s="449"/>
      <c r="V730" s="449"/>
      <c r="W730" s="449"/>
      <c r="X730" s="449"/>
      <c r="Y730" s="449"/>
      <c r="Z730" s="449"/>
      <c r="AA730" s="449"/>
      <c r="AB730" s="449"/>
    </row>
    <row r="731">
      <c r="A731" s="337"/>
      <c r="B731" s="338"/>
      <c r="C731" s="338"/>
      <c r="D731" s="338"/>
      <c r="E731" s="338"/>
      <c r="F731" s="337"/>
      <c r="G731" s="449"/>
      <c r="H731" s="449"/>
      <c r="I731" s="449"/>
      <c r="J731" s="449"/>
      <c r="K731" s="449"/>
      <c r="L731" s="449"/>
      <c r="M731" s="449"/>
      <c r="N731" s="449"/>
      <c r="O731" s="449"/>
      <c r="P731" s="449"/>
      <c r="Q731" s="449"/>
      <c r="R731" s="449"/>
      <c r="S731" s="449"/>
      <c r="T731" s="449"/>
      <c r="U731" s="449"/>
      <c r="V731" s="449"/>
      <c r="W731" s="449"/>
      <c r="X731" s="449"/>
      <c r="Y731" s="449"/>
      <c r="Z731" s="449"/>
      <c r="AA731" s="449"/>
      <c r="AB731" s="449"/>
    </row>
    <row r="732">
      <c r="A732" s="337"/>
      <c r="B732" s="338"/>
      <c r="C732" s="338"/>
      <c r="D732" s="338"/>
      <c r="E732" s="338"/>
      <c r="F732" s="337"/>
      <c r="G732" s="449"/>
      <c r="H732" s="449"/>
      <c r="I732" s="449"/>
      <c r="J732" s="449"/>
      <c r="K732" s="449"/>
      <c r="L732" s="449"/>
      <c r="M732" s="449"/>
      <c r="N732" s="449"/>
      <c r="O732" s="449"/>
      <c r="P732" s="449"/>
      <c r="Q732" s="449"/>
      <c r="R732" s="449"/>
      <c r="S732" s="449"/>
      <c r="T732" s="449"/>
      <c r="U732" s="449"/>
      <c r="V732" s="449"/>
      <c r="W732" s="449"/>
      <c r="X732" s="449"/>
      <c r="Y732" s="449"/>
      <c r="Z732" s="449"/>
      <c r="AA732" s="449"/>
      <c r="AB732" s="449"/>
    </row>
    <row r="733">
      <c r="A733" s="337"/>
      <c r="B733" s="338"/>
      <c r="C733" s="338"/>
      <c r="D733" s="338"/>
      <c r="E733" s="338"/>
      <c r="F733" s="337"/>
      <c r="G733" s="449"/>
      <c r="H733" s="449"/>
      <c r="I733" s="449"/>
      <c r="J733" s="449"/>
      <c r="K733" s="449"/>
      <c r="L733" s="449"/>
      <c r="M733" s="449"/>
      <c r="N733" s="449"/>
      <c r="O733" s="449"/>
      <c r="P733" s="449"/>
      <c r="Q733" s="449"/>
      <c r="R733" s="449"/>
      <c r="S733" s="449"/>
      <c r="T733" s="449"/>
      <c r="U733" s="449"/>
      <c r="V733" s="449"/>
      <c r="W733" s="449"/>
      <c r="X733" s="449"/>
      <c r="Y733" s="449"/>
      <c r="Z733" s="449"/>
      <c r="AA733" s="449"/>
      <c r="AB733" s="449"/>
    </row>
    <row r="734">
      <c r="A734" s="337"/>
      <c r="B734" s="338"/>
      <c r="C734" s="338"/>
      <c r="D734" s="338"/>
      <c r="E734" s="338"/>
      <c r="F734" s="337"/>
      <c r="G734" s="449"/>
      <c r="H734" s="449"/>
      <c r="I734" s="449"/>
      <c r="J734" s="449"/>
      <c r="K734" s="449"/>
      <c r="L734" s="449"/>
      <c r="M734" s="449"/>
      <c r="N734" s="449"/>
      <c r="O734" s="449"/>
      <c r="P734" s="449"/>
      <c r="Q734" s="449"/>
      <c r="R734" s="449"/>
      <c r="S734" s="449"/>
      <c r="T734" s="449"/>
      <c r="U734" s="449"/>
      <c r="V734" s="449"/>
      <c r="W734" s="449"/>
      <c r="X734" s="449"/>
      <c r="Y734" s="449"/>
      <c r="Z734" s="449"/>
      <c r="AA734" s="449"/>
      <c r="AB734" s="449"/>
    </row>
    <row r="735">
      <c r="A735" s="337"/>
      <c r="B735" s="338"/>
      <c r="C735" s="338"/>
      <c r="D735" s="338"/>
      <c r="E735" s="338"/>
      <c r="F735" s="337"/>
      <c r="G735" s="449"/>
      <c r="H735" s="449"/>
      <c r="I735" s="449"/>
      <c r="J735" s="449"/>
      <c r="K735" s="449"/>
      <c r="L735" s="449"/>
      <c r="M735" s="449"/>
      <c r="N735" s="449"/>
      <c r="O735" s="449"/>
      <c r="P735" s="449"/>
      <c r="Q735" s="449"/>
      <c r="R735" s="449"/>
      <c r="S735" s="449"/>
      <c r="T735" s="449"/>
      <c r="U735" s="449"/>
      <c r="V735" s="449"/>
      <c r="W735" s="449"/>
      <c r="X735" s="449"/>
      <c r="Y735" s="449"/>
      <c r="Z735" s="449"/>
      <c r="AA735" s="449"/>
      <c r="AB735" s="449"/>
    </row>
    <row r="736">
      <c r="A736" s="337"/>
      <c r="B736" s="338"/>
      <c r="C736" s="338"/>
      <c r="D736" s="338"/>
      <c r="E736" s="338"/>
      <c r="F736" s="337"/>
      <c r="G736" s="449"/>
      <c r="H736" s="449"/>
      <c r="I736" s="449"/>
      <c r="J736" s="449"/>
      <c r="K736" s="449"/>
      <c r="L736" s="449"/>
      <c r="M736" s="449"/>
      <c r="N736" s="449"/>
      <c r="O736" s="449"/>
      <c r="P736" s="449"/>
      <c r="Q736" s="449"/>
      <c r="R736" s="449"/>
      <c r="S736" s="449"/>
      <c r="T736" s="449"/>
      <c r="U736" s="449"/>
      <c r="V736" s="449"/>
      <c r="W736" s="449"/>
      <c r="X736" s="449"/>
      <c r="Y736" s="449"/>
      <c r="Z736" s="449"/>
      <c r="AA736" s="449"/>
      <c r="AB736" s="449"/>
    </row>
    <row r="737">
      <c r="A737" s="337"/>
      <c r="B737" s="338"/>
      <c r="C737" s="338"/>
      <c r="D737" s="338"/>
      <c r="E737" s="338"/>
      <c r="F737" s="337"/>
      <c r="G737" s="449"/>
      <c r="H737" s="449"/>
      <c r="I737" s="449"/>
      <c r="J737" s="449"/>
      <c r="K737" s="449"/>
      <c r="L737" s="449"/>
      <c r="M737" s="449"/>
      <c r="N737" s="449"/>
      <c r="O737" s="449"/>
      <c r="P737" s="449"/>
      <c r="Q737" s="449"/>
      <c r="R737" s="449"/>
      <c r="S737" s="449"/>
      <c r="T737" s="449"/>
      <c r="U737" s="449"/>
      <c r="V737" s="449"/>
      <c r="W737" s="449"/>
      <c r="X737" s="449"/>
      <c r="Y737" s="449"/>
      <c r="Z737" s="449"/>
      <c r="AA737" s="449"/>
      <c r="AB737" s="449"/>
    </row>
    <row r="738">
      <c r="A738" s="337"/>
      <c r="B738" s="338"/>
      <c r="C738" s="338"/>
      <c r="D738" s="338"/>
      <c r="E738" s="338"/>
      <c r="F738" s="337"/>
      <c r="G738" s="449"/>
      <c r="H738" s="449"/>
      <c r="I738" s="449"/>
      <c r="J738" s="449"/>
      <c r="K738" s="449"/>
      <c r="L738" s="449"/>
      <c r="M738" s="449"/>
      <c r="N738" s="449"/>
      <c r="O738" s="449"/>
      <c r="P738" s="449"/>
      <c r="Q738" s="449"/>
      <c r="R738" s="449"/>
      <c r="S738" s="449"/>
      <c r="T738" s="449"/>
      <c r="U738" s="449"/>
      <c r="V738" s="449"/>
      <c r="W738" s="449"/>
      <c r="X738" s="449"/>
      <c r="Y738" s="449"/>
      <c r="Z738" s="449"/>
      <c r="AA738" s="449"/>
      <c r="AB738" s="449"/>
    </row>
    <row r="739">
      <c r="A739" s="337"/>
      <c r="B739" s="338"/>
      <c r="C739" s="338"/>
      <c r="D739" s="338"/>
      <c r="E739" s="338"/>
      <c r="F739" s="337"/>
      <c r="G739" s="449"/>
      <c r="H739" s="449"/>
      <c r="I739" s="449"/>
      <c r="J739" s="449"/>
      <c r="K739" s="449"/>
      <c r="L739" s="449"/>
      <c r="M739" s="449"/>
      <c r="N739" s="449"/>
      <c r="O739" s="449"/>
      <c r="P739" s="449"/>
      <c r="Q739" s="449"/>
      <c r="R739" s="449"/>
      <c r="S739" s="449"/>
      <c r="T739" s="449"/>
      <c r="U739" s="449"/>
      <c r="V739" s="449"/>
      <c r="W739" s="449"/>
      <c r="X739" s="449"/>
      <c r="Y739" s="449"/>
      <c r="Z739" s="449"/>
      <c r="AA739" s="449"/>
      <c r="AB739" s="449"/>
    </row>
    <row r="740">
      <c r="A740" s="337"/>
      <c r="B740" s="338"/>
      <c r="C740" s="338"/>
      <c r="D740" s="338"/>
      <c r="E740" s="338"/>
      <c r="F740" s="337"/>
      <c r="G740" s="449"/>
      <c r="H740" s="449"/>
      <c r="I740" s="449"/>
      <c r="J740" s="449"/>
      <c r="K740" s="449"/>
      <c r="L740" s="449"/>
      <c r="M740" s="449"/>
      <c r="N740" s="449"/>
      <c r="O740" s="449"/>
      <c r="P740" s="449"/>
      <c r="Q740" s="449"/>
      <c r="R740" s="449"/>
      <c r="S740" s="449"/>
      <c r="T740" s="449"/>
      <c r="U740" s="449"/>
      <c r="V740" s="449"/>
      <c r="W740" s="449"/>
      <c r="X740" s="449"/>
      <c r="Y740" s="449"/>
      <c r="Z740" s="449"/>
      <c r="AA740" s="449"/>
      <c r="AB740" s="449"/>
    </row>
    <row r="741">
      <c r="A741" s="337"/>
      <c r="B741" s="338"/>
      <c r="C741" s="338"/>
      <c r="D741" s="338"/>
      <c r="E741" s="338"/>
      <c r="F741" s="337"/>
      <c r="G741" s="449"/>
      <c r="H741" s="449"/>
      <c r="I741" s="449"/>
      <c r="J741" s="449"/>
      <c r="K741" s="449"/>
      <c r="L741" s="449"/>
      <c r="M741" s="449"/>
      <c r="N741" s="449"/>
      <c r="O741" s="449"/>
      <c r="P741" s="449"/>
      <c r="Q741" s="449"/>
      <c r="R741" s="449"/>
      <c r="S741" s="449"/>
      <c r="T741" s="449"/>
      <c r="U741" s="449"/>
      <c r="V741" s="449"/>
      <c r="W741" s="449"/>
      <c r="X741" s="449"/>
      <c r="Y741" s="449"/>
      <c r="Z741" s="449"/>
      <c r="AA741" s="449"/>
      <c r="AB741" s="449"/>
    </row>
    <row r="742">
      <c r="A742" s="337"/>
      <c r="B742" s="338"/>
      <c r="C742" s="338"/>
      <c r="D742" s="338"/>
      <c r="E742" s="338"/>
      <c r="F742" s="337"/>
      <c r="G742" s="449"/>
      <c r="H742" s="449"/>
      <c r="I742" s="449"/>
      <c r="J742" s="449"/>
      <c r="K742" s="449"/>
      <c r="L742" s="449"/>
      <c r="M742" s="449"/>
      <c r="N742" s="449"/>
      <c r="O742" s="449"/>
      <c r="P742" s="449"/>
      <c r="Q742" s="449"/>
      <c r="R742" s="449"/>
      <c r="S742" s="449"/>
      <c r="T742" s="449"/>
      <c r="U742" s="449"/>
      <c r="V742" s="449"/>
      <c r="W742" s="449"/>
      <c r="X742" s="449"/>
      <c r="Y742" s="449"/>
      <c r="Z742" s="449"/>
      <c r="AA742" s="449"/>
      <c r="AB742" s="449"/>
    </row>
    <row r="743">
      <c r="A743" s="337"/>
      <c r="B743" s="338"/>
      <c r="C743" s="338"/>
      <c r="D743" s="338"/>
      <c r="E743" s="338"/>
      <c r="F743" s="337"/>
      <c r="G743" s="449"/>
      <c r="H743" s="449"/>
      <c r="I743" s="449"/>
      <c r="J743" s="449"/>
      <c r="K743" s="449"/>
      <c r="L743" s="449"/>
      <c r="M743" s="449"/>
      <c r="N743" s="449"/>
      <c r="O743" s="449"/>
      <c r="P743" s="449"/>
      <c r="Q743" s="449"/>
      <c r="R743" s="449"/>
      <c r="S743" s="449"/>
      <c r="T743" s="449"/>
      <c r="U743" s="449"/>
      <c r="V743" s="449"/>
      <c r="W743" s="449"/>
      <c r="X743" s="449"/>
      <c r="Y743" s="449"/>
      <c r="Z743" s="449"/>
      <c r="AA743" s="449"/>
      <c r="AB743" s="449"/>
    </row>
    <row r="744">
      <c r="A744" s="337"/>
      <c r="B744" s="338"/>
      <c r="C744" s="338"/>
      <c r="D744" s="338"/>
      <c r="E744" s="338"/>
      <c r="F744" s="337"/>
      <c r="G744" s="449"/>
      <c r="H744" s="449"/>
      <c r="I744" s="449"/>
      <c r="J744" s="449"/>
      <c r="K744" s="449"/>
      <c r="L744" s="449"/>
      <c r="M744" s="449"/>
      <c r="N744" s="449"/>
      <c r="O744" s="449"/>
      <c r="P744" s="449"/>
      <c r="Q744" s="449"/>
      <c r="R744" s="449"/>
      <c r="S744" s="449"/>
      <c r="T744" s="449"/>
      <c r="U744" s="449"/>
      <c r="V744" s="449"/>
      <c r="W744" s="449"/>
      <c r="X744" s="449"/>
      <c r="Y744" s="449"/>
      <c r="Z744" s="449"/>
      <c r="AA744" s="449"/>
      <c r="AB744" s="449"/>
    </row>
    <row r="745">
      <c r="A745" s="337"/>
      <c r="B745" s="338"/>
      <c r="C745" s="338"/>
      <c r="D745" s="338"/>
      <c r="E745" s="338"/>
      <c r="F745" s="337"/>
      <c r="G745" s="449"/>
      <c r="H745" s="449"/>
      <c r="I745" s="449"/>
      <c r="J745" s="449"/>
      <c r="K745" s="449"/>
      <c r="L745" s="449"/>
      <c r="M745" s="449"/>
      <c r="N745" s="449"/>
      <c r="O745" s="449"/>
      <c r="P745" s="449"/>
      <c r="Q745" s="449"/>
      <c r="R745" s="449"/>
      <c r="S745" s="449"/>
      <c r="T745" s="449"/>
      <c r="U745" s="449"/>
      <c r="V745" s="449"/>
      <c r="W745" s="449"/>
      <c r="X745" s="449"/>
      <c r="Y745" s="449"/>
      <c r="Z745" s="449"/>
      <c r="AA745" s="449"/>
      <c r="AB745" s="449"/>
    </row>
    <row r="746">
      <c r="A746" s="337"/>
      <c r="B746" s="338"/>
      <c r="C746" s="338"/>
      <c r="D746" s="338"/>
      <c r="E746" s="338"/>
      <c r="F746" s="337"/>
      <c r="G746" s="449"/>
      <c r="H746" s="449"/>
      <c r="I746" s="449"/>
      <c r="J746" s="449"/>
      <c r="K746" s="449"/>
      <c r="L746" s="449"/>
      <c r="M746" s="449"/>
      <c r="N746" s="449"/>
      <c r="O746" s="449"/>
      <c r="P746" s="449"/>
      <c r="Q746" s="449"/>
      <c r="R746" s="449"/>
      <c r="S746" s="449"/>
      <c r="T746" s="449"/>
      <c r="U746" s="449"/>
      <c r="V746" s="449"/>
      <c r="W746" s="449"/>
      <c r="X746" s="449"/>
      <c r="Y746" s="449"/>
      <c r="Z746" s="449"/>
      <c r="AA746" s="449"/>
      <c r="AB746" s="449"/>
    </row>
    <row r="747">
      <c r="A747" s="337"/>
      <c r="B747" s="338"/>
      <c r="C747" s="338"/>
      <c r="D747" s="338"/>
      <c r="E747" s="338"/>
      <c r="F747" s="337"/>
      <c r="G747" s="449"/>
      <c r="H747" s="449"/>
      <c r="I747" s="449"/>
      <c r="J747" s="449"/>
      <c r="K747" s="449"/>
      <c r="L747" s="449"/>
      <c r="M747" s="449"/>
      <c r="N747" s="449"/>
      <c r="O747" s="449"/>
      <c r="P747" s="449"/>
      <c r="Q747" s="449"/>
      <c r="R747" s="449"/>
      <c r="S747" s="449"/>
      <c r="T747" s="449"/>
      <c r="U747" s="449"/>
      <c r="V747" s="449"/>
      <c r="W747" s="449"/>
      <c r="X747" s="449"/>
      <c r="Y747" s="449"/>
      <c r="Z747" s="449"/>
      <c r="AA747" s="449"/>
      <c r="AB747" s="449"/>
    </row>
    <row r="748">
      <c r="A748" s="337"/>
      <c r="B748" s="338"/>
      <c r="C748" s="338"/>
      <c r="D748" s="338"/>
      <c r="E748" s="338"/>
      <c r="F748" s="337"/>
      <c r="G748" s="449"/>
      <c r="H748" s="449"/>
      <c r="I748" s="449"/>
      <c r="J748" s="449"/>
      <c r="K748" s="449"/>
      <c r="L748" s="449"/>
      <c r="M748" s="449"/>
      <c r="N748" s="449"/>
      <c r="O748" s="449"/>
      <c r="P748" s="449"/>
      <c r="Q748" s="449"/>
      <c r="R748" s="449"/>
      <c r="S748" s="449"/>
      <c r="T748" s="449"/>
      <c r="U748" s="449"/>
      <c r="V748" s="449"/>
      <c r="W748" s="449"/>
      <c r="X748" s="449"/>
      <c r="Y748" s="449"/>
      <c r="Z748" s="449"/>
      <c r="AA748" s="449"/>
      <c r="AB748" s="449"/>
    </row>
    <row r="749">
      <c r="A749" s="337"/>
      <c r="B749" s="338"/>
      <c r="C749" s="338"/>
      <c r="D749" s="338"/>
      <c r="E749" s="338"/>
      <c r="F749" s="337"/>
      <c r="G749" s="449"/>
      <c r="H749" s="449"/>
      <c r="I749" s="449"/>
      <c r="J749" s="449"/>
      <c r="K749" s="449"/>
      <c r="L749" s="449"/>
      <c r="M749" s="449"/>
      <c r="N749" s="449"/>
      <c r="O749" s="449"/>
      <c r="P749" s="449"/>
      <c r="Q749" s="449"/>
      <c r="R749" s="449"/>
      <c r="S749" s="449"/>
      <c r="T749" s="449"/>
      <c r="U749" s="449"/>
      <c r="V749" s="449"/>
      <c r="W749" s="449"/>
      <c r="X749" s="449"/>
      <c r="Y749" s="449"/>
      <c r="Z749" s="449"/>
      <c r="AA749" s="449"/>
      <c r="AB749" s="449"/>
    </row>
    <row r="750">
      <c r="A750" s="337"/>
      <c r="B750" s="338"/>
      <c r="C750" s="338"/>
      <c r="D750" s="338"/>
      <c r="E750" s="338"/>
      <c r="F750" s="337"/>
      <c r="G750" s="449"/>
      <c r="H750" s="449"/>
      <c r="I750" s="449"/>
      <c r="J750" s="449"/>
      <c r="K750" s="449"/>
      <c r="L750" s="449"/>
      <c r="M750" s="449"/>
      <c r="N750" s="449"/>
      <c r="O750" s="449"/>
      <c r="P750" s="449"/>
      <c r="Q750" s="449"/>
      <c r="R750" s="449"/>
      <c r="S750" s="449"/>
      <c r="T750" s="449"/>
      <c r="U750" s="449"/>
      <c r="V750" s="449"/>
      <c r="W750" s="449"/>
      <c r="X750" s="449"/>
      <c r="Y750" s="449"/>
      <c r="Z750" s="449"/>
      <c r="AA750" s="449"/>
      <c r="AB750" s="449"/>
    </row>
    <row r="751">
      <c r="A751" s="337"/>
      <c r="B751" s="338"/>
      <c r="C751" s="338"/>
      <c r="D751" s="338"/>
      <c r="E751" s="338"/>
      <c r="F751" s="337"/>
      <c r="G751" s="449"/>
      <c r="H751" s="449"/>
      <c r="I751" s="449"/>
      <c r="J751" s="449"/>
      <c r="K751" s="449"/>
      <c r="L751" s="449"/>
      <c r="M751" s="449"/>
      <c r="N751" s="449"/>
      <c r="O751" s="449"/>
      <c r="P751" s="449"/>
      <c r="Q751" s="449"/>
      <c r="R751" s="449"/>
      <c r="S751" s="449"/>
      <c r="T751" s="449"/>
      <c r="U751" s="449"/>
      <c r="V751" s="449"/>
      <c r="W751" s="449"/>
      <c r="X751" s="449"/>
      <c r="Y751" s="449"/>
      <c r="Z751" s="449"/>
      <c r="AA751" s="449"/>
      <c r="AB751" s="449"/>
    </row>
    <row r="752">
      <c r="A752" s="337"/>
      <c r="B752" s="338"/>
      <c r="C752" s="338"/>
      <c r="D752" s="338"/>
      <c r="E752" s="338"/>
      <c r="F752" s="337"/>
      <c r="G752" s="449"/>
      <c r="H752" s="449"/>
      <c r="I752" s="449"/>
      <c r="J752" s="449"/>
      <c r="K752" s="449"/>
      <c r="L752" s="449"/>
      <c r="M752" s="449"/>
      <c r="N752" s="449"/>
      <c r="O752" s="449"/>
      <c r="P752" s="449"/>
      <c r="Q752" s="449"/>
      <c r="R752" s="449"/>
      <c r="S752" s="449"/>
      <c r="T752" s="449"/>
      <c r="U752" s="449"/>
      <c r="V752" s="449"/>
      <c r="W752" s="449"/>
      <c r="X752" s="449"/>
      <c r="Y752" s="449"/>
      <c r="Z752" s="449"/>
      <c r="AA752" s="449"/>
      <c r="AB752" s="449"/>
    </row>
    <row r="753">
      <c r="A753" s="337"/>
      <c r="B753" s="338"/>
      <c r="C753" s="338"/>
      <c r="D753" s="338"/>
      <c r="E753" s="338"/>
      <c r="F753" s="337"/>
      <c r="G753" s="449"/>
      <c r="H753" s="449"/>
      <c r="I753" s="449"/>
      <c r="J753" s="449"/>
      <c r="K753" s="449"/>
      <c r="L753" s="449"/>
      <c r="M753" s="449"/>
      <c r="N753" s="449"/>
      <c r="O753" s="449"/>
      <c r="P753" s="449"/>
      <c r="Q753" s="449"/>
      <c r="R753" s="449"/>
      <c r="S753" s="449"/>
      <c r="T753" s="449"/>
      <c r="U753" s="449"/>
      <c r="V753" s="449"/>
      <c r="W753" s="449"/>
      <c r="X753" s="449"/>
      <c r="Y753" s="449"/>
      <c r="Z753" s="449"/>
      <c r="AA753" s="449"/>
      <c r="AB753" s="449"/>
    </row>
    <row r="754">
      <c r="A754" s="337"/>
      <c r="B754" s="338"/>
      <c r="C754" s="338"/>
      <c r="D754" s="338"/>
      <c r="E754" s="338"/>
      <c r="F754" s="337"/>
      <c r="G754" s="449"/>
      <c r="H754" s="449"/>
      <c r="I754" s="449"/>
      <c r="J754" s="449"/>
      <c r="K754" s="449"/>
      <c r="L754" s="449"/>
      <c r="M754" s="449"/>
      <c r="N754" s="449"/>
      <c r="O754" s="449"/>
      <c r="P754" s="449"/>
      <c r="Q754" s="449"/>
      <c r="R754" s="449"/>
      <c r="S754" s="449"/>
      <c r="T754" s="449"/>
      <c r="U754" s="449"/>
      <c r="V754" s="449"/>
      <c r="W754" s="449"/>
      <c r="X754" s="449"/>
      <c r="Y754" s="449"/>
      <c r="Z754" s="449"/>
      <c r="AA754" s="449"/>
      <c r="AB754" s="449"/>
    </row>
    <row r="755">
      <c r="A755" s="337"/>
      <c r="B755" s="338"/>
      <c r="C755" s="338"/>
      <c r="D755" s="338"/>
      <c r="E755" s="338"/>
      <c r="F755" s="337"/>
      <c r="G755" s="449"/>
      <c r="H755" s="449"/>
      <c r="I755" s="449"/>
      <c r="J755" s="449"/>
      <c r="K755" s="449"/>
      <c r="L755" s="449"/>
      <c r="M755" s="449"/>
      <c r="N755" s="449"/>
      <c r="O755" s="449"/>
      <c r="P755" s="449"/>
      <c r="Q755" s="449"/>
      <c r="R755" s="449"/>
      <c r="S755" s="449"/>
      <c r="T755" s="449"/>
      <c r="U755" s="449"/>
      <c r="V755" s="449"/>
      <c r="W755" s="449"/>
      <c r="X755" s="449"/>
      <c r="Y755" s="449"/>
      <c r="Z755" s="449"/>
      <c r="AA755" s="449"/>
      <c r="AB755" s="449"/>
    </row>
    <row r="756">
      <c r="A756" s="337"/>
      <c r="B756" s="338"/>
      <c r="C756" s="338"/>
      <c r="D756" s="338"/>
      <c r="E756" s="338"/>
      <c r="F756" s="337"/>
      <c r="G756" s="449"/>
      <c r="H756" s="449"/>
      <c r="I756" s="449"/>
      <c r="J756" s="449"/>
      <c r="K756" s="449"/>
      <c r="L756" s="449"/>
      <c r="M756" s="449"/>
      <c r="N756" s="449"/>
      <c r="O756" s="449"/>
      <c r="P756" s="449"/>
      <c r="Q756" s="449"/>
      <c r="R756" s="449"/>
      <c r="S756" s="449"/>
      <c r="T756" s="449"/>
      <c r="U756" s="449"/>
      <c r="V756" s="449"/>
      <c r="W756" s="449"/>
      <c r="X756" s="449"/>
      <c r="Y756" s="449"/>
      <c r="Z756" s="449"/>
      <c r="AA756" s="449"/>
      <c r="AB756" s="449"/>
    </row>
    <row r="757">
      <c r="A757" s="337"/>
      <c r="B757" s="338"/>
      <c r="C757" s="338"/>
      <c r="D757" s="338"/>
      <c r="E757" s="338"/>
      <c r="F757" s="337"/>
      <c r="G757" s="449"/>
      <c r="H757" s="449"/>
      <c r="I757" s="449"/>
      <c r="J757" s="449"/>
      <c r="K757" s="449"/>
      <c r="L757" s="449"/>
      <c r="M757" s="449"/>
      <c r="N757" s="449"/>
      <c r="O757" s="449"/>
      <c r="P757" s="449"/>
      <c r="Q757" s="449"/>
      <c r="R757" s="449"/>
      <c r="S757" s="449"/>
      <c r="T757" s="449"/>
      <c r="U757" s="449"/>
      <c r="V757" s="449"/>
      <c r="W757" s="449"/>
      <c r="X757" s="449"/>
      <c r="Y757" s="449"/>
      <c r="Z757" s="449"/>
      <c r="AA757" s="449"/>
      <c r="AB757" s="449"/>
    </row>
    <row r="758">
      <c r="A758" s="337"/>
      <c r="B758" s="338"/>
      <c r="C758" s="338"/>
      <c r="D758" s="338"/>
      <c r="E758" s="338"/>
      <c r="F758" s="337"/>
      <c r="G758" s="449"/>
      <c r="H758" s="449"/>
      <c r="I758" s="449"/>
      <c r="J758" s="449"/>
      <c r="K758" s="449"/>
      <c r="L758" s="449"/>
      <c r="M758" s="449"/>
      <c r="N758" s="449"/>
      <c r="O758" s="449"/>
      <c r="P758" s="449"/>
      <c r="Q758" s="449"/>
      <c r="R758" s="449"/>
      <c r="S758" s="449"/>
      <c r="T758" s="449"/>
      <c r="U758" s="449"/>
      <c r="V758" s="449"/>
      <c r="W758" s="449"/>
      <c r="X758" s="449"/>
      <c r="Y758" s="449"/>
      <c r="Z758" s="449"/>
      <c r="AA758" s="449"/>
      <c r="AB758" s="449"/>
    </row>
    <row r="759">
      <c r="A759" s="337"/>
      <c r="B759" s="338"/>
      <c r="C759" s="338"/>
      <c r="D759" s="338"/>
      <c r="E759" s="338"/>
      <c r="F759" s="337"/>
      <c r="G759" s="449"/>
      <c r="H759" s="449"/>
      <c r="I759" s="449"/>
      <c r="J759" s="449"/>
      <c r="K759" s="449"/>
      <c r="L759" s="449"/>
      <c r="M759" s="449"/>
      <c r="N759" s="449"/>
      <c r="O759" s="449"/>
      <c r="P759" s="449"/>
      <c r="Q759" s="449"/>
      <c r="R759" s="449"/>
      <c r="S759" s="449"/>
      <c r="T759" s="449"/>
      <c r="U759" s="449"/>
      <c r="V759" s="449"/>
      <c r="W759" s="449"/>
      <c r="X759" s="449"/>
      <c r="Y759" s="449"/>
      <c r="Z759" s="449"/>
      <c r="AA759" s="449"/>
      <c r="AB759" s="449"/>
    </row>
    <row r="760">
      <c r="A760" s="337"/>
      <c r="B760" s="338"/>
      <c r="C760" s="338"/>
      <c r="D760" s="338"/>
      <c r="E760" s="338"/>
      <c r="F760" s="337"/>
      <c r="G760" s="449"/>
      <c r="H760" s="449"/>
      <c r="I760" s="449"/>
      <c r="J760" s="449"/>
      <c r="K760" s="449"/>
      <c r="L760" s="449"/>
      <c r="M760" s="449"/>
      <c r="N760" s="449"/>
      <c r="O760" s="449"/>
      <c r="P760" s="449"/>
      <c r="Q760" s="449"/>
      <c r="R760" s="449"/>
      <c r="S760" s="449"/>
      <c r="T760" s="449"/>
      <c r="U760" s="449"/>
      <c r="V760" s="449"/>
      <c r="W760" s="449"/>
      <c r="X760" s="449"/>
      <c r="Y760" s="449"/>
      <c r="Z760" s="449"/>
      <c r="AA760" s="449"/>
      <c r="AB760" s="449"/>
    </row>
    <row r="761">
      <c r="A761" s="337"/>
      <c r="B761" s="338"/>
      <c r="C761" s="338"/>
      <c r="D761" s="338"/>
      <c r="E761" s="338"/>
      <c r="F761" s="337"/>
      <c r="G761" s="449"/>
      <c r="H761" s="449"/>
      <c r="I761" s="449"/>
      <c r="J761" s="449"/>
      <c r="K761" s="449"/>
      <c r="L761" s="449"/>
      <c r="M761" s="449"/>
      <c r="N761" s="449"/>
      <c r="O761" s="449"/>
      <c r="P761" s="449"/>
      <c r="Q761" s="449"/>
      <c r="R761" s="449"/>
      <c r="S761" s="449"/>
      <c r="T761" s="449"/>
      <c r="U761" s="449"/>
      <c r="V761" s="449"/>
      <c r="W761" s="449"/>
      <c r="X761" s="449"/>
      <c r="Y761" s="449"/>
      <c r="Z761" s="449"/>
      <c r="AA761" s="449"/>
      <c r="AB761" s="449"/>
    </row>
    <row r="762">
      <c r="A762" s="337"/>
      <c r="B762" s="338"/>
      <c r="C762" s="338"/>
      <c r="D762" s="338"/>
      <c r="E762" s="338"/>
      <c r="F762" s="337"/>
      <c r="G762" s="449"/>
      <c r="H762" s="449"/>
      <c r="I762" s="449"/>
      <c r="J762" s="449"/>
      <c r="K762" s="449"/>
      <c r="L762" s="449"/>
      <c r="M762" s="449"/>
      <c r="N762" s="449"/>
      <c r="O762" s="449"/>
      <c r="P762" s="449"/>
      <c r="Q762" s="449"/>
      <c r="R762" s="449"/>
      <c r="S762" s="449"/>
      <c r="T762" s="449"/>
      <c r="U762" s="449"/>
      <c r="V762" s="449"/>
      <c r="W762" s="449"/>
      <c r="X762" s="449"/>
      <c r="Y762" s="449"/>
      <c r="Z762" s="449"/>
      <c r="AA762" s="449"/>
      <c r="AB762" s="449"/>
    </row>
    <row r="763">
      <c r="A763" s="337"/>
      <c r="B763" s="338"/>
      <c r="C763" s="338"/>
      <c r="D763" s="338"/>
      <c r="E763" s="338"/>
      <c r="F763" s="337"/>
      <c r="G763" s="449"/>
      <c r="H763" s="449"/>
      <c r="I763" s="449"/>
      <c r="J763" s="449"/>
      <c r="K763" s="449"/>
      <c r="L763" s="449"/>
      <c r="M763" s="449"/>
      <c r="N763" s="449"/>
      <c r="O763" s="449"/>
      <c r="P763" s="449"/>
      <c r="Q763" s="449"/>
      <c r="R763" s="449"/>
      <c r="S763" s="449"/>
      <c r="T763" s="449"/>
      <c r="U763" s="449"/>
      <c r="V763" s="449"/>
      <c r="W763" s="449"/>
      <c r="X763" s="449"/>
      <c r="Y763" s="449"/>
      <c r="Z763" s="449"/>
      <c r="AA763" s="449"/>
      <c r="AB763" s="449"/>
    </row>
    <row r="764">
      <c r="A764" s="337"/>
      <c r="B764" s="338"/>
      <c r="C764" s="338"/>
      <c r="D764" s="338"/>
      <c r="E764" s="338"/>
      <c r="F764" s="337"/>
      <c r="G764" s="449"/>
      <c r="H764" s="449"/>
      <c r="I764" s="449"/>
      <c r="J764" s="449"/>
      <c r="K764" s="449"/>
      <c r="L764" s="449"/>
      <c r="M764" s="449"/>
      <c r="N764" s="449"/>
      <c r="O764" s="449"/>
      <c r="P764" s="449"/>
      <c r="Q764" s="449"/>
      <c r="R764" s="449"/>
      <c r="S764" s="449"/>
      <c r="T764" s="449"/>
      <c r="U764" s="449"/>
      <c r="V764" s="449"/>
      <c r="W764" s="449"/>
      <c r="X764" s="449"/>
      <c r="Y764" s="449"/>
      <c r="Z764" s="449"/>
      <c r="AA764" s="449"/>
      <c r="AB764" s="449"/>
    </row>
    <row r="765">
      <c r="A765" s="337"/>
      <c r="B765" s="338"/>
      <c r="C765" s="338"/>
      <c r="D765" s="338"/>
      <c r="E765" s="338"/>
      <c r="F765" s="337"/>
      <c r="G765" s="449"/>
      <c r="H765" s="449"/>
      <c r="I765" s="449"/>
      <c r="J765" s="449"/>
      <c r="K765" s="449"/>
      <c r="L765" s="449"/>
      <c r="M765" s="449"/>
      <c r="N765" s="449"/>
      <c r="O765" s="449"/>
      <c r="P765" s="449"/>
      <c r="Q765" s="449"/>
      <c r="R765" s="449"/>
      <c r="S765" s="449"/>
      <c r="T765" s="449"/>
      <c r="U765" s="449"/>
      <c r="V765" s="449"/>
      <c r="W765" s="449"/>
      <c r="X765" s="449"/>
      <c r="Y765" s="449"/>
      <c r="Z765" s="449"/>
      <c r="AA765" s="449"/>
      <c r="AB765" s="449"/>
    </row>
    <row r="766">
      <c r="A766" s="337"/>
      <c r="B766" s="338"/>
      <c r="C766" s="338"/>
      <c r="D766" s="338"/>
      <c r="E766" s="338"/>
      <c r="F766" s="337"/>
      <c r="G766" s="449"/>
      <c r="H766" s="449"/>
      <c r="I766" s="449"/>
      <c r="J766" s="449"/>
      <c r="K766" s="449"/>
      <c r="L766" s="449"/>
      <c r="M766" s="449"/>
      <c r="N766" s="449"/>
      <c r="O766" s="449"/>
      <c r="P766" s="449"/>
      <c r="Q766" s="449"/>
      <c r="R766" s="449"/>
      <c r="S766" s="449"/>
      <c r="T766" s="449"/>
      <c r="U766" s="449"/>
      <c r="V766" s="449"/>
      <c r="W766" s="449"/>
      <c r="X766" s="449"/>
      <c r="Y766" s="449"/>
      <c r="Z766" s="449"/>
      <c r="AA766" s="449"/>
      <c r="AB766" s="449"/>
    </row>
    <row r="767">
      <c r="A767" s="337"/>
      <c r="B767" s="338"/>
      <c r="C767" s="338"/>
      <c r="D767" s="338"/>
      <c r="E767" s="338"/>
      <c r="F767" s="337"/>
      <c r="G767" s="449"/>
      <c r="H767" s="449"/>
      <c r="I767" s="449"/>
      <c r="J767" s="449"/>
      <c r="K767" s="449"/>
      <c r="L767" s="449"/>
      <c r="M767" s="449"/>
      <c r="N767" s="449"/>
      <c r="O767" s="449"/>
      <c r="P767" s="449"/>
      <c r="Q767" s="449"/>
      <c r="R767" s="449"/>
      <c r="S767" s="449"/>
      <c r="T767" s="449"/>
      <c r="U767" s="449"/>
      <c r="V767" s="449"/>
      <c r="W767" s="449"/>
      <c r="X767" s="449"/>
      <c r="Y767" s="449"/>
      <c r="Z767" s="449"/>
      <c r="AA767" s="449"/>
      <c r="AB767" s="449"/>
    </row>
    <row r="768">
      <c r="A768" s="337"/>
      <c r="B768" s="338"/>
      <c r="C768" s="338"/>
      <c r="D768" s="338"/>
      <c r="E768" s="338"/>
      <c r="F768" s="337"/>
      <c r="G768" s="449"/>
      <c r="H768" s="449"/>
      <c r="I768" s="449"/>
      <c r="J768" s="449"/>
      <c r="K768" s="449"/>
      <c r="L768" s="449"/>
      <c r="M768" s="449"/>
      <c r="N768" s="449"/>
      <c r="O768" s="449"/>
      <c r="P768" s="449"/>
      <c r="Q768" s="449"/>
      <c r="R768" s="449"/>
      <c r="S768" s="449"/>
      <c r="T768" s="449"/>
      <c r="U768" s="449"/>
      <c r="V768" s="449"/>
      <c r="W768" s="449"/>
      <c r="X768" s="449"/>
      <c r="Y768" s="449"/>
      <c r="Z768" s="449"/>
      <c r="AA768" s="449"/>
      <c r="AB768" s="449"/>
    </row>
    <row r="769">
      <c r="A769" s="337"/>
      <c r="B769" s="338"/>
      <c r="C769" s="338"/>
      <c r="D769" s="338"/>
      <c r="E769" s="338"/>
      <c r="F769" s="337"/>
      <c r="G769" s="449"/>
      <c r="H769" s="449"/>
      <c r="I769" s="449"/>
      <c r="J769" s="449"/>
      <c r="K769" s="449"/>
      <c r="L769" s="449"/>
      <c r="M769" s="449"/>
      <c r="N769" s="449"/>
      <c r="O769" s="449"/>
      <c r="P769" s="449"/>
      <c r="Q769" s="449"/>
      <c r="R769" s="449"/>
      <c r="S769" s="449"/>
      <c r="T769" s="449"/>
      <c r="U769" s="449"/>
      <c r="V769" s="449"/>
      <c r="W769" s="449"/>
      <c r="X769" s="449"/>
      <c r="Y769" s="449"/>
      <c r="Z769" s="449"/>
      <c r="AA769" s="449"/>
      <c r="AB769" s="449"/>
    </row>
    <row r="770">
      <c r="A770" s="337"/>
      <c r="B770" s="338"/>
      <c r="C770" s="338"/>
      <c r="D770" s="338"/>
      <c r="E770" s="338"/>
      <c r="F770" s="337"/>
      <c r="G770" s="449"/>
      <c r="H770" s="449"/>
      <c r="I770" s="449"/>
      <c r="J770" s="449"/>
      <c r="K770" s="449"/>
      <c r="L770" s="449"/>
      <c r="M770" s="449"/>
      <c r="N770" s="449"/>
      <c r="O770" s="449"/>
      <c r="P770" s="449"/>
      <c r="Q770" s="449"/>
      <c r="R770" s="449"/>
      <c r="S770" s="449"/>
      <c r="T770" s="449"/>
      <c r="U770" s="449"/>
      <c r="V770" s="449"/>
      <c r="W770" s="449"/>
      <c r="X770" s="449"/>
      <c r="Y770" s="449"/>
      <c r="Z770" s="449"/>
      <c r="AA770" s="449"/>
      <c r="AB770" s="449"/>
    </row>
    <row r="771">
      <c r="A771" s="337"/>
      <c r="B771" s="338"/>
      <c r="C771" s="338"/>
      <c r="D771" s="338"/>
      <c r="E771" s="338"/>
      <c r="F771" s="337"/>
      <c r="G771" s="449"/>
      <c r="H771" s="449"/>
      <c r="I771" s="449"/>
      <c r="J771" s="449"/>
      <c r="K771" s="449"/>
      <c r="L771" s="449"/>
      <c r="M771" s="449"/>
      <c r="N771" s="449"/>
      <c r="O771" s="449"/>
      <c r="P771" s="449"/>
      <c r="Q771" s="449"/>
      <c r="R771" s="449"/>
      <c r="S771" s="449"/>
      <c r="T771" s="449"/>
      <c r="U771" s="449"/>
      <c r="V771" s="449"/>
      <c r="W771" s="449"/>
      <c r="X771" s="449"/>
      <c r="Y771" s="449"/>
      <c r="Z771" s="449"/>
      <c r="AA771" s="449"/>
      <c r="AB771" s="449"/>
    </row>
    <row r="772">
      <c r="A772" s="337"/>
      <c r="B772" s="338"/>
      <c r="C772" s="338"/>
      <c r="D772" s="338"/>
      <c r="E772" s="338"/>
      <c r="F772" s="337"/>
      <c r="G772" s="449"/>
      <c r="H772" s="449"/>
      <c r="I772" s="449"/>
      <c r="J772" s="449"/>
      <c r="K772" s="449"/>
      <c r="L772" s="449"/>
      <c r="M772" s="449"/>
      <c r="N772" s="449"/>
      <c r="O772" s="449"/>
      <c r="P772" s="449"/>
      <c r="Q772" s="449"/>
      <c r="R772" s="449"/>
      <c r="S772" s="449"/>
      <c r="T772" s="449"/>
      <c r="U772" s="449"/>
      <c r="V772" s="449"/>
      <c r="W772" s="449"/>
      <c r="X772" s="449"/>
      <c r="Y772" s="449"/>
      <c r="Z772" s="449"/>
      <c r="AA772" s="449"/>
      <c r="AB772" s="449"/>
    </row>
    <row r="773">
      <c r="A773" s="337"/>
      <c r="B773" s="338"/>
      <c r="C773" s="338"/>
      <c r="D773" s="338"/>
      <c r="E773" s="338"/>
      <c r="F773" s="337"/>
      <c r="G773" s="449"/>
      <c r="H773" s="449"/>
      <c r="I773" s="449"/>
      <c r="J773" s="449"/>
      <c r="K773" s="449"/>
      <c r="L773" s="449"/>
      <c r="M773" s="449"/>
      <c r="N773" s="449"/>
      <c r="O773" s="449"/>
      <c r="P773" s="449"/>
      <c r="Q773" s="449"/>
      <c r="R773" s="449"/>
      <c r="S773" s="449"/>
      <c r="T773" s="449"/>
      <c r="U773" s="449"/>
      <c r="V773" s="449"/>
      <c r="W773" s="449"/>
      <c r="X773" s="449"/>
      <c r="Y773" s="449"/>
      <c r="Z773" s="449"/>
      <c r="AA773" s="449"/>
      <c r="AB773" s="449"/>
    </row>
    <row r="774">
      <c r="A774" s="337"/>
      <c r="B774" s="338"/>
      <c r="C774" s="338"/>
      <c r="D774" s="338"/>
      <c r="E774" s="338"/>
      <c r="F774" s="337"/>
      <c r="G774" s="449"/>
      <c r="H774" s="449"/>
      <c r="I774" s="449"/>
      <c r="J774" s="449"/>
      <c r="K774" s="449"/>
      <c r="L774" s="449"/>
      <c r="M774" s="449"/>
      <c r="N774" s="449"/>
      <c r="O774" s="449"/>
      <c r="P774" s="449"/>
      <c r="Q774" s="449"/>
      <c r="R774" s="449"/>
      <c r="S774" s="449"/>
      <c r="T774" s="449"/>
      <c r="U774" s="449"/>
      <c r="V774" s="449"/>
      <c r="W774" s="449"/>
      <c r="X774" s="449"/>
      <c r="Y774" s="449"/>
      <c r="Z774" s="449"/>
      <c r="AA774" s="449"/>
      <c r="AB774" s="449"/>
    </row>
    <row r="775">
      <c r="A775" s="337"/>
      <c r="B775" s="338"/>
      <c r="C775" s="338"/>
      <c r="D775" s="338"/>
      <c r="E775" s="338"/>
      <c r="F775" s="337"/>
      <c r="G775" s="449"/>
      <c r="H775" s="449"/>
      <c r="I775" s="449"/>
      <c r="J775" s="449"/>
      <c r="K775" s="449"/>
      <c r="L775" s="449"/>
      <c r="M775" s="449"/>
      <c r="N775" s="449"/>
      <c r="O775" s="449"/>
      <c r="P775" s="449"/>
      <c r="Q775" s="449"/>
      <c r="R775" s="449"/>
      <c r="S775" s="449"/>
      <c r="T775" s="449"/>
      <c r="U775" s="449"/>
      <c r="V775" s="449"/>
      <c r="W775" s="449"/>
      <c r="X775" s="449"/>
      <c r="Y775" s="449"/>
      <c r="Z775" s="449"/>
      <c r="AA775" s="449"/>
      <c r="AB775" s="449"/>
    </row>
    <row r="776">
      <c r="A776" s="337"/>
      <c r="B776" s="338"/>
      <c r="C776" s="338"/>
      <c r="D776" s="338"/>
      <c r="E776" s="338"/>
      <c r="F776" s="337"/>
      <c r="G776" s="449"/>
      <c r="H776" s="449"/>
      <c r="I776" s="449"/>
      <c r="J776" s="449"/>
      <c r="K776" s="449"/>
      <c r="L776" s="449"/>
      <c r="M776" s="449"/>
      <c r="N776" s="449"/>
      <c r="O776" s="449"/>
      <c r="P776" s="449"/>
      <c r="Q776" s="449"/>
      <c r="R776" s="449"/>
      <c r="S776" s="449"/>
      <c r="T776" s="449"/>
      <c r="U776" s="449"/>
      <c r="V776" s="449"/>
      <c r="W776" s="449"/>
      <c r="X776" s="449"/>
      <c r="Y776" s="449"/>
      <c r="Z776" s="449"/>
      <c r="AA776" s="449"/>
      <c r="AB776" s="449"/>
    </row>
    <row r="777">
      <c r="A777" s="337"/>
      <c r="B777" s="338"/>
      <c r="C777" s="338"/>
      <c r="D777" s="338"/>
      <c r="E777" s="338"/>
      <c r="F777" s="337"/>
      <c r="G777" s="449"/>
      <c r="H777" s="449"/>
      <c r="I777" s="449"/>
      <c r="J777" s="449"/>
      <c r="K777" s="449"/>
      <c r="L777" s="449"/>
      <c r="M777" s="449"/>
      <c r="N777" s="449"/>
      <c r="O777" s="449"/>
      <c r="P777" s="449"/>
      <c r="Q777" s="449"/>
      <c r="R777" s="449"/>
      <c r="S777" s="449"/>
      <c r="T777" s="449"/>
      <c r="U777" s="449"/>
      <c r="V777" s="449"/>
      <c r="W777" s="449"/>
      <c r="X777" s="449"/>
      <c r="Y777" s="449"/>
      <c r="Z777" s="449"/>
      <c r="AA777" s="449"/>
      <c r="AB777" s="449"/>
    </row>
    <row r="778">
      <c r="A778" s="337"/>
      <c r="B778" s="338"/>
      <c r="C778" s="338"/>
      <c r="D778" s="338"/>
      <c r="E778" s="338"/>
      <c r="F778" s="337"/>
      <c r="G778" s="449"/>
      <c r="H778" s="449"/>
      <c r="I778" s="449"/>
      <c r="J778" s="449"/>
      <c r="K778" s="449"/>
      <c r="L778" s="449"/>
      <c r="M778" s="449"/>
      <c r="N778" s="449"/>
      <c r="O778" s="449"/>
      <c r="P778" s="449"/>
      <c r="Q778" s="449"/>
      <c r="R778" s="449"/>
      <c r="S778" s="449"/>
      <c r="T778" s="449"/>
      <c r="U778" s="449"/>
      <c r="V778" s="449"/>
      <c r="W778" s="449"/>
      <c r="X778" s="449"/>
      <c r="Y778" s="449"/>
      <c r="Z778" s="449"/>
      <c r="AA778" s="449"/>
      <c r="AB778" s="449"/>
    </row>
    <row r="779">
      <c r="A779" s="337"/>
      <c r="B779" s="338"/>
      <c r="C779" s="338"/>
      <c r="D779" s="338"/>
      <c r="E779" s="338"/>
      <c r="F779" s="337"/>
      <c r="G779" s="449"/>
      <c r="H779" s="449"/>
      <c r="I779" s="449"/>
      <c r="J779" s="449"/>
      <c r="K779" s="449"/>
      <c r="L779" s="449"/>
      <c r="M779" s="449"/>
      <c r="N779" s="449"/>
      <c r="O779" s="449"/>
      <c r="P779" s="449"/>
      <c r="Q779" s="449"/>
      <c r="R779" s="449"/>
      <c r="S779" s="449"/>
      <c r="T779" s="449"/>
      <c r="U779" s="449"/>
      <c r="V779" s="449"/>
      <c r="W779" s="449"/>
      <c r="X779" s="449"/>
      <c r="Y779" s="449"/>
      <c r="Z779" s="449"/>
      <c r="AA779" s="449"/>
      <c r="AB779" s="449"/>
    </row>
    <row r="780">
      <c r="A780" s="337"/>
      <c r="B780" s="338"/>
      <c r="C780" s="338"/>
      <c r="D780" s="338"/>
      <c r="E780" s="338"/>
      <c r="F780" s="337"/>
      <c r="G780" s="449"/>
      <c r="H780" s="449"/>
      <c r="I780" s="449"/>
      <c r="J780" s="449"/>
      <c r="K780" s="449"/>
      <c r="L780" s="449"/>
      <c r="M780" s="449"/>
      <c r="N780" s="449"/>
      <c r="O780" s="449"/>
      <c r="P780" s="449"/>
      <c r="Q780" s="449"/>
      <c r="R780" s="449"/>
      <c r="S780" s="449"/>
      <c r="T780" s="449"/>
      <c r="U780" s="449"/>
      <c r="V780" s="449"/>
      <c r="W780" s="449"/>
      <c r="X780" s="449"/>
      <c r="Y780" s="449"/>
      <c r="Z780" s="449"/>
      <c r="AA780" s="449"/>
      <c r="AB780" s="449"/>
    </row>
    <row r="781">
      <c r="A781" s="337"/>
      <c r="B781" s="338"/>
      <c r="C781" s="338"/>
      <c r="D781" s="338"/>
      <c r="E781" s="338"/>
      <c r="F781" s="337"/>
      <c r="G781" s="449"/>
      <c r="H781" s="449"/>
      <c r="I781" s="449"/>
      <c r="J781" s="449"/>
      <c r="K781" s="449"/>
      <c r="L781" s="449"/>
      <c r="M781" s="449"/>
      <c r="N781" s="449"/>
      <c r="O781" s="449"/>
      <c r="P781" s="449"/>
      <c r="Q781" s="449"/>
      <c r="R781" s="449"/>
      <c r="S781" s="449"/>
      <c r="T781" s="449"/>
      <c r="U781" s="449"/>
      <c r="V781" s="449"/>
      <c r="W781" s="449"/>
      <c r="X781" s="449"/>
      <c r="Y781" s="449"/>
      <c r="Z781" s="449"/>
      <c r="AA781" s="449"/>
      <c r="AB781" s="449"/>
    </row>
    <row r="782">
      <c r="A782" s="337"/>
      <c r="B782" s="338"/>
      <c r="C782" s="338"/>
      <c r="D782" s="338"/>
      <c r="E782" s="338"/>
      <c r="F782" s="337"/>
      <c r="G782" s="449"/>
      <c r="H782" s="449"/>
      <c r="I782" s="449"/>
      <c r="J782" s="449"/>
      <c r="K782" s="449"/>
      <c r="L782" s="449"/>
      <c r="M782" s="449"/>
      <c r="N782" s="449"/>
      <c r="O782" s="449"/>
      <c r="P782" s="449"/>
      <c r="Q782" s="449"/>
      <c r="R782" s="449"/>
      <c r="S782" s="449"/>
      <c r="T782" s="449"/>
      <c r="U782" s="449"/>
      <c r="V782" s="449"/>
      <c r="W782" s="449"/>
      <c r="X782" s="449"/>
      <c r="Y782" s="449"/>
      <c r="Z782" s="449"/>
      <c r="AA782" s="449"/>
      <c r="AB782" s="449"/>
    </row>
    <row r="783">
      <c r="A783" s="337"/>
      <c r="B783" s="338"/>
      <c r="C783" s="338"/>
      <c r="D783" s="338"/>
      <c r="E783" s="338"/>
      <c r="F783" s="337"/>
      <c r="G783" s="449"/>
      <c r="H783" s="449"/>
      <c r="I783" s="449"/>
      <c r="J783" s="449"/>
      <c r="K783" s="449"/>
      <c r="L783" s="449"/>
      <c r="M783" s="449"/>
      <c r="N783" s="449"/>
      <c r="O783" s="449"/>
      <c r="P783" s="449"/>
      <c r="Q783" s="449"/>
      <c r="R783" s="449"/>
      <c r="S783" s="449"/>
      <c r="T783" s="449"/>
      <c r="U783" s="449"/>
      <c r="V783" s="449"/>
      <c r="W783" s="449"/>
      <c r="X783" s="449"/>
      <c r="Y783" s="449"/>
      <c r="Z783" s="449"/>
      <c r="AA783" s="449"/>
      <c r="AB783" s="449"/>
    </row>
    <row r="784">
      <c r="A784" s="337"/>
      <c r="B784" s="338"/>
      <c r="C784" s="338"/>
      <c r="D784" s="338"/>
      <c r="E784" s="338"/>
      <c r="F784" s="337"/>
      <c r="G784" s="449"/>
      <c r="H784" s="449"/>
      <c r="I784" s="449"/>
      <c r="J784" s="449"/>
      <c r="K784" s="449"/>
      <c r="L784" s="449"/>
      <c r="M784" s="449"/>
      <c r="N784" s="449"/>
      <c r="O784" s="449"/>
      <c r="P784" s="449"/>
      <c r="Q784" s="449"/>
      <c r="R784" s="449"/>
      <c r="S784" s="449"/>
      <c r="T784" s="449"/>
      <c r="U784" s="449"/>
      <c r="V784" s="449"/>
      <c r="W784" s="449"/>
      <c r="X784" s="449"/>
      <c r="Y784" s="449"/>
      <c r="Z784" s="449"/>
      <c r="AA784" s="449"/>
      <c r="AB784" s="449"/>
    </row>
    <row r="785">
      <c r="A785" s="337"/>
      <c r="B785" s="338"/>
      <c r="C785" s="338"/>
      <c r="D785" s="338"/>
      <c r="E785" s="338"/>
      <c r="F785" s="337"/>
      <c r="G785" s="449"/>
      <c r="H785" s="449"/>
      <c r="I785" s="449"/>
      <c r="J785" s="449"/>
      <c r="K785" s="449"/>
      <c r="L785" s="449"/>
      <c r="M785" s="449"/>
      <c r="N785" s="449"/>
      <c r="O785" s="449"/>
      <c r="P785" s="449"/>
      <c r="Q785" s="449"/>
      <c r="R785" s="449"/>
      <c r="S785" s="449"/>
      <c r="T785" s="449"/>
      <c r="U785" s="449"/>
      <c r="V785" s="449"/>
      <c r="W785" s="449"/>
      <c r="X785" s="449"/>
      <c r="Y785" s="449"/>
      <c r="Z785" s="449"/>
      <c r="AA785" s="449"/>
      <c r="AB785" s="449"/>
    </row>
    <row r="786">
      <c r="A786" s="337"/>
      <c r="B786" s="338"/>
      <c r="C786" s="338"/>
      <c r="D786" s="338"/>
      <c r="E786" s="338"/>
      <c r="F786" s="337"/>
      <c r="G786" s="449"/>
      <c r="H786" s="449"/>
      <c r="I786" s="449"/>
      <c r="J786" s="449"/>
      <c r="K786" s="449"/>
      <c r="L786" s="449"/>
      <c r="M786" s="449"/>
      <c r="N786" s="449"/>
      <c r="O786" s="449"/>
      <c r="P786" s="449"/>
      <c r="Q786" s="449"/>
      <c r="R786" s="449"/>
      <c r="S786" s="449"/>
      <c r="T786" s="449"/>
      <c r="U786" s="449"/>
      <c r="V786" s="449"/>
      <c r="W786" s="449"/>
      <c r="X786" s="449"/>
      <c r="Y786" s="449"/>
      <c r="Z786" s="449"/>
      <c r="AA786" s="449"/>
      <c r="AB786" s="449"/>
    </row>
    <row r="787">
      <c r="A787" s="337"/>
      <c r="B787" s="338"/>
      <c r="C787" s="338"/>
      <c r="D787" s="338"/>
      <c r="E787" s="338"/>
      <c r="F787" s="337"/>
      <c r="G787" s="449"/>
      <c r="H787" s="449"/>
      <c r="I787" s="449"/>
      <c r="J787" s="449"/>
      <c r="K787" s="449"/>
      <c r="L787" s="449"/>
      <c r="M787" s="449"/>
      <c r="N787" s="449"/>
      <c r="O787" s="449"/>
      <c r="P787" s="449"/>
      <c r="Q787" s="449"/>
      <c r="R787" s="449"/>
      <c r="S787" s="449"/>
      <c r="T787" s="449"/>
      <c r="U787" s="449"/>
      <c r="V787" s="449"/>
      <c r="W787" s="449"/>
      <c r="X787" s="449"/>
      <c r="Y787" s="449"/>
      <c r="Z787" s="449"/>
      <c r="AA787" s="449"/>
      <c r="AB787" s="449"/>
    </row>
    <row r="788">
      <c r="A788" s="337"/>
      <c r="B788" s="338"/>
      <c r="C788" s="338"/>
      <c r="D788" s="338"/>
      <c r="E788" s="338"/>
      <c r="F788" s="337"/>
      <c r="G788" s="449"/>
      <c r="H788" s="449"/>
      <c r="I788" s="449"/>
      <c r="J788" s="449"/>
      <c r="K788" s="449"/>
      <c r="L788" s="449"/>
      <c r="M788" s="449"/>
      <c r="N788" s="449"/>
      <c r="O788" s="449"/>
      <c r="P788" s="449"/>
      <c r="Q788" s="449"/>
      <c r="R788" s="449"/>
      <c r="S788" s="449"/>
      <c r="T788" s="449"/>
      <c r="U788" s="449"/>
      <c r="V788" s="449"/>
      <c r="W788" s="449"/>
      <c r="X788" s="449"/>
      <c r="Y788" s="449"/>
      <c r="Z788" s="449"/>
      <c r="AA788" s="449"/>
      <c r="AB788" s="449"/>
    </row>
    <row r="789">
      <c r="A789" s="337"/>
      <c r="B789" s="338"/>
      <c r="C789" s="338"/>
      <c r="D789" s="338"/>
      <c r="E789" s="338"/>
      <c r="F789" s="337"/>
      <c r="G789" s="449"/>
      <c r="H789" s="449"/>
      <c r="I789" s="449"/>
      <c r="J789" s="449"/>
      <c r="K789" s="449"/>
      <c r="L789" s="449"/>
      <c r="M789" s="449"/>
      <c r="N789" s="449"/>
      <c r="O789" s="449"/>
      <c r="P789" s="449"/>
      <c r="Q789" s="449"/>
      <c r="R789" s="449"/>
      <c r="S789" s="449"/>
      <c r="T789" s="449"/>
      <c r="U789" s="449"/>
      <c r="V789" s="449"/>
      <c r="W789" s="449"/>
      <c r="X789" s="449"/>
      <c r="Y789" s="449"/>
      <c r="Z789" s="449"/>
      <c r="AA789" s="449"/>
      <c r="AB789" s="449"/>
    </row>
    <row r="790">
      <c r="A790" s="337"/>
      <c r="B790" s="338"/>
      <c r="C790" s="338"/>
      <c r="D790" s="338"/>
      <c r="E790" s="338"/>
      <c r="F790" s="337"/>
      <c r="G790" s="449"/>
      <c r="H790" s="449"/>
      <c r="I790" s="449"/>
      <c r="J790" s="449"/>
      <c r="K790" s="449"/>
      <c r="L790" s="449"/>
      <c r="M790" s="449"/>
      <c r="N790" s="449"/>
      <c r="O790" s="449"/>
      <c r="P790" s="449"/>
      <c r="Q790" s="449"/>
      <c r="R790" s="449"/>
      <c r="S790" s="449"/>
      <c r="T790" s="449"/>
      <c r="U790" s="449"/>
      <c r="V790" s="449"/>
      <c r="W790" s="449"/>
      <c r="X790" s="449"/>
      <c r="Y790" s="449"/>
      <c r="Z790" s="449"/>
      <c r="AA790" s="449"/>
      <c r="AB790" s="449"/>
    </row>
    <row r="791">
      <c r="A791" s="337"/>
      <c r="B791" s="338"/>
      <c r="C791" s="338"/>
      <c r="D791" s="338"/>
      <c r="E791" s="338"/>
      <c r="F791" s="337"/>
      <c r="G791" s="449"/>
      <c r="H791" s="449"/>
      <c r="I791" s="449"/>
      <c r="J791" s="449"/>
      <c r="K791" s="449"/>
      <c r="L791" s="449"/>
      <c r="M791" s="449"/>
      <c r="N791" s="449"/>
      <c r="O791" s="449"/>
      <c r="P791" s="449"/>
      <c r="Q791" s="449"/>
      <c r="R791" s="449"/>
      <c r="S791" s="449"/>
      <c r="T791" s="449"/>
      <c r="U791" s="449"/>
      <c r="V791" s="449"/>
      <c r="W791" s="449"/>
      <c r="X791" s="449"/>
      <c r="Y791" s="449"/>
      <c r="Z791" s="449"/>
      <c r="AA791" s="449"/>
      <c r="AB791" s="449"/>
    </row>
    <row r="792">
      <c r="A792" s="337"/>
      <c r="B792" s="338"/>
      <c r="C792" s="338"/>
      <c r="D792" s="338"/>
      <c r="E792" s="338"/>
      <c r="F792" s="337"/>
      <c r="G792" s="449"/>
      <c r="H792" s="449"/>
      <c r="I792" s="449"/>
      <c r="J792" s="449"/>
      <c r="K792" s="449"/>
      <c r="L792" s="449"/>
      <c r="M792" s="449"/>
      <c r="N792" s="449"/>
      <c r="O792" s="449"/>
      <c r="P792" s="449"/>
      <c r="Q792" s="449"/>
      <c r="R792" s="449"/>
      <c r="S792" s="449"/>
      <c r="T792" s="449"/>
      <c r="U792" s="449"/>
      <c r="V792" s="449"/>
      <c r="W792" s="449"/>
      <c r="X792" s="449"/>
      <c r="Y792" s="449"/>
      <c r="Z792" s="449"/>
      <c r="AA792" s="449"/>
      <c r="AB792" s="449"/>
    </row>
    <row r="793">
      <c r="A793" s="337"/>
      <c r="B793" s="338"/>
      <c r="C793" s="338"/>
      <c r="D793" s="338"/>
      <c r="E793" s="338"/>
      <c r="F793" s="337"/>
      <c r="G793" s="449"/>
      <c r="H793" s="449"/>
      <c r="I793" s="449"/>
      <c r="J793" s="449"/>
      <c r="K793" s="449"/>
      <c r="L793" s="449"/>
      <c r="M793" s="449"/>
      <c r="N793" s="449"/>
      <c r="O793" s="449"/>
      <c r="P793" s="449"/>
      <c r="Q793" s="449"/>
      <c r="R793" s="449"/>
      <c r="S793" s="449"/>
      <c r="T793" s="449"/>
      <c r="U793" s="449"/>
      <c r="V793" s="449"/>
      <c r="W793" s="449"/>
      <c r="X793" s="449"/>
      <c r="Y793" s="449"/>
      <c r="Z793" s="449"/>
      <c r="AA793" s="449"/>
      <c r="AB793" s="449"/>
    </row>
    <row r="794">
      <c r="A794" s="337"/>
      <c r="B794" s="338"/>
      <c r="C794" s="338"/>
      <c r="D794" s="338"/>
      <c r="E794" s="338"/>
      <c r="F794" s="337"/>
      <c r="G794" s="449"/>
      <c r="H794" s="449"/>
      <c r="I794" s="449"/>
      <c r="J794" s="449"/>
      <c r="K794" s="449"/>
      <c r="L794" s="449"/>
      <c r="M794" s="449"/>
      <c r="N794" s="449"/>
      <c r="O794" s="449"/>
      <c r="P794" s="449"/>
      <c r="Q794" s="449"/>
      <c r="R794" s="449"/>
      <c r="S794" s="449"/>
      <c r="T794" s="449"/>
      <c r="U794" s="449"/>
      <c r="V794" s="449"/>
      <c r="W794" s="449"/>
      <c r="X794" s="449"/>
      <c r="Y794" s="449"/>
      <c r="Z794" s="449"/>
      <c r="AA794" s="449"/>
      <c r="AB794" s="449"/>
    </row>
    <row r="795">
      <c r="A795" s="337"/>
      <c r="B795" s="338"/>
      <c r="C795" s="338"/>
      <c r="D795" s="338"/>
      <c r="E795" s="338"/>
      <c r="F795" s="337"/>
      <c r="G795" s="449"/>
      <c r="H795" s="449"/>
      <c r="I795" s="449"/>
      <c r="J795" s="449"/>
      <c r="K795" s="449"/>
      <c r="L795" s="449"/>
      <c r="M795" s="449"/>
      <c r="N795" s="449"/>
      <c r="O795" s="449"/>
      <c r="P795" s="449"/>
      <c r="Q795" s="449"/>
      <c r="R795" s="449"/>
      <c r="S795" s="449"/>
      <c r="T795" s="449"/>
      <c r="U795" s="449"/>
      <c r="V795" s="449"/>
      <c r="W795" s="449"/>
      <c r="X795" s="449"/>
      <c r="Y795" s="449"/>
      <c r="Z795" s="449"/>
      <c r="AA795" s="449"/>
      <c r="AB795" s="449"/>
    </row>
    <row r="796">
      <c r="A796" s="337"/>
      <c r="B796" s="338"/>
      <c r="C796" s="338"/>
      <c r="D796" s="338"/>
      <c r="E796" s="338"/>
      <c r="F796" s="337"/>
      <c r="G796" s="449"/>
      <c r="H796" s="449"/>
      <c r="I796" s="449"/>
      <c r="J796" s="449"/>
      <c r="K796" s="449"/>
      <c r="L796" s="449"/>
      <c r="M796" s="449"/>
      <c r="N796" s="449"/>
      <c r="O796" s="449"/>
      <c r="P796" s="449"/>
      <c r="Q796" s="449"/>
      <c r="R796" s="449"/>
      <c r="S796" s="449"/>
      <c r="T796" s="449"/>
      <c r="U796" s="449"/>
      <c r="V796" s="449"/>
      <c r="W796" s="449"/>
      <c r="X796" s="449"/>
      <c r="Y796" s="449"/>
      <c r="Z796" s="449"/>
      <c r="AA796" s="449"/>
      <c r="AB796" s="449"/>
    </row>
    <row r="797">
      <c r="A797" s="337"/>
      <c r="B797" s="338"/>
      <c r="C797" s="338"/>
      <c r="D797" s="338"/>
      <c r="E797" s="338"/>
      <c r="F797" s="337"/>
      <c r="G797" s="449"/>
      <c r="H797" s="449"/>
      <c r="I797" s="449"/>
      <c r="J797" s="449"/>
      <c r="K797" s="449"/>
      <c r="L797" s="449"/>
      <c r="M797" s="449"/>
      <c r="N797" s="449"/>
      <c r="O797" s="449"/>
      <c r="P797" s="449"/>
      <c r="Q797" s="449"/>
      <c r="R797" s="449"/>
      <c r="S797" s="449"/>
      <c r="T797" s="449"/>
      <c r="U797" s="449"/>
      <c r="V797" s="449"/>
      <c r="W797" s="449"/>
      <c r="X797" s="449"/>
      <c r="Y797" s="449"/>
      <c r="Z797" s="449"/>
      <c r="AA797" s="449"/>
      <c r="AB797" s="449"/>
    </row>
    <row r="798">
      <c r="A798" s="337"/>
      <c r="B798" s="338"/>
      <c r="C798" s="338"/>
      <c r="D798" s="338"/>
      <c r="E798" s="338"/>
      <c r="F798" s="337"/>
      <c r="G798" s="449"/>
      <c r="H798" s="449"/>
      <c r="I798" s="449"/>
      <c r="J798" s="449"/>
      <c r="K798" s="449"/>
      <c r="L798" s="449"/>
      <c r="M798" s="449"/>
      <c r="N798" s="449"/>
      <c r="O798" s="449"/>
      <c r="P798" s="449"/>
      <c r="Q798" s="449"/>
      <c r="R798" s="449"/>
      <c r="S798" s="449"/>
      <c r="T798" s="449"/>
      <c r="U798" s="449"/>
      <c r="V798" s="449"/>
      <c r="W798" s="449"/>
      <c r="X798" s="449"/>
      <c r="Y798" s="449"/>
      <c r="Z798" s="449"/>
      <c r="AA798" s="449"/>
      <c r="AB798" s="449"/>
    </row>
    <row r="799">
      <c r="A799" s="337"/>
      <c r="B799" s="338"/>
      <c r="C799" s="338"/>
      <c r="D799" s="338"/>
      <c r="E799" s="338"/>
      <c r="F799" s="337"/>
      <c r="G799" s="449"/>
      <c r="H799" s="449"/>
      <c r="I799" s="449"/>
      <c r="J799" s="449"/>
      <c r="K799" s="449"/>
      <c r="L799" s="449"/>
      <c r="M799" s="449"/>
      <c r="N799" s="449"/>
      <c r="O799" s="449"/>
      <c r="P799" s="449"/>
      <c r="Q799" s="449"/>
      <c r="R799" s="449"/>
      <c r="S799" s="449"/>
      <c r="T799" s="449"/>
      <c r="U799" s="449"/>
      <c r="V799" s="449"/>
      <c r="W799" s="449"/>
      <c r="X799" s="449"/>
      <c r="Y799" s="449"/>
      <c r="Z799" s="449"/>
      <c r="AA799" s="449"/>
      <c r="AB799" s="449"/>
    </row>
    <row r="800">
      <c r="A800" s="337"/>
      <c r="B800" s="338"/>
      <c r="C800" s="338"/>
      <c r="D800" s="338"/>
      <c r="E800" s="338"/>
      <c r="F800" s="337"/>
      <c r="G800" s="449"/>
      <c r="H800" s="449"/>
      <c r="I800" s="449"/>
      <c r="J800" s="449"/>
      <c r="K800" s="449"/>
      <c r="L800" s="449"/>
      <c r="M800" s="449"/>
      <c r="N800" s="449"/>
      <c r="O800" s="449"/>
      <c r="P800" s="449"/>
      <c r="Q800" s="449"/>
      <c r="R800" s="449"/>
      <c r="S800" s="449"/>
      <c r="T800" s="449"/>
      <c r="U800" s="449"/>
      <c r="V800" s="449"/>
      <c r="W800" s="449"/>
      <c r="X800" s="449"/>
      <c r="Y800" s="449"/>
      <c r="Z800" s="449"/>
      <c r="AA800" s="449"/>
      <c r="AB800" s="449"/>
    </row>
    <row r="801">
      <c r="A801" s="337"/>
      <c r="B801" s="338"/>
      <c r="C801" s="338"/>
      <c r="D801" s="338"/>
      <c r="E801" s="338"/>
      <c r="F801" s="337"/>
      <c r="G801" s="449"/>
      <c r="H801" s="449"/>
      <c r="I801" s="449"/>
      <c r="J801" s="449"/>
      <c r="K801" s="449"/>
      <c r="L801" s="449"/>
      <c r="M801" s="449"/>
      <c r="N801" s="449"/>
      <c r="O801" s="449"/>
      <c r="P801" s="449"/>
      <c r="Q801" s="449"/>
      <c r="R801" s="449"/>
      <c r="S801" s="449"/>
      <c r="T801" s="449"/>
      <c r="U801" s="449"/>
      <c r="V801" s="449"/>
      <c r="W801" s="449"/>
      <c r="X801" s="449"/>
      <c r="Y801" s="449"/>
      <c r="Z801" s="449"/>
      <c r="AA801" s="449"/>
      <c r="AB801" s="449"/>
    </row>
    <row r="802">
      <c r="A802" s="337"/>
      <c r="B802" s="338"/>
      <c r="C802" s="338"/>
      <c r="D802" s="338"/>
      <c r="E802" s="338"/>
      <c r="F802" s="337"/>
      <c r="G802" s="449"/>
      <c r="H802" s="449"/>
      <c r="I802" s="449"/>
      <c r="J802" s="449"/>
      <c r="K802" s="449"/>
      <c r="L802" s="449"/>
      <c r="M802" s="449"/>
      <c r="N802" s="449"/>
      <c r="O802" s="449"/>
      <c r="P802" s="449"/>
      <c r="Q802" s="449"/>
      <c r="R802" s="449"/>
      <c r="S802" s="449"/>
      <c r="T802" s="449"/>
      <c r="U802" s="449"/>
      <c r="V802" s="449"/>
      <c r="W802" s="449"/>
      <c r="X802" s="449"/>
      <c r="Y802" s="449"/>
      <c r="Z802" s="449"/>
      <c r="AA802" s="449"/>
      <c r="AB802" s="449"/>
    </row>
    <row r="803">
      <c r="A803" s="337"/>
      <c r="B803" s="338"/>
      <c r="C803" s="338"/>
      <c r="D803" s="338"/>
      <c r="E803" s="338"/>
      <c r="F803" s="337"/>
      <c r="G803" s="449"/>
      <c r="H803" s="449"/>
      <c r="I803" s="449"/>
      <c r="J803" s="449"/>
      <c r="K803" s="449"/>
      <c r="L803" s="449"/>
      <c r="M803" s="449"/>
      <c r="N803" s="449"/>
      <c r="O803" s="449"/>
      <c r="P803" s="449"/>
      <c r="Q803" s="449"/>
      <c r="R803" s="449"/>
      <c r="S803" s="449"/>
      <c r="T803" s="449"/>
      <c r="U803" s="449"/>
      <c r="V803" s="449"/>
      <c r="W803" s="449"/>
      <c r="X803" s="449"/>
      <c r="Y803" s="449"/>
      <c r="Z803" s="449"/>
      <c r="AA803" s="449"/>
      <c r="AB803" s="449"/>
    </row>
    <row r="804">
      <c r="A804" s="337"/>
      <c r="B804" s="338"/>
      <c r="C804" s="338"/>
      <c r="D804" s="338"/>
      <c r="E804" s="338"/>
      <c r="F804" s="337"/>
      <c r="G804" s="449"/>
      <c r="H804" s="449"/>
      <c r="I804" s="449"/>
      <c r="J804" s="449"/>
      <c r="K804" s="449"/>
      <c r="L804" s="449"/>
      <c r="M804" s="449"/>
      <c r="N804" s="449"/>
      <c r="O804" s="449"/>
      <c r="P804" s="449"/>
      <c r="Q804" s="449"/>
      <c r="R804" s="449"/>
      <c r="S804" s="449"/>
      <c r="T804" s="449"/>
      <c r="U804" s="449"/>
      <c r="V804" s="449"/>
      <c r="W804" s="449"/>
      <c r="X804" s="449"/>
      <c r="Y804" s="449"/>
      <c r="Z804" s="449"/>
      <c r="AA804" s="449"/>
      <c r="AB804" s="449"/>
    </row>
    <row r="805">
      <c r="A805" s="337"/>
      <c r="B805" s="338"/>
      <c r="C805" s="338"/>
      <c r="D805" s="338"/>
      <c r="E805" s="338"/>
      <c r="F805" s="337"/>
      <c r="G805" s="449"/>
      <c r="H805" s="449"/>
      <c r="I805" s="449"/>
      <c r="J805" s="449"/>
      <c r="K805" s="449"/>
      <c r="L805" s="449"/>
      <c r="M805" s="449"/>
      <c r="N805" s="449"/>
      <c r="O805" s="449"/>
      <c r="P805" s="449"/>
      <c r="Q805" s="449"/>
      <c r="R805" s="449"/>
      <c r="S805" s="449"/>
      <c r="T805" s="449"/>
      <c r="U805" s="449"/>
      <c r="V805" s="449"/>
      <c r="W805" s="449"/>
      <c r="X805" s="449"/>
      <c r="Y805" s="449"/>
      <c r="Z805" s="449"/>
      <c r="AA805" s="449"/>
      <c r="AB805" s="449"/>
    </row>
    <row r="806">
      <c r="A806" s="337"/>
      <c r="B806" s="338"/>
      <c r="C806" s="338"/>
      <c r="D806" s="338"/>
      <c r="E806" s="338"/>
      <c r="F806" s="337"/>
      <c r="G806" s="449"/>
      <c r="H806" s="449"/>
      <c r="I806" s="449"/>
      <c r="J806" s="449"/>
      <c r="K806" s="449"/>
      <c r="L806" s="449"/>
      <c r="M806" s="449"/>
      <c r="N806" s="449"/>
      <c r="O806" s="449"/>
      <c r="P806" s="449"/>
      <c r="Q806" s="449"/>
      <c r="R806" s="449"/>
      <c r="S806" s="449"/>
      <c r="T806" s="449"/>
      <c r="U806" s="449"/>
      <c r="V806" s="449"/>
      <c r="W806" s="449"/>
      <c r="X806" s="449"/>
      <c r="Y806" s="449"/>
      <c r="Z806" s="449"/>
      <c r="AA806" s="449"/>
      <c r="AB806" s="449"/>
    </row>
    <row r="807">
      <c r="A807" s="337"/>
      <c r="B807" s="338"/>
      <c r="C807" s="338"/>
      <c r="D807" s="338"/>
      <c r="E807" s="338"/>
      <c r="F807" s="337"/>
      <c r="G807" s="449"/>
      <c r="H807" s="449"/>
      <c r="I807" s="449"/>
      <c r="J807" s="449"/>
      <c r="K807" s="449"/>
      <c r="L807" s="449"/>
      <c r="M807" s="449"/>
      <c r="N807" s="449"/>
      <c r="O807" s="449"/>
      <c r="P807" s="449"/>
      <c r="Q807" s="449"/>
      <c r="R807" s="449"/>
      <c r="S807" s="449"/>
      <c r="T807" s="449"/>
      <c r="U807" s="449"/>
      <c r="V807" s="449"/>
      <c r="W807" s="449"/>
      <c r="X807" s="449"/>
      <c r="Y807" s="449"/>
      <c r="Z807" s="449"/>
      <c r="AA807" s="449"/>
      <c r="AB807" s="449"/>
    </row>
    <row r="808">
      <c r="A808" s="337"/>
      <c r="B808" s="338"/>
      <c r="C808" s="338"/>
      <c r="D808" s="338"/>
      <c r="E808" s="338"/>
      <c r="F808" s="337"/>
      <c r="G808" s="449"/>
      <c r="H808" s="449"/>
      <c r="I808" s="449"/>
      <c r="J808" s="449"/>
      <c r="K808" s="449"/>
      <c r="L808" s="449"/>
      <c r="M808" s="449"/>
      <c r="N808" s="449"/>
      <c r="O808" s="449"/>
      <c r="P808" s="449"/>
      <c r="Q808" s="449"/>
      <c r="R808" s="449"/>
      <c r="S808" s="449"/>
      <c r="T808" s="449"/>
      <c r="U808" s="449"/>
      <c r="V808" s="449"/>
      <c r="W808" s="449"/>
      <c r="X808" s="449"/>
      <c r="Y808" s="449"/>
      <c r="Z808" s="449"/>
      <c r="AA808" s="449"/>
      <c r="AB808" s="449"/>
    </row>
    <row r="809">
      <c r="A809" s="337"/>
      <c r="B809" s="338"/>
      <c r="C809" s="338"/>
      <c r="D809" s="338"/>
      <c r="E809" s="338"/>
      <c r="F809" s="337"/>
      <c r="G809" s="449"/>
      <c r="H809" s="449"/>
      <c r="I809" s="449"/>
      <c r="J809" s="449"/>
      <c r="K809" s="449"/>
      <c r="L809" s="449"/>
      <c r="M809" s="449"/>
      <c r="N809" s="449"/>
      <c r="O809" s="449"/>
      <c r="P809" s="449"/>
      <c r="Q809" s="449"/>
      <c r="R809" s="449"/>
      <c r="S809" s="449"/>
      <c r="T809" s="449"/>
      <c r="U809" s="449"/>
      <c r="V809" s="449"/>
      <c r="W809" s="449"/>
      <c r="X809" s="449"/>
      <c r="Y809" s="449"/>
      <c r="Z809" s="449"/>
      <c r="AA809" s="449"/>
      <c r="AB809" s="449"/>
    </row>
    <row r="810">
      <c r="A810" s="337"/>
      <c r="B810" s="338"/>
      <c r="C810" s="338"/>
      <c r="D810" s="338"/>
      <c r="E810" s="338"/>
      <c r="F810" s="337"/>
      <c r="G810" s="449"/>
      <c r="H810" s="449"/>
      <c r="I810" s="449"/>
      <c r="J810" s="449"/>
      <c r="K810" s="449"/>
      <c r="L810" s="449"/>
      <c r="M810" s="449"/>
      <c r="N810" s="449"/>
      <c r="O810" s="449"/>
      <c r="P810" s="449"/>
      <c r="Q810" s="449"/>
      <c r="R810" s="449"/>
      <c r="S810" s="449"/>
      <c r="T810" s="449"/>
      <c r="U810" s="449"/>
      <c r="V810" s="449"/>
      <c r="W810" s="449"/>
      <c r="X810" s="449"/>
      <c r="Y810" s="449"/>
      <c r="Z810" s="449"/>
      <c r="AA810" s="449"/>
      <c r="AB810" s="449"/>
    </row>
    <row r="811">
      <c r="A811" s="337"/>
      <c r="B811" s="338"/>
      <c r="C811" s="338"/>
      <c r="D811" s="338"/>
      <c r="E811" s="338"/>
      <c r="F811" s="337"/>
      <c r="G811" s="449"/>
      <c r="H811" s="449"/>
      <c r="I811" s="449"/>
      <c r="J811" s="449"/>
      <c r="K811" s="449"/>
      <c r="L811" s="449"/>
      <c r="M811" s="449"/>
      <c r="N811" s="449"/>
      <c r="O811" s="449"/>
      <c r="P811" s="449"/>
      <c r="Q811" s="449"/>
      <c r="R811" s="449"/>
      <c r="S811" s="449"/>
      <c r="T811" s="449"/>
      <c r="U811" s="449"/>
      <c r="V811" s="449"/>
      <c r="W811" s="449"/>
      <c r="X811" s="449"/>
      <c r="Y811" s="449"/>
      <c r="Z811" s="449"/>
      <c r="AA811" s="449"/>
      <c r="AB811" s="449"/>
    </row>
    <row r="812">
      <c r="A812" s="337"/>
      <c r="B812" s="338"/>
      <c r="C812" s="338"/>
      <c r="D812" s="338"/>
      <c r="E812" s="338"/>
      <c r="F812" s="337"/>
      <c r="G812" s="449"/>
      <c r="H812" s="449"/>
      <c r="I812" s="449"/>
      <c r="J812" s="449"/>
      <c r="K812" s="449"/>
      <c r="L812" s="449"/>
      <c r="M812" s="449"/>
      <c r="N812" s="449"/>
      <c r="O812" s="449"/>
      <c r="P812" s="449"/>
      <c r="Q812" s="449"/>
      <c r="R812" s="449"/>
      <c r="S812" s="449"/>
      <c r="T812" s="449"/>
      <c r="U812" s="449"/>
      <c r="V812" s="449"/>
      <c r="W812" s="449"/>
      <c r="X812" s="449"/>
      <c r="Y812" s="449"/>
      <c r="Z812" s="449"/>
      <c r="AA812" s="449"/>
      <c r="AB812" s="449"/>
    </row>
    <row r="813">
      <c r="A813" s="337"/>
      <c r="B813" s="338"/>
      <c r="C813" s="338"/>
      <c r="D813" s="338"/>
      <c r="E813" s="338"/>
      <c r="F813" s="337"/>
      <c r="G813" s="449"/>
      <c r="H813" s="449"/>
      <c r="I813" s="449"/>
      <c r="J813" s="449"/>
      <c r="K813" s="449"/>
      <c r="L813" s="449"/>
      <c r="M813" s="449"/>
      <c r="N813" s="449"/>
      <c r="O813" s="449"/>
      <c r="P813" s="449"/>
      <c r="Q813" s="449"/>
      <c r="R813" s="449"/>
      <c r="S813" s="449"/>
      <c r="T813" s="449"/>
      <c r="U813" s="449"/>
      <c r="V813" s="449"/>
      <c r="W813" s="449"/>
      <c r="X813" s="449"/>
      <c r="Y813" s="449"/>
      <c r="Z813" s="449"/>
      <c r="AA813" s="449"/>
      <c r="AB813" s="449"/>
    </row>
    <row r="814">
      <c r="A814" s="337"/>
      <c r="B814" s="338"/>
      <c r="C814" s="338"/>
      <c r="D814" s="338"/>
      <c r="E814" s="338"/>
      <c r="F814" s="337"/>
      <c r="G814" s="449"/>
      <c r="H814" s="449"/>
      <c r="I814" s="449"/>
      <c r="J814" s="449"/>
      <c r="K814" s="449"/>
      <c r="L814" s="449"/>
      <c r="M814" s="449"/>
      <c r="N814" s="449"/>
      <c r="O814" s="449"/>
      <c r="P814" s="449"/>
      <c r="Q814" s="449"/>
      <c r="R814" s="449"/>
      <c r="S814" s="449"/>
      <c r="T814" s="449"/>
      <c r="U814" s="449"/>
      <c r="V814" s="449"/>
      <c r="W814" s="449"/>
      <c r="X814" s="449"/>
      <c r="Y814" s="449"/>
      <c r="Z814" s="449"/>
      <c r="AA814" s="449"/>
      <c r="AB814" s="449"/>
    </row>
    <row r="815">
      <c r="A815" s="337"/>
      <c r="B815" s="338"/>
      <c r="C815" s="338"/>
      <c r="D815" s="338"/>
      <c r="E815" s="338"/>
      <c r="F815" s="337"/>
      <c r="G815" s="449"/>
      <c r="H815" s="449"/>
      <c r="I815" s="449"/>
      <c r="J815" s="449"/>
      <c r="K815" s="449"/>
      <c r="L815" s="449"/>
      <c r="M815" s="449"/>
      <c r="N815" s="449"/>
      <c r="O815" s="449"/>
      <c r="P815" s="449"/>
      <c r="Q815" s="449"/>
      <c r="R815" s="449"/>
      <c r="S815" s="449"/>
      <c r="T815" s="449"/>
      <c r="U815" s="449"/>
      <c r="V815" s="449"/>
      <c r="W815" s="449"/>
      <c r="X815" s="449"/>
      <c r="Y815" s="449"/>
      <c r="Z815" s="449"/>
      <c r="AA815" s="449"/>
      <c r="AB815" s="449"/>
    </row>
    <row r="816">
      <c r="A816" s="337"/>
      <c r="B816" s="338"/>
      <c r="C816" s="338"/>
      <c r="D816" s="338"/>
      <c r="E816" s="338"/>
      <c r="F816" s="337"/>
      <c r="G816" s="449"/>
      <c r="H816" s="449"/>
      <c r="I816" s="449"/>
      <c r="J816" s="449"/>
      <c r="K816" s="449"/>
      <c r="L816" s="449"/>
      <c r="M816" s="449"/>
      <c r="N816" s="449"/>
      <c r="O816" s="449"/>
      <c r="P816" s="449"/>
      <c r="Q816" s="449"/>
      <c r="R816" s="449"/>
      <c r="S816" s="449"/>
      <c r="T816" s="449"/>
      <c r="U816" s="449"/>
      <c r="V816" s="449"/>
      <c r="W816" s="449"/>
      <c r="X816" s="449"/>
      <c r="Y816" s="449"/>
      <c r="Z816" s="449"/>
      <c r="AA816" s="449"/>
      <c r="AB816" s="449"/>
    </row>
    <row r="817">
      <c r="A817" s="337"/>
      <c r="B817" s="338"/>
      <c r="C817" s="338"/>
      <c r="D817" s="338"/>
      <c r="E817" s="338"/>
      <c r="F817" s="337"/>
      <c r="G817" s="449"/>
      <c r="H817" s="449"/>
      <c r="I817" s="449"/>
      <c r="J817" s="449"/>
      <c r="K817" s="449"/>
      <c r="L817" s="449"/>
      <c r="M817" s="449"/>
      <c r="N817" s="449"/>
      <c r="O817" s="449"/>
      <c r="P817" s="449"/>
      <c r="Q817" s="449"/>
      <c r="R817" s="449"/>
      <c r="S817" s="449"/>
      <c r="T817" s="449"/>
      <c r="U817" s="449"/>
      <c r="V817" s="449"/>
      <c r="W817" s="449"/>
      <c r="X817" s="449"/>
      <c r="Y817" s="449"/>
      <c r="Z817" s="449"/>
      <c r="AA817" s="449"/>
      <c r="AB817" s="449"/>
    </row>
    <row r="818">
      <c r="A818" s="337"/>
      <c r="B818" s="338"/>
      <c r="C818" s="338"/>
      <c r="D818" s="338"/>
      <c r="E818" s="338"/>
      <c r="F818" s="337"/>
      <c r="G818" s="449"/>
      <c r="H818" s="449"/>
      <c r="I818" s="449"/>
      <c r="J818" s="449"/>
      <c r="K818" s="449"/>
      <c r="L818" s="449"/>
      <c r="M818" s="449"/>
      <c r="N818" s="449"/>
      <c r="O818" s="449"/>
      <c r="P818" s="449"/>
      <c r="Q818" s="449"/>
      <c r="R818" s="449"/>
      <c r="S818" s="449"/>
      <c r="T818" s="449"/>
      <c r="U818" s="449"/>
      <c r="V818" s="449"/>
      <c r="W818" s="449"/>
      <c r="X818" s="449"/>
      <c r="Y818" s="449"/>
      <c r="Z818" s="449"/>
      <c r="AA818" s="449"/>
      <c r="AB818" s="449"/>
    </row>
    <row r="819">
      <c r="A819" s="337"/>
      <c r="B819" s="338"/>
      <c r="C819" s="338"/>
      <c r="D819" s="338"/>
      <c r="E819" s="338"/>
      <c r="F819" s="337"/>
      <c r="G819" s="449"/>
      <c r="H819" s="449"/>
      <c r="I819" s="449"/>
      <c r="J819" s="449"/>
      <c r="K819" s="449"/>
      <c r="L819" s="449"/>
      <c r="M819" s="449"/>
      <c r="N819" s="449"/>
      <c r="O819" s="449"/>
      <c r="P819" s="449"/>
      <c r="Q819" s="449"/>
      <c r="R819" s="449"/>
      <c r="S819" s="449"/>
      <c r="T819" s="449"/>
      <c r="U819" s="449"/>
      <c r="V819" s="449"/>
      <c r="W819" s="449"/>
      <c r="X819" s="449"/>
      <c r="Y819" s="449"/>
      <c r="Z819" s="449"/>
      <c r="AA819" s="449"/>
      <c r="AB819" s="449"/>
    </row>
    <row r="820">
      <c r="A820" s="337"/>
      <c r="B820" s="338"/>
      <c r="C820" s="338"/>
      <c r="D820" s="338"/>
      <c r="E820" s="338"/>
      <c r="F820" s="337"/>
      <c r="G820" s="449"/>
      <c r="H820" s="449"/>
      <c r="I820" s="449"/>
      <c r="J820" s="449"/>
      <c r="K820" s="449"/>
      <c r="L820" s="449"/>
      <c r="M820" s="449"/>
      <c r="N820" s="449"/>
      <c r="O820" s="449"/>
      <c r="P820" s="449"/>
      <c r="Q820" s="449"/>
      <c r="R820" s="449"/>
      <c r="S820" s="449"/>
      <c r="T820" s="449"/>
      <c r="U820" s="449"/>
      <c r="V820" s="449"/>
      <c r="W820" s="449"/>
      <c r="X820" s="449"/>
      <c r="Y820" s="449"/>
      <c r="Z820" s="449"/>
      <c r="AA820" s="449"/>
      <c r="AB820" s="449"/>
    </row>
    <row r="821">
      <c r="A821" s="337"/>
      <c r="B821" s="338"/>
      <c r="C821" s="338"/>
      <c r="D821" s="338"/>
      <c r="E821" s="338"/>
      <c r="F821" s="337"/>
      <c r="G821" s="449"/>
      <c r="H821" s="449"/>
      <c r="I821" s="449"/>
      <c r="J821" s="449"/>
      <c r="K821" s="449"/>
      <c r="L821" s="449"/>
      <c r="M821" s="449"/>
      <c r="N821" s="449"/>
      <c r="O821" s="449"/>
      <c r="P821" s="449"/>
      <c r="Q821" s="449"/>
      <c r="R821" s="449"/>
      <c r="S821" s="449"/>
      <c r="T821" s="449"/>
      <c r="U821" s="449"/>
      <c r="V821" s="449"/>
      <c r="W821" s="449"/>
      <c r="X821" s="449"/>
      <c r="Y821" s="449"/>
      <c r="Z821" s="449"/>
      <c r="AA821" s="449"/>
      <c r="AB821" s="449"/>
    </row>
    <row r="822">
      <c r="A822" s="337"/>
      <c r="B822" s="338"/>
      <c r="C822" s="338"/>
      <c r="D822" s="338"/>
      <c r="E822" s="338"/>
      <c r="F822" s="337"/>
      <c r="G822" s="449"/>
      <c r="H822" s="449"/>
      <c r="I822" s="449"/>
      <c r="J822" s="449"/>
      <c r="K822" s="449"/>
      <c r="L822" s="449"/>
      <c r="M822" s="449"/>
      <c r="N822" s="449"/>
      <c r="O822" s="449"/>
      <c r="P822" s="449"/>
      <c r="Q822" s="449"/>
      <c r="R822" s="449"/>
      <c r="S822" s="449"/>
      <c r="T822" s="449"/>
      <c r="U822" s="449"/>
      <c r="V822" s="449"/>
      <c r="W822" s="449"/>
      <c r="X822" s="449"/>
      <c r="Y822" s="449"/>
      <c r="Z822" s="449"/>
      <c r="AA822" s="449"/>
      <c r="AB822" s="449"/>
    </row>
    <row r="823">
      <c r="A823" s="337"/>
      <c r="B823" s="338"/>
      <c r="C823" s="338"/>
      <c r="D823" s="338"/>
      <c r="E823" s="338"/>
      <c r="F823" s="337"/>
      <c r="G823" s="449"/>
      <c r="H823" s="449"/>
      <c r="I823" s="449"/>
      <c r="J823" s="449"/>
      <c r="K823" s="449"/>
      <c r="L823" s="449"/>
      <c r="M823" s="449"/>
      <c r="N823" s="449"/>
      <c r="O823" s="449"/>
      <c r="P823" s="449"/>
      <c r="Q823" s="449"/>
      <c r="R823" s="449"/>
      <c r="S823" s="449"/>
      <c r="T823" s="449"/>
      <c r="U823" s="449"/>
      <c r="V823" s="449"/>
      <c r="W823" s="449"/>
      <c r="X823" s="449"/>
      <c r="Y823" s="449"/>
      <c r="Z823" s="449"/>
      <c r="AA823" s="449"/>
      <c r="AB823" s="449"/>
    </row>
    <row r="824">
      <c r="A824" s="337"/>
      <c r="B824" s="338"/>
      <c r="C824" s="338"/>
      <c r="D824" s="338"/>
      <c r="E824" s="338"/>
      <c r="F824" s="337"/>
      <c r="G824" s="449"/>
      <c r="H824" s="449"/>
      <c r="I824" s="449"/>
      <c r="J824" s="449"/>
      <c r="K824" s="449"/>
      <c r="L824" s="449"/>
      <c r="M824" s="449"/>
      <c r="N824" s="449"/>
      <c r="O824" s="449"/>
      <c r="P824" s="449"/>
      <c r="Q824" s="449"/>
      <c r="R824" s="449"/>
      <c r="S824" s="449"/>
      <c r="T824" s="449"/>
      <c r="U824" s="449"/>
      <c r="V824" s="449"/>
      <c r="W824" s="449"/>
      <c r="X824" s="449"/>
      <c r="Y824" s="449"/>
      <c r="Z824" s="449"/>
      <c r="AA824" s="449"/>
      <c r="AB824" s="449"/>
    </row>
    <row r="825">
      <c r="A825" s="337"/>
      <c r="B825" s="338"/>
      <c r="C825" s="338"/>
      <c r="D825" s="338"/>
      <c r="E825" s="338"/>
      <c r="F825" s="337"/>
      <c r="G825" s="449"/>
      <c r="H825" s="449"/>
      <c r="I825" s="449"/>
      <c r="J825" s="449"/>
      <c r="K825" s="449"/>
      <c r="L825" s="449"/>
      <c r="M825" s="449"/>
      <c r="N825" s="449"/>
      <c r="O825" s="449"/>
      <c r="P825" s="449"/>
      <c r="Q825" s="449"/>
      <c r="R825" s="449"/>
      <c r="S825" s="449"/>
      <c r="T825" s="449"/>
      <c r="U825" s="449"/>
      <c r="V825" s="449"/>
      <c r="W825" s="449"/>
      <c r="X825" s="449"/>
      <c r="Y825" s="449"/>
      <c r="Z825" s="449"/>
      <c r="AA825" s="449"/>
      <c r="AB825" s="449"/>
    </row>
    <row r="826">
      <c r="A826" s="337"/>
      <c r="B826" s="338"/>
      <c r="C826" s="338"/>
      <c r="D826" s="338"/>
      <c r="E826" s="338"/>
      <c r="F826" s="337"/>
      <c r="G826" s="449"/>
      <c r="H826" s="449"/>
      <c r="I826" s="449"/>
      <c r="J826" s="449"/>
      <c r="K826" s="449"/>
      <c r="L826" s="449"/>
      <c r="M826" s="449"/>
      <c r="N826" s="449"/>
      <c r="O826" s="449"/>
      <c r="P826" s="449"/>
      <c r="Q826" s="449"/>
      <c r="R826" s="449"/>
      <c r="S826" s="449"/>
      <c r="T826" s="449"/>
      <c r="U826" s="449"/>
      <c r="V826" s="449"/>
      <c r="W826" s="449"/>
      <c r="X826" s="449"/>
      <c r="Y826" s="449"/>
      <c r="Z826" s="449"/>
      <c r="AA826" s="449"/>
      <c r="AB826" s="449"/>
    </row>
    <row r="827">
      <c r="A827" s="337"/>
      <c r="B827" s="338"/>
      <c r="C827" s="338"/>
      <c r="D827" s="338"/>
      <c r="E827" s="338"/>
      <c r="F827" s="337"/>
      <c r="G827" s="449"/>
      <c r="H827" s="449"/>
      <c r="I827" s="449"/>
      <c r="J827" s="449"/>
      <c r="K827" s="449"/>
      <c r="L827" s="449"/>
      <c r="M827" s="449"/>
      <c r="N827" s="449"/>
      <c r="O827" s="449"/>
      <c r="P827" s="449"/>
      <c r="Q827" s="449"/>
      <c r="R827" s="449"/>
      <c r="S827" s="449"/>
      <c r="T827" s="449"/>
      <c r="U827" s="449"/>
      <c r="V827" s="449"/>
      <c r="W827" s="449"/>
      <c r="X827" s="449"/>
      <c r="Y827" s="449"/>
      <c r="Z827" s="449"/>
      <c r="AA827" s="449"/>
      <c r="AB827" s="449"/>
    </row>
    <row r="828">
      <c r="A828" s="337"/>
      <c r="B828" s="338"/>
      <c r="C828" s="338"/>
      <c r="D828" s="338"/>
      <c r="E828" s="338"/>
      <c r="F828" s="337"/>
      <c r="G828" s="449"/>
      <c r="H828" s="449"/>
      <c r="I828" s="449"/>
      <c r="J828" s="449"/>
      <c r="K828" s="449"/>
      <c r="L828" s="449"/>
      <c r="M828" s="449"/>
      <c r="N828" s="449"/>
      <c r="O828" s="449"/>
      <c r="P828" s="449"/>
      <c r="Q828" s="449"/>
      <c r="R828" s="449"/>
      <c r="S828" s="449"/>
      <c r="T828" s="449"/>
      <c r="U828" s="449"/>
      <c r="V828" s="449"/>
      <c r="W828" s="449"/>
      <c r="X828" s="449"/>
      <c r="Y828" s="449"/>
      <c r="Z828" s="449"/>
      <c r="AA828" s="449"/>
      <c r="AB828" s="449"/>
    </row>
    <row r="829">
      <c r="A829" s="337"/>
      <c r="B829" s="338"/>
      <c r="C829" s="338"/>
      <c r="D829" s="338"/>
      <c r="E829" s="338"/>
      <c r="F829" s="337"/>
      <c r="G829" s="449"/>
      <c r="H829" s="449"/>
      <c r="I829" s="449"/>
      <c r="J829" s="449"/>
      <c r="K829" s="449"/>
      <c r="L829" s="449"/>
      <c r="M829" s="449"/>
      <c r="N829" s="449"/>
      <c r="O829" s="449"/>
      <c r="P829" s="449"/>
      <c r="Q829" s="449"/>
      <c r="R829" s="449"/>
      <c r="S829" s="449"/>
      <c r="T829" s="449"/>
      <c r="U829" s="449"/>
      <c r="V829" s="449"/>
      <c r="W829" s="449"/>
      <c r="X829" s="449"/>
      <c r="Y829" s="449"/>
      <c r="Z829" s="449"/>
      <c r="AA829" s="449"/>
      <c r="AB829" s="449"/>
    </row>
    <row r="830">
      <c r="A830" s="337"/>
      <c r="B830" s="338"/>
      <c r="C830" s="338"/>
      <c r="D830" s="338"/>
      <c r="E830" s="338"/>
      <c r="F830" s="337"/>
      <c r="G830" s="449"/>
      <c r="H830" s="449"/>
      <c r="I830" s="449"/>
      <c r="J830" s="449"/>
      <c r="K830" s="449"/>
      <c r="L830" s="449"/>
      <c r="M830" s="449"/>
      <c r="N830" s="449"/>
      <c r="O830" s="449"/>
      <c r="P830" s="449"/>
      <c r="Q830" s="449"/>
      <c r="R830" s="449"/>
      <c r="S830" s="449"/>
      <c r="T830" s="449"/>
      <c r="U830" s="449"/>
      <c r="V830" s="449"/>
      <c r="W830" s="449"/>
      <c r="X830" s="449"/>
      <c r="Y830" s="449"/>
      <c r="Z830" s="449"/>
      <c r="AA830" s="449"/>
      <c r="AB830" s="449"/>
    </row>
    <row r="831">
      <c r="A831" s="337"/>
      <c r="B831" s="338"/>
      <c r="C831" s="338"/>
      <c r="D831" s="338"/>
      <c r="E831" s="338"/>
      <c r="F831" s="337"/>
      <c r="G831" s="449"/>
      <c r="H831" s="449"/>
      <c r="I831" s="449"/>
      <c r="J831" s="449"/>
      <c r="K831" s="449"/>
      <c r="L831" s="449"/>
      <c r="M831" s="449"/>
      <c r="N831" s="449"/>
      <c r="O831" s="449"/>
      <c r="P831" s="449"/>
      <c r="Q831" s="449"/>
      <c r="R831" s="449"/>
      <c r="S831" s="449"/>
      <c r="T831" s="449"/>
      <c r="U831" s="449"/>
      <c r="V831" s="449"/>
      <c r="W831" s="449"/>
      <c r="X831" s="449"/>
      <c r="Y831" s="449"/>
      <c r="Z831" s="449"/>
      <c r="AA831" s="449"/>
      <c r="AB831" s="449"/>
    </row>
    <row r="832">
      <c r="A832" s="337"/>
      <c r="B832" s="338"/>
      <c r="C832" s="338"/>
      <c r="D832" s="338"/>
      <c r="E832" s="338"/>
      <c r="F832" s="337"/>
      <c r="G832" s="449"/>
      <c r="H832" s="449"/>
      <c r="I832" s="449"/>
      <c r="J832" s="449"/>
      <c r="K832" s="449"/>
      <c r="L832" s="449"/>
      <c r="M832" s="449"/>
      <c r="N832" s="449"/>
      <c r="O832" s="449"/>
      <c r="P832" s="449"/>
      <c r="Q832" s="449"/>
      <c r="R832" s="449"/>
      <c r="S832" s="449"/>
      <c r="T832" s="449"/>
      <c r="U832" s="449"/>
      <c r="V832" s="449"/>
      <c r="W832" s="449"/>
      <c r="X832" s="449"/>
      <c r="Y832" s="449"/>
      <c r="Z832" s="449"/>
      <c r="AA832" s="449"/>
      <c r="AB832" s="449"/>
    </row>
    <row r="833">
      <c r="A833" s="337"/>
      <c r="B833" s="338"/>
      <c r="C833" s="338"/>
      <c r="D833" s="338"/>
      <c r="E833" s="338"/>
      <c r="F833" s="337"/>
      <c r="G833" s="449"/>
      <c r="H833" s="449"/>
      <c r="I833" s="449"/>
      <c r="J833" s="449"/>
      <c r="K833" s="449"/>
      <c r="L833" s="449"/>
      <c r="M833" s="449"/>
      <c r="N833" s="449"/>
      <c r="O833" s="449"/>
      <c r="P833" s="449"/>
      <c r="Q833" s="449"/>
      <c r="R833" s="449"/>
      <c r="S833" s="449"/>
      <c r="T833" s="449"/>
      <c r="U833" s="449"/>
      <c r="V833" s="449"/>
      <c r="W833" s="449"/>
      <c r="X833" s="449"/>
      <c r="Y833" s="449"/>
      <c r="Z833" s="449"/>
      <c r="AA833" s="449"/>
      <c r="AB833" s="449"/>
    </row>
    <row r="834">
      <c r="A834" s="337"/>
      <c r="B834" s="338"/>
      <c r="C834" s="338"/>
      <c r="D834" s="338"/>
      <c r="E834" s="338"/>
      <c r="F834" s="337"/>
      <c r="G834" s="449"/>
      <c r="H834" s="449"/>
      <c r="I834" s="449"/>
      <c r="J834" s="449"/>
      <c r="K834" s="449"/>
      <c r="L834" s="449"/>
      <c r="M834" s="449"/>
      <c r="N834" s="449"/>
      <c r="O834" s="449"/>
      <c r="P834" s="449"/>
      <c r="Q834" s="449"/>
      <c r="R834" s="449"/>
      <c r="S834" s="449"/>
      <c r="T834" s="449"/>
      <c r="U834" s="449"/>
      <c r="V834" s="449"/>
      <c r="W834" s="449"/>
      <c r="X834" s="449"/>
      <c r="Y834" s="449"/>
      <c r="Z834" s="449"/>
      <c r="AA834" s="449"/>
      <c r="AB834" s="449"/>
    </row>
    <row r="835">
      <c r="A835" s="337"/>
      <c r="B835" s="338"/>
      <c r="C835" s="338"/>
      <c r="D835" s="338"/>
      <c r="E835" s="338"/>
      <c r="F835" s="337"/>
      <c r="G835" s="449"/>
      <c r="H835" s="449"/>
      <c r="I835" s="449"/>
      <c r="J835" s="449"/>
      <c r="K835" s="449"/>
      <c r="L835" s="449"/>
      <c r="M835" s="449"/>
      <c r="N835" s="449"/>
      <c r="O835" s="449"/>
      <c r="P835" s="449"/>
      <c r="Q835" s="449"/>
      <c r="R835" s="449"/>
      <c r="S835" s="449"/>
      <c r="T835" s="449"/>
      <c r="U835" s="449"/>
      <c r="V835" s="449"/>
      <c r="W835" s="449"/>
      <c r="X835" s="449"/>
      <c r="Y835" s="449"/>
      <c r="Z835" s="449"/>
      <c r="AA835" s="449"/>
      <c r="AB835" s="449"/>
    </row>
    <row r="836">
      <c r="A836" s="337"/>
      <c r="B836" s="338"/>
      <c r="C836" s="338"/>
      <c r="D836" s="338"/>
      <c r="E836" s="338"/>
      <c r="F836" s="337"/>
      <c r="G836" s="449"/>
      <c r="H836" s="449"/>
      <c r="I836" s="449"/>
      <c r="J836" s="449"/>
      <c r="K836" s="449"/>
      <c r="L836" s="449"/>
      <c r="M836" s="449"/>
      <c r="N836" s="449"/>
      <c r="O836" s="449"/>
      <c r="P836" s="449"/>
      <c r="Q836" s="449"/>
      <c r="R836" s="449"/>
      <c r="S836" s="449"/>
      <c r="T836" s="449"/>
      <c r="U836" s="449"/>
      <c r="V836" s="449"/>
      <c r="W836" s="449"/>
      <c r="X836" s="449"/>
      <c r="Y836" s="449"/>
      <c r="Z836" s="449"/>
      <c r="AA836" s="449"/>
      <c r="AB836" s="449"/>
    </row>
    <row r="837">
      <c r="A837" s="337"/>
      <c r="B837" s="338"/>
      <c r="C837" s="338"/>
      <c r="D837" s="338"/>
      <c r="E837" s="338"/>
      <c r="F837" s="337"/>
      <c r="G837" s="449"/>
      <c r="H837" s="449"/>
      <c r="I837" s="449"/>
      <c r="J837" s="449"/>
      <c r="K837" s="449"/>
      <c r="L837" s="449"/>
      <c r="M837" s="449"/>
      <c r="N837" s="449"/>
      <c r="O837" s="449"/>
      <c r="P837" s="449"/>
      <c r="Q837" s="449"/>
      <c r="R837" s="449"/>
      <c r="S837" s="449"/>
      <c r="T837" s="449"/>
      <c r="U837" s="449"/>
      <c r="V837" s="449"/>
      <c r="W837" s="449"/>
      <c r="X837" s="449"/>
      <c r="Y837" s="449"/>
      <c r="Z837" s="449"/>
      <c r="AA837" s="449"/>
      <c r="AB837" s="449"/>
    </row>
    <row r="838">
      <c r="A838" s="337"/>
      <c r="B838" s="338"/>
      <c r="C838" s="338"/>
      <c r="D838" s="338"/>
      <c r="E838" s="338"/>
      <c r="F838" s="337"/>
      <c r="G838" s="449"/>
      <c r="H838" s="449"/>
      <c r="I838" s="449"/>
      <c r="J838" s="449"/>
      <c r="K838" s="449"/>
      <c r="L838" s="449"/>
      <c r="M838" s="449"/>
      <c r="N838" s="449"/>
      <c r="O838" s="449"/>
      <c r="P838" s="449"/>
      <c r="Q838" s="449"/>
      <c r="R838" s="449"/>
      <c r="S838" s="449"/>
      <c r="T838" s="449"/>
      <c r="U838" s="449"/>
      <c r="V838" s="449"/>
      <c r="W838" s="449"/>
      <c r="X838" s="449"/>
      <c r="Y838" s="449"/>
      <c r="Z838" s="449"/>
      <c r="AA838" s="449"/>
      <c r="AB838" s="449"/>
    </row>
    <row r="839">
      <c r="A839" s="337"/>
      <c r="B839" s="338"/>
      <c r="C839" s="338"/>
      <c r="D839" s="338"/>
      <c r="E839" s="338"/>
      <c r="F839" s="337"/>
      <c r="G839" s="449"/>
      <c r="H839" s="449"/>
      <c r="I839" s="449"/>
      <c r="J839" s="449"/>
      <c r="K839" s="449"/>
      <c r="L839" s="449"/>
      <c r="M839" s="449"/>
      <c r="N839" s="449"/>
      <c r="O839" s="449"/>
      <c r="P839" s="449"/>
      <c r="Q839" s="449"/>
      <c r="R839" s="449"/>
      <c r="S839" s="449"/>
      <c r="T839" s="449"/>
      <c r="U839" s="449"/>
      <c r="V839" s="449"/>
      <c r="W839" s="449"/>
      <c r="X839" s="449"/>
      <c r="Y839" s="449"/>
      <c r="Z839" s="449"/>
      <c r="AA839" s="449"/>
      <c r="AB839" s="449"/>
    </row>
    <row r="840">
      <c r="A840" s="337"/>
      <c r="B840" s="338"/>
      <c r="C840" s="338"/>
      <c r="D840" s="338"/>
      <c r="E840" s="338"/>
      <c r="F840" s="337"/>
      <c r="G840" s="449"/>
      <c r="H840" s="449"/>
      <c r="I840" s="449"/>
      <c r="J840" s="449"/>
      <c r="K840" s="449"/>
      <c r="L840" s="449"/>
      <c r="M840" s="449"/>
      <c r="N840" s="449"/>
      <c r="O840" s="449"/>
      <c r="P840" s="449"/>
      <c r="Q840" s="449"/>
      <c r="R840" s="449"/>
      <c r="S840" s="449"/>
      <c r="T840" s="449"/>
      <c r="U840" s="449"/>
      <c r="V840" s="449"/>
      <c r="W840" s="449"/>
      <c r="X840" s="449"/>
      <c r="Y840" s="449"/>
      <c r="Z840" s="449"/>
      <c r="AA840" s="449"/>
      <c r="AB840" s="449"/>
    </row>
    <row r="841">
      <c r="A841" s="337"/>
      <c r="B841" s="338"/>
      <c r="C841" s="338"/>
      <c r="D841" s="338"/>
      <c r="E841" s="338"/>
      <c r="F841" s="337"/>
      <c r="G841" s="449"/>
      <c r="H841" s="449"/>
      <c r="I841" s="449"/>
      <c r="J841" s="449"/>
      <c r="K841" s="449"/>
      <c r="L841" s="449"/>
      <c r="M841" s="449"/>
      <c r="N841" s="449"/>
      <c r="O841" s="449"/>
      <c r="P841" s="449"/>
      <c r="Q841" s="449"/>
      <c r="R841" s="449"/>
      <c r="S841" s="449"/>
      <c r="T841" s="449"/>
      <c r="U841" s="449"/>
      <c r="V841" s="449"/>
      <c r="W841" s="449"/>
      <c r="X841" s="449"/>
      <c r="Y841" s="449"/>
      <c r="Z841" s="449"/>
      <c r="AA841" s="449"/>
      <c r="AB841" s="449"/>
    </row>
    <row r="842">
      <c r="A842" s="337"/>
      <c r="B842" s="338"/>
      <c r="C842" s="338"/>
      <c r="D842" s="338"/>
      <c r="E842" s="338"/>
      <c r="F842" s="337"/>
      <c r="G842" s="449"/>
      <c r="H842" s="449"/>
      <c r="I842" s="449"/>
      <c r="J842" s="449"/>
      <c r="K842" s="449"/>
      <c r="L842" s="449"/>
      <c r="M842" s="449"/>
      <c r="N842" s="449"/>
      <c r="O842" s="449"/>
      <c r="P842" s="449"/>
      <c r="Q842" s="449"/>
      <c r="R842" s="449"/>
      <c r="S842" s="449"/>
      <c r="T842" s="449"/>
      <c r="U842" s="449"/>
      <c r="V842" s="449"/>
      <c r="W842" s="449"/>
      <c r="X842" s="449"/>
      <c r="Y842" s="449"/>
      <c r="Z842" s="449"/>
      <c r="AA842" s="449"/>
      <c r="AB842" s="449"/>
    </row>
    <row r="843">
      <c r="A843" s="337"/>
      <c r="B843" s="338"/>
      <c r="C843" s="338"/>
      <c r="D843" s="338"/>
      <c r="E843" s="338"/>
      <c r="F843" s="337"/>
      <c r="G843" s="449"/>
      <c r="H843" s="449"/>
      <c r="I843" s="449"/>
      <c r="J843" s="449"/>
      <c r="K843" s="449"/>
      <c r="L843" s="449"/>
      <c r="M843" s="449"/>
      <c r="N843" s="449"/>
      <c r="O843" s="449"/>
      <c r="P843" s="449"/>
      <c r="Q843" s="449"/>
      <c r="R843" s="449"/>
      <c r="S843" s="449"/>
      <c r="T843" s="449"/>
      <c r="U843" s="449"/>
      <c r="V843" s="449"/>
      <c r="W843" s="449"/>
      <c r="X843" s="449"/>
      <c r="Y843" s="449"/>
      <c r="Z843" s="449"/>
      <c r="AA843" s="449"/>
      <c r="AB843" s="449"/>
    </row>
    <row r="844">
      <c r="A844" s="337"/>
      <c r="B844" s="338"/>
      <c r="C844" s="338"/>
      <c r="D844" s="338"/>
      <c r="E844" s="338"/>
      <c r="F844" s="337"/>
      <c r="G844" s="449"/>
      <c r="H844" s="449"/>
      <c r="I844" s="449"/>
      <c r="J844" s="449"/>
      <c r="K844" s="449"/>
      <c r="L844" s="449"/>
      <c r="M844" s="449"/>
      <c r="N844" s="449"/>
      <c r="O844" s="449"/>
      <c r="P844" s="449"/>
      <c r="Q844" s="449"/>
      <c r="R844" s="449"/>
      <c r="S844" s="449"/>
      <c r="T844" s="449"/>
      <c r="U844" s="449"/>
      <c r="V844" s="449"/>
      <c r="W844" s="449"/>
      <c r="X844" s="449"/>
      <c r="Y844" s="449"/>
      <c r="Z844" s="449"/>
      <c r="AA844" s="449"/>
      <c r="AB844" s="449"/>
    </row>
    <row r="845">
      <c r="A845" s="337"/>
      <c r="B845" s="338"/>
      <c r="C845" s="338"/>
      <c r="D845" s="338"/>
      <c r="E845" s="338"/>
      <c r="F845" s="337"/>
      <c r="G845" s="449"/>
      <c r="H845" s="449"/>
      <c r="I845" s="449"/>
      <c r="J845" s="449"/>
      <c r="K845" s="449"/>
      <c r="L845" s="449"/>
      <c r="M845" s="449"/>
      <c r="N845" s="449"/>
      <c r="O845" s="449"/>
      <c r="P845" s="449"/>
      <c r="Q845" s="449"/>
      <c r="R845" s="449"/>
      <c r="S845" s="449"/>
      <c r="T845" s="449"/>
      <c r="U845" s="449"/>
      <c r="V845" s="449"/>
      <c r="W845" s="449"/>
      <c r="X845" s="449"/>
      <c r="Y845" s="449"/>
      <c r="Z845" s="449"/>
      <c r="AA845" s="449"/>
      <c r="AB845" s="449"/>
    </row>
    <row r="846">
      <c r="A846" s="337"/>
      <c r="B846" s="338"/>
      <c r="C846" s="338"/>
      <c r="D846" s="338"/>
      <c r="E846" s="338"/>
      <c r="F846" s="337"/>
      <c r="G846" s="449"/>
      <c r="H846" s="449"/>
      <c r="I846" s="449"/>
      <c r="J846" s="449"/>
      <c r="K846" s="449"/>
      <c r="L846" s="449"/>
      <c r="M846" s="449"/>
      <c r="N846" s="449"/>
      <c r="O846" s="449"/>
      <c r="P846" s="449"/>
      <c r="Q846" s="449"/>
      <c r="R846" s="449"/>
      <c r="S846" s="449"/>
      <c r="T846" s="449"/>
      <c r="U846" s="449"/>
      <c r="V846" s="449"/>
      <c r="W846" s="449"/>
      <c r="X846" s="449"/>
      <c r="Y846" s="449"/>
      <c r="Z846" s="449"/>
      <c r="AA846" s="449"/>
      <c r="AB846" s="449"/>
    </row>
    <row r="847">
      <c r="A847" s="337"/>
      <c r="B847" s="338"/>
      <c r="C847" s="338"/>
      <c r="D847" s="338"/>
      <c r="E847" s="338"/>
      <c r="F847" s="337"/>
      <c r="G847" s="449"/>
      <c r="H847" s="449"/>
      <c r="I847" s="449"/>
      <c r="J847" s="449"/>
      <c r="K847" s="449"/>
      <c r="L847" s="449"/>
      <c r="M847" s="449"/>
      <c r="N847" s="449"/>
      <c r="O847" s="449"/>
      <c r="P847" s="449"/>
      <c r="Q847" s="449"/>
      <c r="R847" s="449"/>
      <c r="S847" s="449"/>
      <c r="T847" s="449"/>
      <c r="U847" s="449"/>
      <c r="V847" s="449"/>
      <c r="W847" s="449"/>
      <c r="X847" s="449"/>
      <c r="Y847" s="449"/>
      <c r="Z847" s="449"/>
      <c r="AA847" s="449"/>
      <c r="AB847" s="449"/>
    </row>
    <row r="848">
      <c r="A848" s="337"/>
      <c r="B848" s="338"/>
      <c r="C848" s="338"/>
      <c r="D848" s="338"/>
      <c r="E848" s="338"/>
      <c r="F848" s="337"/>
      <c r="G848" s="449"/>
      <c r="H848" s="449"/>
      <c r="I848" s="449"/>
      <c r="J848" s="449"/>
      <c r="K848" s="449"/>
      <c r="L848" s="449"/>
      <c r="M848" s="449"/>
      <c r="N848" s="449"/>
      <c r="O848" s="449"/>
      <c r="P848" s="449"/>
      <c r="Q848" s="449"/>
      <c r="R848" s="449"/>
      <c r="S848" s="449"/>
      <c r="T848" s="449"/>
      <c r="U848" s="449"/>
      <c r="V848" s="449"/>
      <c r="W848" s="449"/>
      <c r="X848" s="449"/>
      <c r="Y848" s="449"/>
      <c r="Z848" s="449"/>
      <c r="AA848" s="449"/>
      <c r="AB848" s="449"/>
    </row>
    <row r="849">
      <c r="A849" s="337"/>
      <c r="B849" s="338"/>
      <c r="C849" s="338"/>
      <c r="D849" s="338"/>
      <c r="E849" s="338"/>
      <c r="F849" s="337"/>
      <c r="G849" s="449"/>
      <c r="H849" s="449"/>
      <c r="I849" s="449"/>
      <c r="J849" s="449"/>
      <c r="K849" s="449"/>
      <c r="L849" s="449"/>
      <c r="M849" s="449"/>
      <c r="N849" s="449"/>
      <c r="O849" s="449"/>
      <c r="P849" s="449"/>
      <c r="Q849" s="449"/>
      <c r="R849" s="449"/>
      <c r="S849" s="449"/>
      <c r="T849" s="449"/>
      <c r="U849" s="449"/>
      <c r="V849" s="449"/>
      <c r="W849" s="449"/>
      <c r="X849" s="449"/>
      <c r="Y849" s="449"/>
      <c r="Z849" s="449"/>
      <c r="AA849" s="449"/>
      <c r="AB849" s="449"/>
    </row>
    <row r="850">
      <c r="A850" s="337"/>
      <c r="B850" s="338"/>
      <c r="C850" s="338"/>
      <c r="D850" s="338"/>
      <c r="E850" s="338"/>
      <c r="F850" s="337"/>
      <c r="G850" s="449"/>
      <c r="H850" s="449"/>
      <c r="I850" s="449"/>
      <c r="J850" s="449"/>
      <c r="K850" s="449"/>
      <c r="L850" s="449"/>
      <c r="M850" s="449"/>
      <c r="N850" s="449"/>
      <c r="O850" s="449"/>
      <c r="P850" s="449"/>
      <c r="Q850" s="449"/>
      <c r="R850" s="449"/>
      <c r="S850" s="449"/>
      <c r="T850" s="449"/>
      <c r="U850" s="449"/>
      <c r="V850" s="449"/>
      <c r="W850" s="449"/>
      <c r="X850" s="449"/>
      <c r="Y850" s="449"/>
      <c r="Z850" s="449"/>
      <c r="AA850" s="449"/>
      <c r="AB850" s="449"/>
    </row>
    <row r="851">
      <c r="A851" s="337"/>
      <c r="B851" s="338"/>
      <c r="C851" s="338"/>
      <c r="D851" s="338"/>
      <c r="E851" s="338"/>
      <c r="F851" s="337"/>
      <c r="G851" s="449"/>
      <c r="H851" s="449"/>
      <c r="I851" s="449"/>
      <c r="J851" s="449"/>
      <c r="K851" s="449"/>
      <c r="L851" s="449"/>
      <c r="M851" s="449"/>
      <c r="N851" s="449"/>
      <c r="O851" s="449"/>
      <c r="P851" s="449"/>
      <c r="Q851" s="449"/>
      <c r="R851" s="449"/>
      <c r="S851" s="449"/>
      <c r="T851" s="449"/>
      <c r="U851" s="449"/>
      <c r="V851" s="449"/>
      <c r="W851" s="449"/>
      <c r="X851" s="449"/>
      <c r="Y851" s="449"/>
      <c r="Z851" s="449"/>
      <c r="AA851" s="449"/>
      <c r="AB851" s="449"/>
    </row>
    <row r="852">
      <c r="A852" s="337"/>
      <c r="B852" s="338"/>
      <c r="C852" s="338"/>
      <c r="D852" s="338"/>
      <c r="E852" s="338"/>
      <c r="F852" s="337"/>
      <c r="G852" s="449"/>
      <c r="H852" s="449"/>
      <c r="I852" s="449"/>
      <c r="J852" s="449"/>
      <c r="K852" s="449"/>
      <c r="L852" s="449"/>
      <c r="M852" s="449"/>
      <c r="N852" s="449"/>
      <c r="O852" s="449"/>
      <c r="P852" s="449"/>
      <c r="Q852" s="449"/>
      <c r="R852" s="449"/>
      <c r="S852" s="449"/>
      <c r="T852" s="449"/>
      <c r="U852" s="449"/>
      <c r="V852" s="449"/>
      <c r="W852" s="449"/>
      <c r="X852" s="449"/>
      <c r="Y852" s="449"/>
      <c r="Z852" s="449"/>
      <c r="AA852" s="449"/>
      <c r="AB852" s="449"/>
    </row>
    <row r="853">
      <c r="A853" s="337"/>
      <c r="B853" s="338"/>
      <c r="C853" s="338"/>
      <c r="D853" s="338"/>
      <c r="E853" s="338"/>
      <c r="F853" s="337"/>
      <c r="G853" s="449"/>
      <c r="H853" s="449"/>
      <c r="I853" s="449"/>
      <c r="J853" s="449"/>
      <c r="K853" s="449"/>
      <c r="L853" s="449"/>
      <c r="M853" s="449"/>
      <c r="N853" s="449"/>
      <c r="O853" s="449"/>
      <c r="P853" s="449"/>
      <c r="Q853" s="449"/>
      <c r="R853" s="449"/>
      <c r="S853" s="449"/>
      <c r="T853" s="449"/>
      <c r="U853" s="449"/>
      <c r="V853" s="449"/>
      <c r="W853" s="449"/>
      <c r="X853" s="449"/>
      <c r="Y853" s="449"/>
      <c r="Z853" s="449"/>
      <c r="AA853" s="449"/>
      <c r="AB853" s="449"/>
    </row>
    <row r="854">
      <c r="A854" s="337"/>
      <c r="B854" s="338"/>
      <c r="C854" s="338"/>
      <c r="D854" s="338"/>
      <c r="E854" s="338"/>
      <c r="F854" s="337"/>
      <c r="G854" s="449"/>
      <c r="H854" s="449"/>
      <c r="I854" s="449"/>
      <c r="J854" s="449"/>
      <c r="K854" s="449"/>
      <c r="L854" s="449"/>
      <c r="M854" s="449"/>
      <c r="N854" s="449"/>
      <c r="O854" s="449"/>
      <c r="P854" s="449"/>
      <c r="Q854" s="449"/>
      <c r="R854" s="449"/>
      <c r="S854" s="449"/>
      <c r="T854" s="449"/>
      <c r="U854" s="449"/>
      <c r="V854" s="449"/>
      <c r="W854" s="449"/>
      <c r="X854" s="449"/>
      <c r="Y854" s="449"/>
      <c r="Z854" s="449"/>
      <c r="AA854" s="449"/>
      <c r="AB854" s="449"/>
    </row>
    <row r="855">
      <c r="A855" s="337"/>
      <c r="B855" s="338"/>
      <c r="C855" s="338"/>
      <c r="D855" s="338"/>
      <c r="E855" s="338"/>
      <c r="F855" s="337"/>
      <c r="G855" s="449"/>
      <c r="H855" s="449"/>
      <c r="I855" s="449"/>
      <c r="J855" s="449"/>
      <c r="K855" s="449"/>
      <c r="L855" s="449"/>
      <c r="M855" s="449"/>
      <c r="N855" s="449"/>
      <c r="O855" s="449"/>
      <c r="P855" s="449"/>
      <c r="Q855" s="449"/>
      <c r="R855" s="449"/>
      <c r="S855" s="449"/>
      <c r="T855" s="449"/>
      <c r="U855" s="449"/>
      <c r="V855" s="449"/>
      <c r="W855" s="449"/>
      <c r="X855" s="449"/>
      <c r="Y855" s="449"/>
      <c r="Z855" s="449"/>
      <c r="AA855" s="449"/>
      <c r="AB855" s="449"/>
    </row>
    <row r="856">
      <c r="A856" s="337"/>
      <c r="B856" s="338"/>
      <c r="C856" s="338"/>
      <c r="D856" s="338"/>
      <c r="E856" s="338"/>
      <c r="F856" s="337"/>
      <c r="G856" s="449"/>
      <c r="H856" s="449"/>
      <c r="I856" s="449"/>
      <c r="J856" s="449"/>
      <c r="K856" s="449"/>
      <c r="L856" s="449"/>
      <c r="M856" s="449"/>
      <c r="N856" s="449"/>
      <c r="O856" s="449"/>
      <c r="P856" s="449"/>
      <c r="Q856" s="449"/>
      <c r="R856" s="449"/>
      <c r="S856" s="449"/>
      <c r="T856" s="449"/>
      <c r="U856" s="449"/>
      <c r="V856" s="449"/>
      <c r="W856" s="449"/>
      <c r="X856" s="449"/>
      <c r="Y856" s="449"/>
      <c r="Z856" s="449"/>
      <c r="AA856" s="449"/>
      <c r="AB856" s="449"/>
    </row>
    <row r="857">
      <c r="A857" s="337"/>
      <c r="B857" s="338"/>
      <c r="C857" s="338"/>
      <c r="D857" s="338"/>
      <c r="E857" s="338"/>
      <c r="F857" s="337"/>
      <c r="G857" s="449"/>
      <c r="H857" s="449"/>
      <c r="I857" s="449"/>
      <c r="J857" s="449"/>
      <c r="K857" s="449"/>
      <c r="L857" s="449"/>
      <c r="M857" s="449"/>
      <c r="N857" s="449"/>
      <c r="O857" s="449"/>
      <c r="P857" s="449"/>
      <c r="Q857" s="449"/>
      <c r="R857" s="449"/>
      <c r="S857" s="449"/>
      <c r="T857" s="449"/>
      <c r="U857" s="449"/>
      <c r="V857" s="449"/>
      <c r="W857" s="449"/>
      <c r="X857" s="449"/>
      <c r="Y857" s="449"/>
      <c r="Z857" s="449"/>
      <c r="AA857" s="449"/>
      <c r="AB857" s="449"/>
    </row>
    <row r="858">
      <c r="A858" s="337"/>
      <c r="B858" s="338"/>
      <c r="C858" s="338"/>
      <c r="D858" s="338"/>
      <c r="E858" s="338"/>
      <c r="F858" s="337"/>
      <c r="G858" s="449"/>
      <c r="H858" s="449"/>
      <c r="I858" s="449"/>
      <c r="J858" s="449"/>
      <c r="K858" s="449"/>
      <c r="L858" s="449"/>
      <c r="M858" s="449"/>
      <c r="N858" s="449"/>
      <c r="O858" s="449"/>
      <c r="P858" s="449"/>
      <c r="Q858" s="449"/>
      <c r="R858" s="449"/>
      <c r="S858" s="449"/>
      <c r="T858" s="449"/>
      <c r="U858" s="449"/>
      <c r="V858" s="449"/>
      <c r="W858" s="449"/>
      <c r="X858" s="449"/>
      <c r="Y858" s="449"/>
      <c r="Z858" s="449"/>
      <c r="AA858" s="449"/>
      <c r="AB858" s="449"/>
    </row>
    <row r="859">
      <c r="A859" s="337"/>
      <c r="B859" s="338"/>
      <c r="C859" s="338"/>
      <c r="D859" s="338"/>
      <c r="E859" s="338"/>
      <c r="F859" s="337"/>
      <c r="G859" s="449"/>
      <c r="H859" s="449"/>
      <c r="I859" s="449"/>
      <c r="J859" s="449"/>
      <c r="K859" s="449"/>
      <c r="L859" s="449"/>
      <c r="M859" s="449"/>
      <c r="N859" s="449"/>
      <c r="O859" s="449"/>
      <c r="P859" s="449"/>
      <c r="Q859" s="449"/>
      <c r="R859" s="449"/>
      <c r="S859" s="449"/>
      <c r="T859" s="449"/>
      <c r="U859" s="449"/>
      <c r="V859" s="449"/>
      <c r="W859" s="449"/>
      <c r="X859" s="449"/>
      <c r="Y859" s="449"/>
      <c r="Z859" s="449"/>
      <c r="AA859" s="449"/>
      <c r="AB859" s="449"/>
    </row>
    <row r="860">
      <c r="A860" s="337"/>
      <c r="B860" s="338"/>
      <c r="C860" s="338"/>
      <c r="D860" s="338"/>
      <c r="E860" s="338"/>
      <c r="F860" s="337"/>
      <c r="G860" s="449"/>
      <c r="H860" s="449"/>
      <c r="I860" s="449"/>
      <c r="J860" s="449"/>
      <c r="K860" s="449"/>
      <c r="L860" s="449"/>
      <c r="M860" s="449"/>
      <c r="N860" s="449"/>
      <c r="O860" s="449"/>
      <c r="P860" s="449"/>
      <c r="Q860" s="449"/>
      <c r="R860" s="449"/>
      <c r="S860" s="449"/>
      <c r="T860" s="449"/>
      <c r="U860" s="449"/>
      <c r="V860" s="449"/>
      <c r="W860" s="449"/>
      <c r="X860" s="449"/>
      <c r="Y860" s="449"/>
      <c r="Z860" s="449"/>
      <c r="AA860" s="449"/>
      <c r="AB860" s="449"/>
    </row>
    <row r="861">
      <c r="A861" s="337"/>
      <c r="B861" s="338"/>
      <c r="C861" s="338"/>
      <c r="D861" s="338"/>
      <c r="E861" s="338"/>
      <c r="F861" s="337"/>
      <c r="G861" s="449"/>
      <c r="H861" s="449"/>
      <c r="I861" s="449"/>
      <c r="J861" s="449"/>
      <c r="K861" s="449"/>
      <c r="L861" s="449"/>
      <c r="M861" s="449"/>
      <c r="N861" s="449"/>
      <c r="O861" s="449"/>
      <c r="P861" s="449"/>
      <c r="Q861" s="449"/>
      <c r="R861" s="449"/>
      <c r="S861" s="449"/>
      <c r="T861" s="449"/>
      <c r="U861" s="449"/>
      <c r="V861" s="449"/>
      <c r="W861" s="449"/>
      <c r="X861" s="449"/>
      <c r="Y861" s="449"/>
      <c r="Z861" s="449"/>
      <c r="AA861" s="449"/>
      <c r="AB861" s="449"/>
    </row>
    <row r="862">
      <c r="A862" s="337"/>
      <c r="B862" s="338"/>
      <c r="C862" s="338"/>
      <c r="D862" s="338"/>
      <c r="E862" s="338"/>
      <c r="F862" s="337"/>
      <c r="G862" s="449"/>
      <c r="H862" s="449"/>
      <c r="I862" s="449"/>
      <c r="J862" s="449"/>
      <c r="K862" s="449"/>
      <c r="L862" s="449"/>
      <c r="M862" s="449"/>
      <c r="N862" s="449"/>
      <c r="O862" s="449"/>
      <c r="P862" s="449"/>
      <c r="Q862" s="449"/>
      <c r="R862" s="449"/>
      <c r="S862" s="449"/>
      <c r="T862" s="449"/>
      <c r="U862" s="449"/>
      <c r="V862" s="449"/>
      <c r="W862" s="449"/>
      <c r="X862" s="449"/>
      <c r="Y862" s="449"/>
      <c r="Z862" s="449"/>
      <c r="AA862" s="449"/>
      <c r="AB862" s="449"/>
    </row>
    <row r="863">
      <c r="A863" s="337"/>
      <c r="B863" s="338"/>
      <c r="C863" s="338"/>
      <c r="D863" s="338"/>
      <c r="E863" s="338"/>
      <c r="F863" s="337"/>
      <c r="G863" s="449"/>
      <c r="H863" s="449"/>
      <c r="I863" s="449"/>
      <c r="J863" s="449"/>
      <c r="K863" s="449"/>
      <c r="L863" s="449"/>
      <c r="M863" s="449"/>
      <c r="N863" s="449"/>
      <c r="O863" s="449"/>
      <c r="P863" s="449"/>
      <c r="Q863" s="449"/>
      <c r="R863" s="449"/>
      <c r="S863" s="449"/>
      <c r="T863" s="449"/>
      <c r="U863" s="449"/>
      <c r="V863" s="449"/>
      <c r="W863" s="449"/>
      <c r="X863" s="449"/>
      <c r="Y863" s="449"/>
      <c r="Z863" s="449"/>
      <c r="AA863" s="449"/>
      <c r="AB863" s="449"/>
    </row>
    <row r="864">
      <c r="A864" s="337"/>
      <c r="B864" s="338"/>
      <c r="C864" s="338"/>
      <c r="D864" s="338"/>
      <c r="E864" s="338"/>
      <c r="F864" s="337"/>
      <c r="G864" s="449"/>
      <c r="H864" s="449"/>
      <c r="I864" s="449"/>
      <c r="J864" s="449"/>
      <c r="K864" s="449"/>
      <c r="L864" s="449"/>
      <c r="M864" s="449"/>
      <c r="N864" s="449"/>
      <c r="O864" s="449"/>
      <c r="P864" s="449"/>
      <c r="Q864" s="449"/>
      <c r="R864" s="449"/>
      <c r="S864" s="449"/>
      <c r="T864" s="449"/>
      <c r="U864" s="449"/>
      <c r="V864" s="449"/>
      <c r="W864" s="449"/>
      <c r="X864" s="449"/>
      <c r="Y864" s="449"/>
      <c r="Z864" s="449"/>
      <c r="AA864" s="449"/>
      <c r="AB864" s="449"/>
    </row>
    <row r="865">
      <c r="A865" s="337"/>
      <c r="B865" s="338"/>
      <c r="C865" s="338"/>
      <c r="D865" s="338"/>
      <c r="E865" s="338"/>
      <c r="F865" s="337"/>
      <c r="G865" s="449"/>
      <c r="H865" s="449"/>
      <c r="I865" s="449"/>
      <c r="J865" s="449"/>
      <c r="K865" s="449"/>
      <c r="L865" s="449"/>
      <c r="M865" s="449"/>
      <c r="N865" s="449"/>
      <c r="O865" s="449"/>
      <c r="P865" s="449"/>
      <c r="Q865" s="449"/>
      <c r="R865" s="449"/>
      <c r="S865" s="449"/>
      <c r="T865" s="449"/>
      <c r="U865" s="449"/>
      <c r="V865" s="449"/>
      <c r="W865" s="449"/>
      <c r="X865" s="449"/>
      <c r="Y865" s="449"/>
      <c r="Z865" s="449"/>
      <c r="AA865" s="449"/>
      <c r="AB865" s="449"/>
    </row>
    <row r="866">
      <c r="A866" s="337"/>
      <c r="B866" s="338"/>
      <c r="C866" s="338"/>
      <c r="D866" s="338"/>
      <c r="E866" s="338"/>
      <c r="F866" s="337"/>
      <c r="G866" s="449"/>
      <c r="H866" s="449"/>
      <c r="I866" s="449"/>
      <c r="J866" s="449"/>
      <c r="K866" s="449"/>
      <c r="L866" s="449"/>
      <c r="M866" s="449"/>
      <c r="N866" s="449"/>
      <c r="O866" s="449"/>
      <c r="P866" s="449"/>
      <c r="Q866" s="449"/>
      <c r="R866" s="449"/>
      <c r="S866" s="449"/>
      <c r="T866" s="449"/>
      <c r="U866" s="449"/>
      <c r="V866" s="449"/>
      <c r="W866" s="449"/>
      <c r="X866" s="449"/>
      <c r="Y866" s="449"/>
      <c r="Z866" s="449"/>
      <c r="AA866" s="449"/>
      <c r="AB866" s="449"/>
    </row>
    <row r="867">
      <c r="A867" s="337"/>
      <c r="B867" s="338"/>
      <c r="C867" s="338"/>
      <c r="D867" s="338"/>
      <c r="E867" s="338"/>
      <c r="F867" s="337"/>
      <c r="G867" s="449"/>
      <c r="H867" s="449"/>
      <c r="I867" s="449"/>
      <c r="J867" s="449"/>
      <c r="K867" s="449"/>
      <c r="L867" s="449"/>
      <c r="M867" s="449"/>
      <c r="N867" s="449"/>
      <c r="O867" s="449"/>
      <c r="P867" s="449"/>
      <c r="Q867" s="449"/>
      <c r="R867" s="449"/>
      <c r="S867" s="449"/>
      <c r="T867" s="449"/>
      <c r="U867" s="449"/>
      <c r="V867" s="449"/>
      <c r="W867" s="449"/>
      <c r="X867" s="449"/>
      <c r="Y867" s="449"/>
      <c r="Z867" s="449"/>
      <c r="AA867" s="449"/>
      <c r="AB867" s="449"/>
    </row>
    <row r="868">
      <c r="A868" s="337"/>
      <c r="B868" s="338"/>
      <c r="C868" s="338"/>
      <c r="D868" s="338"/>
      <c r="E868" s="338"/>
      <c r="F868" s="337"/>
      <c r="G868" s="449"/>
      <c r="H868" s="449"/>
      <c r="I868" s="449"/>
      <c r="J868" s="449"/>
      <c r="K868" s="449"/>
      <c r="L868" s="449"/>
      <c r="M868" s="449"/>
      <c r="N868" s="449"/>
      <c r="O868" s="449"/>
      <c r="P868" s="449"/>
      <c r="Q868" s="449"/>
      <c r="R868" s="449"/>
      <c r="S868" s="449"/>
      <c r="T868" s="449"/>
      <c r="U868" s="449"/>
      <c r="V868" s="449"/>
      <c r="W868" s="449"/>
      <c r="X868" s="449"/>
      <c r="Y868" s="449"/>
      <c r="Z868" s="449"/>
      <c r="AA868" s="449"/>
      <c r="AB868" s="449"/>
    </row>
    <row r="869">
      <c r="A869" s="337"/>
      <c r="B869" s="338"/>
      <c r="C869" s="338"/>
      <c r="D869" s="338"/>
      <c r="E869" s="338"/>
      <c r="F869" s="337"/>
      <c r="G869" s="449"/>
      <c r="H869" s="449"/>
      <c r="I869" s="449"/>
      <c r="J869" s="449"/>
      <c r="K869" s="449"/>
      <c r="L869" s="449"/>
      <c r="M869" s="449"/>
      <c r="N869" s="449"/>
      <c r="O869" s="449"/>
      <c r="P869" s="449"/>
      <c r="Q869" s="449"/>
      <c r="R869" s="449"/>
      <c r="S869" s="449"/>
      <c r="T869" s="449"/>
      <c r="U869" s="449"/>
      <c r="V869" s="449"/>
      <c r="W869" s="449"/>
      <c r="X869" s="449"/>
      <c r="Y869" s="449"/>
      <c r="Z869" s="449"/>
      <c r="AA869" s="449"/>
      <c r="AB869" s="449"/>
    </row>
    <row r="870">
      <c r="A870" s="337"/>
      <c r="B870" s="338"/>
      <c r="C870" s="338"/>
      <c r="D870" s="338"/>
      <c r="E870" s="338"/>
      <c r="F870" s="337"/>
      <c r="G870" s="449"/>
      <c r="H870" s="449"/>
      <c r="I870" s="449"/>
      <c r="J870" s="449"/>
      <c r="K870" s="449"/>
      <c r="L870" s="449"/>
      <c r="M870" s="449"/>
      <c r="N870" s="449"/>
      <c r="O870" s="449"/>
      <c r="P870" s="449"/>
      <c r="Q870" s="449"/>
      <c r="R870" s="449"/>
      <c r="S870" s="449"/>
      <c r="T870" s="449"/>
      <c r="U870" s="449"/>
      <c r="V870" s="449"/>
      <c r="W870" s="449"/>
      <c r="X870" s="449"/>
      <c r="Y870" s="449"/>
      <c r="Z870" s="449"/>
      <c r="AA870" s="449"/>
      <c r="AB870" s="449"/>
    </row>
    <row r="871">
      <c r="A871" s="337"/>
      <c r="B871" s="338"/>
      <c r="C871" s="338"/>
      <c r="D871" s="338"/>
      <c r="E871" s="338"/>
      <c r="F871" s="337"/>
      <c r="G871" s="449"/>
      <c r="H871" s="449"/>
      <c r="I871" s="449"/>
      <c r="J871" s="449"/>
      <c r="K871" s="449"/>
      <c r="L871" s="449"/>
      <c r="M871" s="449"/>
      <c r="N871" s="449"/>
      <c r="O871" s="449"/>
      <c r="P871" s="449"/>
      <c r="Q871" s="449"/>
      <c r="R871" s="449"/>
      <c r="S871" s="449"/>
      <c r="T871" s="449"/>
      <c r="U871" s="449"/>
      <c r="V871" s="449"/>
      <c r="W871" s="449"/>
      <c r="X871" s="449"/>
      <c r="Y871" s="449"/>
      <c r="Z871" s="449"/>
      <c r="AA871" s="449"/>
      <c r="AB871" s="449"/>
    </row>
    <row r="872">
      <c r="A872" s="337"/>
      <c r="B872" s="338"/>
      <c r="C872" s="338"/>
      <c r="D872" s="338"/>
      <c r="E872" s="338"/>
      <c r="F872" s="337"/>
      <c r="G872" s="449"/>
      <c r="H872" s="449"/>
      <c r="I872" s="449"/>
      <c r="J872" s="449"/>
      <c r="K872" s="449"/>
      <c r="L872" s="449"/>
      <c r="M872" s="449"/>
      <c r="N872" s="449"/>
      <c r="O872" s="449"/>
      <c r="P872" s="449"/>
      <c r="Q872" s="449"/>
      <c r="R872" s="449"/>
      <c r="S872" s="449"/>
      <c r="T872" s="449"/>
      <c r="U872" s="449"/>
      <c r="V872" s="449"/>
      <c r="W872" s="449"/>
      <c r="X872" s="449"/>
      <c r="Y872" s="449"/>
      <c r="Z872" s="449"/>
      <c r="AA872" s="449"/>
      <c r="AB872" s="449"/>
    </row>
    <row r="873">
      <c r="A873" s="337"/>
      <c r="B873" s="338"/>
      <c r="C873" s="338"/>
      <c r="D873" s="338"/>
      <c r="E873" s="338"/>
      <c r="F873" s="337"/>
      <c r="G873" s="449"/>
      <c r="H873" s="449"/>
      <c r="I873" s="449"/>
      <c r="J873" s="449"/>
      <c r="K873" s="449"/>
      <c r="L873" s="449"/>
      <c r="M873" s="449"/>
      <c r="N873" s="449"/>
      <c r="O873" s="449"/>
      <c r="P873" s="449"/>
      <c r="Q873" s="449"/>
      <c r="R873" s="449"/>
      <c r="S873" s="449"/>
      <c r="T873" s="449"/>
      <c r="U873" s="449"/>
      <c r="V873" s="449"/>
      <c r="W873" s="449"/>
      <c r="X873" s="449"/>
      <c r="Y873" s="449"/>
      <c r="Z873" s="449"/>
      <c r="AA873" s="449"/>
      <c r="AB873" s="449"/>
    </row>
    <row r="874">
      <c r="A874" s="337"/>
      <c r="B874" s="338"/>
      <c r="C874" s="338"/>
      <c r="D874" s="338"/>
      <c r="E874" s="338"/>
      <c r="F874" s="337"/>
      <c r="G874" s="449"/>
      <c r="H874" s="449"/>
      <c r="I874" s="449"/>
      <c r="J874" s="449"/>
      <c r="K874" s="449"/>
      <c r="L874" s="449"/>
      <c r="M874" s="449"/>
      <c r="N874" s="449"/>
      <c r="O874" s="449"/>
      <c r="P874" s="449"/>
      <c r="Q874" s="449"/>
      <c r="R874" s="449"/>
      <c r="S874" s="449"/>
      <c r="T874" s="449"/>
      <c r="U874" s="449"/>
      <c r="V874" s="449"/>
      <c r="W874" s="449"/>
      <c r="X874" s="449"/>
      <c r="Y874" s="449"/>
      <c r="Z874" s="449"/>
      <c r="AA874" s="449"/>
      <c r="AB874" s="449"/>
    </row>
    <row r="875">
      <c r="A875" s="337"/>
      <c r="B875" s="338"/>
      <c r="C875" s="338"/>
      <c r="D875" s="338"/>
      <c r="E875" s="338"/>
      <c r="F875" s="337"/>
      <c r="G875" s="449"/>
      <c r="H875" s="449"/>
      <c r="I875" s="449"/>
      <c r="J875" s="449"/>
      <c r="K875" s="449"/>
      <c r="L875" s="449"/>
      <c r="M875" s="449"/>
      <c r="N875" s="449"/>
      <c r="O875" s="449"/>
      <c r="P875" s="449"/>
      <c r="Q875" s="449"/>
      <c r="R875" s="449"/>
      <c r="S875" s="449"/>
      <c r="T875" s="449"/>
      <c r="U875" s="449"/>
      <c r="V875" s="449"/>
      <c r="W875" s="449"/>
      <c r="X875" s="449"/>
      <c r="Y875" s="449"/>
      <c r="Z875" s="449"/>
      <c r="AA875" s="449"/>
      <c r="AB875" s="449"/>
    </row>
    <row r="876">
      <c r="A876" s="337"/>
      <c r="B876" s="338"/>
      <c r="C876" s="338"/>
      <c r="D876" s="338"/>
      <c r="E876" s="338"/>
      <c r="F876" s="337"/>
      <c r="G876" s="449"/>
      <c r="H876" s="449"/>
      <c r="I876" s="449"/>
      <c r="J876" s="449"/>
      <c r="K876" s="449"/>
      <c r="L876" s="449"/>
      <c r="M876" s="449"/>
      <c r="N876" s="449"/>
      <c r="O876" s="449"/>
      <c r="P876" s="449"/>
      <c r="Q876" s="449"/>
      <c r="R876" s="449"/>
      <c r="S876" s="449"/>
      <c r="T876" s="449"/>
      <c r="U876" s="449"/>
      <c r="V876" s="449"/>
      <c r="W876" s="449"/>
      <c r="X876" s="449"/>
      <c r="Y876" s="449"/>
      <c r="Z876" s="449"/>
      <c r="AA876" s="449"/>
      <c r="AB876" s="449"/>
    </row>
    <row r="877">
      <c r="A877" s="337"/>
      <c r="B877" s="338"/>
      <c r="C877" s="338"/>
      <c r="D877" s="338"/>
      <c r="E877" s="338"/>
      <c r="F877" s="337"/>
      <c r="G877" s="449"/>
      <c r="H877" s="449"/>
      <c r="I877" s="449"/>
      <c r="J877" s="449"/>
      <c r="K877" s="449"/>
      <c r="L877" s="449"/>
      <c r="M877" s="449"/>
      <c r="N877" s="449"/>
      <c r="O877" s="449"/>
      <c r="P877" s="449"/>
      <c r="Q877" s="449"/>
      <c r="R877" s="449"/>
      <c r="S877" s="449"/>
      <c r="T877" s="449"/>
      <c r="U877" s="449"/>
      <c r="V877" s="449"/>
      <c r="W877" s="449"/>
      <c r="X877" s="449"/>
      <c r="Y877" s="449"/>
      <c r="Z877" s="449"/>
      <c r="AA877" s="449"/>
      <c r="AB877" s="449"/>
    </row>
    <row r="878">
      <c r="A878" s="337"/>
      <c r="B878" s="338"/>
      <c r="C878" s="338"/>
      <c r="D878" s="338"/>
      <c r="E878" s="338"/>
      <c r="F878" s="337"/>
      <c r="G878" s="449"/>
      <c r="H878" s="449"/>
      <c r="I878" s="449"/>
      <c r="J878" s="449"/>
      <c r="K878" s="449"/>
      <c r="L878" s="449"/>
      <c r="M878" s="449"/>
      <c r="N878" s="449"/>
      <c r="O878" s="449"/>
      <c r="P878" s="449"/>
      <c r="Q878" s="449"/>
      <c r="R878" s="449"/>
      <c r="S878" s="449"/>
      <c r="T878" s="449"/>
      <c r="U878" s="449"/>
      <c r="V878" s="449"/>
      <c r="W878" s="449"/>
      <c r="X878" s="449"/>
      <c r="Y878" s="449"/>
      <c r="Z878" s="449"/>
      <c r="AA878" s="449"/>
      <c r="AB878" s="449"/>
    </row>
    <row r="879">
      <c r="A879" s="337"/>
      <c r="B879" s="338"/>
      <c r="C879" s="338"/>
      <c r="D879" s="338"/>
      <c r="E879" s="338"/>
      <c r="F879" s="337"/>
      <c r="G879" s="449"/>
      <c r="H879" s="449"/>
      <c r="I879" s="449"/>
      <c r="J879" s="449"/>
      <c r="K879" s="449"/>
      <c r="L879" s="449"/>
      <c r="M879" s="449"/>
      <c r="N879" s="449"/>
      <c r="O879" s="449"/>
      <c r="P879" s="449"/>
      <c r="Q879" s="449"/>
      <c r="R879" s="449"/>
      <c r="S879" s="449"/>
      <c r="T879" s="449"/>
      <c r="U879" s="449"/>
      <c r="V879" s="449"/>
      <c r="W879" s="449"/>
      <c r="X879" s="449"/>
      <c r="Y879" s="449"/>
      <c r="Z879" s="449"/>
      <c r="AA879" s="449"/>
      <c r="AB879" s="449"/>
    </row>
    <row r="880">
      <c r="A880" s="337"/>
      <c r="B880" s="338"/>
      <c r="C880" s="338"/>
      <c r="D880" s="338"/>
      <c r="E880" s="338"/>
      <c r="F880" s="337"/>
      <c r="G880" s="449"/>
      <c r="H880" s="449"/>
      <c r="I880" s="449"/>
      <c r="J880" s="449"/>
      <c r="K880" s="449"/>
      <c r="L880" s="449"/>
      <c r="M880" s="449"/>
      <c r="N880" s="449"/>
      <c r="O880" s="449"/>
      <c r="P880" s="449"/>
      <c r="Q880" s="449"/>
      <c r="R880" s="449"/>
      <c r="S880" s="449"/>
      <c r="T880" s="449"/>
      <c r="U880" s="449"/>
      <c r="V880" s="449"/>
      <c r="W880" s="449"/>
      <c r="X880" s="449"/>
      <c r="Y880" s="449"/>
      <c r="Z880" s="449"/>
      <c r="AA880" s="449"/>
      <c r="AB880" s="449"/>
    </row>
    <row r="881">
      <c r="A881" s="337"/>
      <c r="B881" s="338"/>
      <c r="C881" s="338"/>
      <c r="D881" s="338"/>
      <c r="E881" s="338"/>
      <c r="F881" s="337"/>
      <c r="G881" s="449"/>
      <c r="H881" s="449"/>
      <c r="I881" s="449"/>
      <c r="J881" s="449"/>
      <c r="K881" s="449"/>
      <c r="L881" s="449"/>
      <c r="M881" s="449"/>
      <c r="N881" s="449"/>
      <c r="O881" s="449"/>
      <c r="P881" s="449"/>
      <c r="Q881" s="449"/>
      <c r="R881" s="449"/>
      <c r="S881" s="449"/>
      <c r="T881" s="449"/>
      <c r="U881" s="449"/>
      <c r="V881" s="449"/>
      <c r="W881" s="449"/>
      <c r="X881" s="449"/>
      <c r="Y881" s="449"/>
      <c r="Z881" s="449"/>
      <c r="AA881" s="449"/>
      <c r="AB881" s="449"/>
    </row>
    <row r="882">
      <c r="A882" s="337"/>
      <c r="B882" s="338"/>
      <c r="C882" s="338"/>
      <c r="D882" s="338"/>
      <c r="E882" s="338"/>
      <c r="F882" s="337"/>
      <c r="G882" s="449"/>
      <c r="H882" s="449"/>
      <c r="I882" s="449"/>
      <c r="J882" s="449"/>
      <c r="K882" s="449"/>
      <c r="L882" s="449"/>
      <c r="M882" s="449"/>
      <c r="N882" s="449"/>
      <c r="O882" s="449"/>
      <c r="P882" s="449"/>
      <c r="Q882" s="449"/>
      <c r="R882" s="449"/>
      <c r="S882" s="449"/>
      <c r="T882" s="449"/>
      <c r="U882" s="449"/>
      <c r="V882" s="449"/>
      <c r="W882" s="449"/>
      <c r="X882" s="449"/>
      <c r="Y882" s="449"/>
      <c r="Z882" s="449"/>
      <c r="AA882" s="449"/>
      <c r="AB882" s="449"/>
    </row>
    <row r="883">
      <c r="A883" s="337"/>
      <c r="B883" s="338"/>
      <c r="C883" s="338"/>
      <c r="D883" s="338"/>
      <c r="E883" s="338"/>
      <c r="F883" s="337"/>
      <c r="G883" s="449"/>
      <c r="H883" s="449"/>
      <c r="I883" s="449"/>
      <c r="J883" s="449"/>
      <c r="K883" s="449"/>
      <c r="L883" s="449"/>
      <c r="M883" s="449"/>
      <c r="N883" s="449"/>
      <c r="O883" s="449"/>
      <c r="P883" s="449"/>
      <c r="Q883" s="449"/>
      <c r="R883" s="449"/>
      <c r="S883" s="449"/>
      <c r="T883" s="449"/>
      <c r="U883" s="449"/>
      <c r="V883" s="449"/>
      <c r="W883" s="449"/>
      <c r="X883" s="449"/>
      <c r="Y883" s="449"/>
      <c r="Z883" s="449"/>
      <c r="AA883" s="449"/>
      <c r="AB883" s="449"/>
    </row>
    <row r="884">
      <c r="A884" s="337"/>
      <c r="B884" s="338"/>
      <c r="C884" s="338"/>
      <c r="D884" s="338"/>
      <c r="E884" s="338"/>
      <c r="F884" s="337"/>
      <c r="G884" s="449"/>
      <c r="H884" s="449"/>
      <c r="I884" s="449"/>
      <c r="J884" s="449"/>
      <c r="K884" s="449"/>
      <c r="L884" s="449"/>
      <c r="M884" s="449"/>
      <c r="N884" s="449"/>
      <c r="O884" s="449"/>
      <c r="P884" s="449"/>
      <c r="Q884" s="449"/>
      <c r="R884" s="449"/>
      <c r="S884" s="449"/>
      <c r="T884" s="449"/>
      <c r="U884" s="449"/>
      <c r="V884" s="449"/>
      <c r="W884" s="449"/>
      <c r="X884" s="449"/>
      <c r="Y884" s="449"/>
      <c r="Z884" s="449"/>
      <c r="AA884" s="449"/>
      <c r="AB884" s="449"/>
    </row>
    <row r="885">
      <c r="A885" s="337"/>
      <c r="B885" s="338"/>
      <c r="C885" s="338"/>
      <c r="D885" s="338"/>
      <c r="E885" s="338"/>
      <c r="F885" s="337"/>
      <c r="G885" s="449"/>
      <c r="H885" s="449"/>
      <c r="I885" s="449"/>
      <c r="J885" s="449"/>
      <c r="K885" s="449"/>
      <c r="L885" s="449"/>
      <c r="M885" s="449"/>
      <c r="N885" s="449"/>
      <c r="O885" s="449"/>
      <c r="P885" s="449"/>
      <c r="Q885" s="449"/>
      <c r="R885" s="449"/>
      <c r="S885" s="449"/>
      <c r="T885" s="449"/>
      <c r="U885" s="449"/>
      <c r="V885" s="449"/>
      <c r="W885" s="449"/>
      <c r="X885" s="449"/>
      <c r="Y885" s="449"/>
      <c r="Z885" s="449"/>
      <c r="AA885" s="449"/>
      <c r="AB885" s="449"/>
    </row>
    <row r="886">
      <c r="A886" s="337"/>
      <c r="B886" s="338"/>
      <c r="C886" s="338"/>
      <c r="D886" s="338"/>
      <c r="E886" s="338"/>
      <c r="F886" s="337"/>
      <c r="G886" s="449"/>
      <c r="H886" s="449"/>
      <c r="I886" s="449"/>
      <c r="J886" s="449"/>
      <c r="K886" s="449"/>
      <c r="L886" s="449"/>
      <c r="M886" s="449"/>
      <c r="N886" s="449"/>
      <c r="O886" s="449"/>
      <c r="P886" s="449"/>
      <c r="Q886" s="449"/>
      <c r="R886" s="449"/>
      <c r="S886" s="449"/>
      <c r="T886" s="449"/>
      <c r="U886" s="449"/>
      <c r="V886" s="449"/>
      <c r="W886" s="449"/>
      <c r="X886" s="449"/>
      <c r="Y886" s="449"/>
      <c r="Z886" s="449"/>
      <c r="AA886" s="449"/>
      <c r="AB886" s="449"/>
    </row>
    <row r="887">
      <c r="A887" s="337"/>
      <c r="B887" s="338"/>
      <c r="C887" s="338"/>
      <c r="D887" s="338"/>
      <c r="E887" s="338"/>
      <c r="F887" s="337"/>
      <c r="G887" s="449"/>
      <c r="H887" s="449"/>
      <c r="I887" s="449"/>
      <c r="J887" s="449"/>
      <c r="K887" s="449"/>
      <c r="L887" s="449"/>
      <c r="M887" s="449"/>
      <c r="N887" s="449"/>
      <c r="O887" s="449"/>
      <c r="P887" s="449"/>
      <c r="Q887" s="449"/>
      <c r="R887" s="449"/>
      <c r="S887" s="449"/>
      <c r="T887" s="449"/>
      <c r="U887" s="449"/>
      <c r="V887" s="449"/>
      <c r="W887" s="449"/>
      <c r="X887" s="449"/>
      <c r="Y887" s="449"/>
      <c r="Z887" s="449"/>
      <c r="AA887" s="449"/>
      <c r="AB887" s="449"/>
    </row>
    <row r="888">
      <c r="A888" s="337"/>
      <c r="B888" s="338"/>
      <c r="C888" s="338"/>
      <c r="D888" s="338"/>
      <c r="E888" s="338"/>
      <c r="F888" s="337"/>
      <c r="G888" s="449"/>
      <c r="H888" s="449"/>
      <c r="I888" s="449"/>
      <c r="J888" s="449"/>
      <c r="K888" s="449"/>
      <c r="L888" s="449"/>
      <c r="M888" s="449"/>
      <c r="N888" s="449"/>
      <c r="O888" s="449"/>
      <c r="P888" s="449"/>
      <c r="Q888" s="449"/>
      <c r="R888" s="449"/>
      <c r="S888" s="449"/>
      <c r="T888" s="449"/>
      <c r="U888" s="449"/>
      <c r="V888" s="449"/>
      <c r="W888" s="449"/>
      <c r="X888" s="449"/>
      <c r="Y888" s="449"/>
      <c r="Z888" s="449"/>
      <c r="AA888" s="449"/>
      <c r="AB888" s="449"/>
    </row>
    <row r="889">
      <c r="A889" s="337"/>
      <c r="B889" s="338"/>
      <c r="C889" s="338"/>
      <c r="D889" s="338"/>
      <c r="E889" s="338"/>
      <c r="F889" s="337"/>
      <c r="G889" s="449"/>
      <c r="H889" s="449"/>
      <c r="I889" s="449"/>
      <c r="J889" s="449"/>
      <c r="K889" s="449"/>
      <c r="L889" s="449"/>
      <c r="M889" s="449"/>
      <c r="N889" s="449"/>
      <c r="O889" s="449"/>
      <c r="P889" s="449"/>
      <c r="Q889" s="449"/>
      <c r="R889" s="449"/>
      <c r="S889" s="449"/>
      <c r="T889" s="449"/>
      <c r="U889" s="449"/>
      <c r="V889" s="449"/>
      <c r="W889" s="449"/>
      <c r="X889" s="449"/>
      <c r="Y889" s="449"/>
      <c r="Z889" s="449"/>
      <c r="AA889" s="449"/>
      <c r="AB889" s="449"/>
    </row>
    <row r="890">
      <c r="A890" s="337"/>
      <c r="B890" s="338"/>
      <c r="C890" s="338"/>
      <c r="D890" s="338"/>
      <c r="E890" s="338"/>
      <c r="F890" s="337"/>
      <c r="G890" s="449"/>
      <c r="H890" s="449"/>
      <c r="I890" s="449"/>
      <c r="J890" s="449"/>
      <c r="K890" s="449"/>
      <c r="L890" s="449"/>
      <c r="M890" s="449"/>
      <c r="N890" s="449"/>
      <c r="O890" s="449"/>
      <c r="P890" s="449"/>
      <c r="Q890" s="449"/>
      <c r="R890" s="449"/>
      <c r="S890" s="449"/>
      <c r="T890" s="449"/>
      <c r="U890" s="449"/>
      <c r="V890" s="449"/>
      <c r="W890" s="449"/>
      <c r="X890" s="449"/>
      <c r="Y890" s="449"/>
      <c r="Z890" s="449"/>
      <c r="AA890" s="449"/>
      <c r="AB890" s="449"/>
    </row>
    <row r="891">
      <c r="A891" s="337"/>
      <c r="B891" s="338"/>
      <c r="C891" s="338"/>
      <c r="D891" s="338"/>
      <c r="E891" s="338"/>
      <c r="F891" s="337"/>
      <c r="G891" s="449"/>
      <c r="H891" s="449"/>
      <c r="I891" s="449"/>
      <c r="J891" s="449"/>
      <c r="K891" s="449"/>
      <c r="L891" s="449"/>
      <c r="M891" s="449"/>
      <c r="N891" s="449"/>
      <c r="O891" s="449"/>
      <c r="P891" s="449"/>
      <c r="Q891" s="449"/>
      <c r="R891" s="449"/>
      <c r="S891" s="449"/>
      <c r="T891" s="449"/>
      <c r="U891" s="449"/>
      <c r="V891" s="449"/>
      <c r="W891" s="449"/>
      <c r="X891" s="449"/>
      <c r="Y891" s="449"/>
      <c r="Z891" s="449"/>
      <c r="AA891" s="449"/>
      <c r="AB891" s="449"/>
    </row>
    <row r="892">
      <c r="A892" s="337"/>
      <c r="B892" s="338"/>
      <c r="C892" s="338"/>
      <c r="D892" s="338"/>
      <c r="E892" s="338"/>
      <c r="F892" s="337"/>
      <c r="G892" s="449"/>
      <c r="H892" s="449"/>
      <c r="I892" s="449"/>
      <c r="J892" s="449"/>
      <c r="K892" s="449"/>
      <c r="L892" s="449"/>
      <c r="M892" s="449"/>
      <c r="N892" s="449"/>
      <c r="O892" s="449"/>
      <c r="P892" s="449"/>
      <c r="Q892" s="449"/>
      <c r="R892" s="449"/>
      <c r="S892" s="449"/>
      <c r="T892" s="449"/>
      <c r="U892" s="449"/>
      <c r="V892" s="449"/>
      <c r="W892" s="449"/>
      <c r="X892" s="449"/>
      <c r="Y892" s="449"/>
      <c r="Z892" s="449"/>
      <c r="AA892" s="449"/>
      <c r="AB892" s="449"/>
    </row>
    <row r="893">
      <c r="A893" s="337"/>
      <c r="B893" s="338"/>
      <c r="C893" s="338"/>
      <c r="D893" s="338"/>
      <c r="E893" s="338"/>
      <c r="F893" s="337"/>
      <c r="G893" s="449"/>
      <c r="H893" s="449"/>
      <c r="I893" s="449"/>
      <c r="J893" s="449"/>
      <c r="K893" s="449"/>
      <c r="L893" s="449"/>
      <c r="M893" s="449"/>
      <c r="N893" s="449"/>
      <c r="O893" s="449"/>
      <c r="P893" s="449"/>
      <c r="Q893" s="449"/>
      <c r="R893" s="449"/>
      <c r="S893" s="449"/>
      <c r="T893" s="449"/>
      <c r="U893" s="449"/>
      <c r="V893" s="449"/>
      <c r="W893" s="449"/>
      <c r="X893" s="449"/>
      <c r="Y893" s="449"/>
      <c r="Z893" s="449"/>
      <c r="AA893" s="449"/>
      <c r="AB893" s="449"/>
    </row>
    <row r="894">
      <c r="A894" s="337"/>
      <c r="B894" s="338"/>
      <c r="C894" s="338"/>
      <c r="D894" s="338"/>
      <c r="E894" s="338"/>
      <c r="F894" s="337"/>
      <c r="G894" s="449"/>
      <c r="H894" s="449"/>
      <c r="I894" s="449"/>
      <c r="J894" s="449"/>
      <c r="K894" s="449"/>
      <c r="L894" s="449"/>
      <c r="M894" s="449"/>
      <c r="N894" s="449"/>
      <c r="O894" s="449"/>
      <c r="P894" s="449"/>
      <c r="Q894" s="449"/>
      <c r="R894" s="449"/>
      <c r="S894" s="449"/>
      <c r="T894" s="449"/>
      <c r="U894" s="449"/>
      <c r="V894" s="449"/>
      <c r="W894" s="449"/>
      <c r="X894" s="449"/>
      <c r="Y894" s="449"/>
      <c r="Z894" s="449"/>
      <c r="AA894" s="449"/>
      <c r="AB894" s="449"/>
    </row>
    <row r="895">
      <c r="A895" s="337"/>
      <c r="B895" s="338"/>
      <c r="C895" s="338"/>
      <c r="D895" s="338"/>
      <c r="E895" s="338"/>
      <c r="F895" s="337"/>
      <c r="G895" s="449"/>
      <c r="H895" s="449"/>
      <c r="I895" s="449"/>
      <c r="J895" s="449"/>
      <c r="K895" s="449"/>
      <c r="L895" s="449"/>
      <c r="M895" s="449"/>
      <c r="N895" s="449"/>
      <c r="O895" s="449"/>
      <c r="P895" s="449"/>
      <c r="Q895" s="449"/>
      <c r="R895" s="449"/>
      <c r="S895" s="449"/>
      <c r="T895" s="449"/>
      <c r="U895" s="449"/>
      <c r="V895" s="449"/>
      <c r="W895" s="449"/>
      <c r="X895" s="449"/>
      <c r="Y895" s="449"/>
      <c r="Z895" s="449"/>
      <c r="AA895" s="449"/>
      <c r="AB895" s="449"/>
    </row>
    <row r="896">
      <c r="A896" s="337"/>
      <c r="B896" s="338"/>
      <c r="C896" s="338"/>
      <c r="D896" s="338"/>
      <c r="E896" s="338"/>
      <c r="F896" s="337"/>
      <c r="G896" s="449"/>
      <c r="H896" s="449"/>
      <c r="I896" s="449"/>
      <c r="J896" s="449"/>
      <c r="K896" s="449"/>
      <c r="L896" s="449"/>
      <c r="M896" s="449"/>
      <c r="N896" s="449"/>
      <c r="O896" s="449"/>
      <c r="P896" s="449"/>
      <c r="Q896" s="449"/>
      <c r="R896" s="449"/>
      <c r="S896" s="449"/>
      <c r="T896" s="449"/>
      <c r="U896" s="449"/>
      <c r="V896" s="449"/>
      <c r="W896" s="449"/>
      <c r="X896" s="449"/>
      <c r="Y896" s="449"/>
      <c r="Z896" s="449"/>
      <c r="AA896" s="449"/>
      <c r="AB896" s="449"/>
    </row>
    <row r="897">
      <c r="A897" s="337"/>
      <c r="B897" s="338"/>
      <c r="C897" s="338"/>
      <c r="D897" s="338"/>
      <c r="E897" s="338"/>
      <c r="F897" s="337"/>
      <c r="G897" s="449"/>
      <c r="H897" s="449"/>
      <c r="I897" s="449"/>
      <c r="J897" s="449"/>
      <c r="K897" s="449"/>
      <c r="L897" s="449"/>
      <c r="M897" s="449"/>
      <c r="N897" s="449"/>
      <c r="O897" s="449"/>
      <c r="P897" s="449"/>
      <c r="Q897" s="449"/>
      <c r="R897" s="449"/>
      <c r="S897" s="449"/>
      <c r="T897" s="449"/>
      <c r="U897" s="449"/>
      <c r="V897" s="449"/>
      <c r="W897" s="449"/>
      <c r="X897" s="449"/>
      <c r="Y897" s="449"/>
      <c r="Z897" s="449"/>
      <c r="AA897" s="449"/>
      <c r="AB897" s="449"/>
    </row>
    <row r="898">
      <c r="A898" s="337"/>
      <c r="B898" s="338"/>
      <c r="C898" s="338"/>
      <c r="D898" s="338"/>
      <c r="E898" s="338"/>
      <c r="F898" s="337"/>
      <c r="G898" s="449"/>
      <c r="H898" s="449"/>
      <c r="I898" s="449"/>
      <c r="J898" s="449"/>
      <c r="K898" s="449"/>
      <c r="L898" s="449"/>
      <c r="M898" s="449"/>
      <c r="N898" s="449"/>
      <c r="O898" s="449"/>
      <c r="P898" s="449"/>
      <c r="Q898" s="449"/>
      <c r="R898" s="449"/>
      <c r="S898" s="449"/>
      <c r="T898" s="449"/>
      <c r="U898" s="449"/>
      <c r="V898" s="449"/>
      <c r="W898" s="449"/>
      <c r="X898" s="449"/>
      <c r="Y898" s="449"/>
      <c r="Z898" s="449"/>
      <c r="AA898" s="449"/>
      <c r="AB898" s="449"/>
    </row>
    <row r="899">
      <c r="A899" s="337"/>
      <c r="B899" s="338"/>
      <c r="C899" s="338"/>
      <c r="D899" s="338"/>
      <c r="E899" s="338"/>
      <c r="F899" s="337"/>
      <c r="G899" s="449"/>
      <c r="H899" s="449"/>
      <c r="I899" s="449"/>
      <c r="J899" s="449"/>
      <c r="K899" s="449"/>
      <c r="L899" s="449"/>
      <c r="M899" s="449"/>
      <c r="N899" s="449"/>
      <c r="O899" s="449"/>
      <c r="P899" s="449"/>
      <c r="Q899" s="449"/>
      <c r="R899" s="449"/>
      <c r="S899" s="449"/>
      <c r="T899" s="449"/>
      <c r="U899" s="449"/>
      <c r="V899" s="449"/>
      <c r="W899" s="449"/>
      <c r="X899" s="449"/>
      <c r="Y899" s="449"/>
      <c r="Z899" s="449"/>
      <c r="AA899" s="449"/>
      <c r="AB899" s="449"/>
    </row>
    <row r="900">
      <c r="A900" s="337"/>
      <c r="B900" s="338"/>
      <c r="C900" s="338"/>
      <c r="D900" s="338"/>
      <c r="E900" s="338"/>
      <c r="F900" s="337"/>
      <c r="G900" s="449"/>
      <c r="H900" s="449"/>
      <c r="I900" s="449"/>
      <c r="J900" s="449"/>
      <c r="K900" s="449"/>
      <c r="L900" s="449"/>
      <c r="M900" s="449"/>
      <c r="N900" s="449"/>
      <c r="O900" s="449"/>
      <c r="P900" s="449"/>
      <c r="Q900" s="449"/>
      <c r="R900" s="449"/>
      <c r="S900" s="449"/>
      <c r="T900" s="449"/>
      <c r="U900" s="449"/>
      <c r="V900" s="449"/>
      <c r="W900" s="449"/>
      <c r="X900" s="449"/>
      <c r="Y900" s="449"/>
      <c r="Z900" s="449"/>
      <c r="AA900" s="449"/>
      <c r="AB900" s="449"/>
    </row>
    <row r="901">
      <c r="A901" s="337"/>
      <c r="B901" s="338"/>
      <c r="C901" s="338"/>
      <c r="D901" s="338"/>
      <c r="E901" s="338"/>
      <c r="F901" s="337"/>
      <c r="G901" s="449"/>
      <c r="H901" s="449"/>
      <c r="I901" s="449"/>
      <c r="J901" s="449"/>
      <c r="K901" s="449"/>
      <c r="L901" s="449"/>
      <c r="M901" s="449"/>
      <c r="N901" s="449"/>
      <c r="O901" s="449"/>
      <c r="P901" s="449"/>
      <c r="Q901" s="449"/>
      <c r="R901" s="449"/>
      <c r="S901" s="449"/>
      <c r="T901" s="449"/>
      <c r="U901" s="449"/>
      <c r="V901" s="449"/>
      <c r="W901" s="449"/>
      <c r="X901" s="449"/>
      <c r="Y901" s="449"/>
      <c r="Z901" s="449"/>
      <c r="AA901" s="449"/>
      <c r="AB901" s="449"/>
    </row>
    <row r="902">
      <c r="A902" s="337"/>
      <c r="B902" s="338"/>
      <c r="C902" s="338"/>
      <c r="D902" s="338"/>
      <c r="E902" s="338"/>
      <c r="F902" s="337"/>
      <c r="G902" s="449"/>
      <c r="H902" s="449"/>
      <c r="I902" s="449"/>
      <c r="J902" s="449"/>
      <c r="K902" s="449"/>
      <c r="L902" s="449"/>
      <c r="M902" s="449"/>
      <c r="N902" s="449"/>
      <c r="O902" s="449"/>
      <c r="P902" s="449"/>
      <c r="Q902" s="449"/>
      <c r="R902" s="449"/>
      <c r="S902" s="449"/>
      <c r="T902" s="449"/>
      <c r="U902" s="449"/>
      <c r="V902" s="449"/>
      <c r="W902" s="449"/>
      <c r="X902" s="449"/>
      <c r="Y902" s="449"/>
      <c r="Z902" s="449"/>
      <c r="AA902" s="449"/>
      <c r="AB902" s="449"/>
    </row>
    <row r="903">
      <c r="A903" s="337"/>
      <c r="B903" s="338"/>
      <c r="C903" s="338"/>
      <c r="D903" s="338"/>
      <c r="E903" s="338"/>
      <c r="F903" s="337"/>
      <c r="G903" s="449"/>
      <c r="H903" s="449"/>
      <c r="I903" s="449"/>
      <c r="J903" s="449"/>
      <c r="K903" s="449"/>
      <c r="L903" s="449"/>
      <c r="M903" s="449"/>
      <c r="N903" s="449"/>
      <c r="O903" s="449"/>
      <c r="P903" s="449"/>
      <c r="Q903" s="449"/>
      <c r="R903" s="449"/>
      <c r="S903" s="449"/>
      <c r="T903" s="449"/>
      <c r="U903" s="449"/>
      <c r="V903" s="449"/>
      <c r="W903" s="449"/>
      <c r="X903" s="449"/>
      <c r="Y903" s="449"/>
      <c r="Z903" s="449"/>
      <c r="AA903" s="449"/>
      <c r="AB903" s="449"/>
    </row>
    <row r="904">
      <c r="A904" s="337"/>
      <c r="B904" s="338"/>
      <c r="C904" s="338"/>
      <c r="D904" s="338"/>
      <c r="E904" s="338"/>
      <c r="F904" s="337"/>
      <c r="G904" s="449"/>
      <c r="H904" s="449"/>
      <c r="I904" s="449"/>
      <c r="J904" s="449"/>
      <c r="K904" s="449"/>
      <c r="L904" s="449"/>
      <c r="M904" s="449"/>
      <c r="N904" s="449"/>
      <c r="O904" s="449"/>
      <c r="P904" s="449"/>
      <c r="Q904" s="449"/>
      <c r="R904" s="449"/>
      <c r="S904" s="449"/>
      <c r="T904" s="449"/>
      <c r="U904" s="449"/>
      <c r="V904" s="449"/>
      <c r="W904" s="449"/>
      <c r="X904" s="449"/>
      <c r="Y904" s="449"/>
      <c r="Z904" s="449"/>
      <c r="AA904" s="449"/>
      <c r="AB904" s="449"/>
    </row>
    <row r="905">
      <c r="A905" s="337"/>
      <c r="B905" s="338"/>
      <c r="C905" s="338"/>
      <c r="D905" s="338"/>
      <c r="E905" s="338"/>
      <c r="F905" s="337"/>
      <c r="G905" s="449"/>
      <c r="H905" s="449"/>
      <c r="I905" s="449"/>
      <c r="J905" s="449"/>
      <c r="K905" s="449"/>
      <c r="L905" s="449"/>
      <c r="M905" s="449"/>
      <c r="N905" s="449"/>
      <c r="O905" s="449"/>
      <c r="P905" s="449"/>
      <c r="Q905" s="449"/>
      <c r="R905" s="449"/>
      <c r="S905" s="449"/>
      <c r="T905" s="449"/>
      <c r="U905" s="449"/>
      <c r="V905" s="449"/>
      <c r="W905" s="449"/>
      <c r="X905" s="449"/>
      <c r="Y905" s="449"/>
      <c r="Z905" s="449"/>
      <c r="AA905" s="449"/>
      <c r="AB905" s="449"/>
    </row>
    <row r="906">
      <c r="A906" s="337"/>
      <c r="B906" s="338"/>
      <c r="C906" s="338"/>
      <c r="D906" s="338"/>
      <c r="E906" s="338"/>
      <c r="F906" s="337"/>
      <c r="G906" s="449"/>
      <c r="H906" s="449"/>
      <c r="I906" s="449"/>
      <c r="J906" s="449"/>
      <c r="K906" s="449"/>
      <c r="L906" s="449"/>
      <c r="M906" s="449"/>
      <c r="N906" s="449"/>
      <c r="O906" s="449"/>
      <c r="P906" s="449"/>
      <c r="Q906" s="449"/>
      <c r="R906" s="449"/>
      <c r="S906" s="449"/>
      <c r="T906" s="449"/>
      <c r="U906" s="449"/>
      <c r="V906" s="449"/>
      <c r="W906" s="449"/>
      <c r="X906" s="449"/>
      <c r="Y906" s="449"/>
      <c r="Z906" s="449"/>
      <c r="AA906" s="449"/>
      <c r="AB906" s="449"/>
    </row>
    <row r="907">
      <c r="A907" s="337"/>
      <c r="B907" s="338"/>
      <c r="C907" s="338"/>
      <c r="D907" s="338"/>
      <c r="E907" s="338"/>
      <c r="F907" s="337"/>
      <c r="G907" s="449"/>
      <c r="H907" s="449"/>
      <c r="I907" s="449"/>
      <c r="J907" s="449"/>
      <c r="K907" s="449"/>
      <c r="L907" s="449"/>
      <c r="M907" s="449"/>
      <c r="N907" s="449"/>
      <c r="O907" s="449"/>
      <c r="P907" s="449"/>
      <c r="Q907" s="449"/>
      <c r="R907" s="449"/>
      <c r="S907" s="449"/>
      <c r="T907" s="449"/>
      <c r="U907" s="449"/>
      <c r="V907" s="449"/>
      <c r="W907" s="449"/>
      <c r="X907" s="449"/>
      <c r="Y907" s="449"/>
      <c r="Z907" s="449"/>
      <c r="AA907" s="449"/>
      <c r="AB907" s="449"/>
    </row>
    <row r="908">
      <c r="A908" s="337"/>
      <c r="B908" s="338"/>
      <c r="C908" s="338"/>
      <c r="D908" s="338"/>
      <c r="E908" s="338"/>
      <c r="F908" s="337"/>
      <c r="G908" s="449"/>
      <c r="H908" s="449"/>
      <c r="I908" s="449"/>
      <c r="J908" s="449"/>
      <c r="K908" s="449"/>
      <c r="L908" s="449"/>
      <c r="M908" s="449"/>
      <c r="N908" s="449"/>
      <c r="O908" s="449"/>
      <c r="P908" s="449"/>
      <c r="Q908" s="449"/>
      <c r="R908" s="449"/>
      <c r="S908" s="449"/>
      <c r="T908" s="449"/>
      <c r="U908" s="449"/>
      <c r="V908" s="449"/>
      <c r="W908" s="449"/>
      <c r="X908" s="449"/>
      <c r="Y908" s="449"/>
      <c r="Z908" s="449"/>
      <c r="AA908" s="449"/>
      <c r="AB908" s="449"/>
    </row>
    <row r="909">
      <c r="A909" s="337"/>
      <c r="B909" s="338"/>
      <c r="C909" s="338"/>
      <c r="D909" s="338"/>
      <c r="E909" s="338"/>
      <c r="F909" s="337"/>
      <c r="G909" s="449"/>
      <c r="H909" s="449"/>
      <c r="I909" s="449"/>
      <c r="J909" s="449"/>
      <c r="K909" s="449"/>
      <c r="L909" s="449"/>
      <c r="M909" s="449"/>
      <c r="N909" s="449"/>
      <c r="O909" s="449"/>
      <c r="P909" s="449"/>
      <c r="Q909" s="449"/>
      <c r="R909" s="449"/>
      <c r="S909" s="449"/>
      <c r="T909" s="449"/>
      <c r="U909" s="449"/>
      <c r="V909" s="449"/>
      <c r="W909" s="449"/>
      <c r="X909" s="449"/>
      <c r="Y909" s="449"/>
      <c r="Z909" s="449"/>
      <c r="AA909" s="449"/>
      <c r="AB909" s="449"/>
    </row>
    <row r="910">
      <c r="A910" s="337"/>
      <c r="B910" s="338"/>
      <c r="C910" s="338"/>
      <c r="D910" s="338"/>
      <c r="E910" s="338"/>
      <c r="F910" s="337"/>
      <c r="G910" s="449"/>
      <c r="H910" s="449"/>
      <c r="I910" s="449"/>
      <c r="J910" s="449"/>
      <c r="K910" s="449"/>
      <c r="L910" s="449"/>
      <c r="M910" s="449"/>
      <c r="N910" s="449"/>
      <c r="O910" s="449"/>
      <c r="P910" s="449"/>
      <c r="Q910" s="449"/>
      <c r="R910" s="449"/>
      <c r="S910" s="449"/>
      <c r="T910" s="449"/>
      <c r="U910" s="449"/>
      <c r="V910" s="449"/>
      <c r="W910" s="449"/>
      <c r="X910" s="449"/>
      <c r="Y910" s="449"/>
      <c r="Z910" s="449"/>
      <c r="AA910" s="449"/>
      <c r="AB910" s="449"/>
    </row>
    <row r="911">
      <c r="A911" s="337"/>
      <c r="B911" s="338"/>
      <c r="C911" s="338"/>
      <c r="D911" s="338"/>
      <c r="E911" s="338"/>
      <c r="F911" s="337"/>
      <c r="G911" s="449"/>
      <c r="H911" s="449"/>
      <c r="I911" s="449"/>
      <c r="J911" s="449"/>
      <c r="K911" s="449"/>
      <c r="L911" s="449"/>
      <c r="M911" s="449"/>
      <c r="N911" s="449"/>
      <c r="O911" s="449"/>
      <c r="P911" s="449"/>
      <c r="Q911" s="449"/>
      <c r="R911" s="449"/>
      <c r="S911" s="449"/>
      <c r="T911" s="449"/>
      <c r="U911" s="449"/>
      <c r="V911" s="449"/>
      <c r="W911" s="449"/>
      <c r="X911" s="449"/>
      <c r="Y911" s="449"/>
      <c r="Z911" s="449"/>
      <c r="AA911" s="449"/>
      <c r="AB911" s="449"/>
    </row>
    <row r="912">
      <c r="A912" s="337"/>
      <c r="B912" s="338"/>
      <c r="C912" s="338"/>
      <c r="D912" s="338"/>
      <c r="E912" s="338"/>
      <c r="F912" s="337"/>
      <c r="G912" s="449"/>
      <c r="H912" s="449"/>
      <c r="I912" s="449"/>
      <c r="J912" s="449"/>
      <c r="K912" s="449"/>
      <c r="L912" s="449"/>
      <c r="M912" s="449"/>
      <c r="N912" s="449"/>
      <c r="O912" s="449"/>
      <c r="P912" s="449"/>
      <c r="Q912" s="449"/>
      <c r="R912" s="449"/>
      <c r="S912" s="449"/>
      <c r="T912" s="449"/>
      <c r="U912" s="449"/>
      <c r="V912" s="449"/>
      <c r="W912" s="449"/>
      <c r="X912" s="449"/>
      <c r="Y912" s="449"/>
      <c r="Z912" s="449"/>
      <c r="AA912" s="449"/>
      <c r="AB912" s="449"/>
    </row>
    <row r="913">
      <c r="A913" s="337"/>
      <c r="B913" s="338"/>
      <c r="C913" s="338"/>
      <c r="D913" s="338"/>
      <c r="E913" s="338"/>
      <c r="F913" s="337"/>
      <c r="G913" s="449"/>
      <c r="H913" s="449"/>
      <c r="I913" s="449"/>
      <c r="J913" s="449"/>
      <c r="K913" s="449"/>
      <c r="L913" s="449"/>
      <c r="M913" s="449"/>
      <c r="N913" s="449"/>
      <c r="O913" s="449"/>
      <c r="P913" s="449"/>
      <c r="Q913" s="449"/>
      <c r="R913" s="449"/>
      <c r="S913" s="449"/>
      <c r="T913" s="449"/>
      <c r="U913" s="449"/>
      <c r="V913" s="449"/>
      <c r="W913" s="449"/>
      <c r="X913" s="449"/>
      <c r="Y913" s="449"/>
      <c r="Z913" s="449"/>
      <c r="AA913" s="449"/>
      <c r="AB913" s="449"/>
    </row>
    <row r="914">
      <c r="A914" s="337"/>
      <c r="B914" s="338"/>
      <c r="C914" s="338"/>
      <c r="D914" s="338"/>
      <c r="E914" s="338"/>
      <c r="F914" s="337"/>
      <c r="G914" s="449"/>
      <c r="H914" s="449"/>
      <c r="I914" s="449"/>
      <c r="J914" s="449"/>
      <c r="K914" s="449"/>
      <c r="L914" s="449"/>
      <c r="M914" s="449"/>
      <c r="N914" s="449"/>
      <c r="O914" s="449"/>
      <c r="P914" s="449"/>
      <c r="Q914" s="449"/>
      <c r="R914" s="449"/>
      <c r="S914" s="449"/>
      <c r="T914" s="449"/>
      <c r="U914" s="449"/>
      <c r="V914" s="449"/>
      <c r="W914" s="449"/>
      <c r="X914" s="449"/>
      <c r="Y914" s="449"/>
      <c r="Z914" s="449"/>
      <c r="AA914" s="449"/>
      <c r="AB914" s="449"/>
    </row>
    <row r="915">
      <c r="A915" s="337"/>
      <c r="B915" s="338"/>
      <c r="C915" s="338"/>
      <c r="D915" s="338"/>
      <c r="E915" s="338"/>
      <c r="F915" s="337"/>
      <c r="G915" s="449"/>
      <c r="H915" s="449"/>
      <c r="I915" s="449"/>
      <c r="J915" s="449"/>
      <c r="K915" s="449"/>
      <c r="L915" s="449"/>
      <c r="M915" s="449"/>
      <c r="N915" s="449"/>
      <c r="O915" s="449"/>
      <c r="P915" s="449"/>
      <c r="Q915" s="449"/>
      <c r="R915" s="449"/>
      <c r="S915" s="449"/>
      <c r="T915" s="449"/>
      <c r="U915" s="449"/>
      <c r="V915" s="449"/>
      <c r="W915" s="449"/>
      <c r="X915" s="449"/>
      <c r="Y915" s="449"/>
      <c r="Z915" s="449"/>
      <c r="AA915" s="449"/>
      <c r="AB915" s="449"/>
    </row>
    <row r="916">
      <c r="A916" s="337"/>
      <c r="B916" s="338"/>
      <c r="C916" s="338"/>
      <c r="D916" s="338"/>
      <c r="E916" s="338"/>
      <c r="F916" s="337"/>
      <c r="G916" s="449"/>
      <c r="H916" s="449"/>
      <c r="I916" s="449"/>
      <c r="J916" s="449"/>
      <c r="K916" s="449"/>
      <c r="L916" s="449"/>
      <c r="M916" s="449"/>
      <c r="N916" s="449"/>
      <c r="O916" s="449"/>
      <c r="P916" s="449"/>
      <c r="Q916" s="449"/>
      <c r="R916" s="449"/>
      <c r="S916" s="449"/>
      <c r="T916" s="449"/>
      <c r="U916" s="449"/>
      <c r="V916" s="449"/>
      <c r="W916" s="449"/>
      <c r="X916" s="449"/>
      <c r="Y916" s="449"/>
      <c r="Z916" s="449"/>
      <c r="AA916" s="449"/>
      <c r="AB916" s="449"/>
    </row>
    <row r="917">
      <c r="A917" s="337"/>
      <c r="B917" s="338"/>
      <c r="C917" s="338"/>
      <c r="D917" s="338"/>
      <c r="E917" s="338"/>
      <c r="F917" s="337"/>
      <c r="G917" s="449"/>
      <c r="H917" s="449"/>
      <c r="I917" s="449"/>
      <c r="J917" s="449"/>
      <c r="K917" s="449"/>
      <c r="L917" s="449"/>
      <c r="M917" s="449"/>
      <c r="N917" s="449"/>
      <c r="O917" s="449"/>
      <c r="P917" s="449"/>
      <c r="Q917" s="449"/>
      <c r="R917" s="449"/>
      <c r="S917" s="449"/>
      <c r="T917" s="449"/>
      <c r="U917" s="449"/>
      <c r="V917" s="449"/>
      <c r="W917" s="449"/>
      <c r="X917" s="449"/>
      <c r="Y917" s="449"/>
      <c r="Z917" s="449"/>
      <c r="AA917" s="449"/>
      <c r="AB917" s="449"/>
    </row>
    <row r="918">
      <c r="A918" s="337"/>
      <c r="B918" s="338"/>
      <c r="C918" s="338"/>
      <c r="D918" s="338"/>
      <c r="E918" s="338"/>
      <c r="F918" s="337"/>
      <c r="G918" s="449"/>
      <c r="H918" s="449"/>
      <c r="I918" s="449"/>
      <c r="J918" s="449"/>
      <c r="K918" s="449"/>
      <c r="L918" s="449"/>
      <c r="M918" s="449"/>
      <c r="N918" s="449"/>
      <c r="O918" s="449"/>
      <c r="P918" s="449"/>
      <c r="Q918" s="449"/>
      <c r="R918" s="449"/>
      <c r="S918" s="449"/>
      <c r="T918" s="449"/>
      <c r="U918" s="449"/>
      <c r="V918" s="449"/>
      <c r="W918" s="449"/>
      <c r="X918" s="449"/>
      <c r="Y918" s="449"/>
      <c r="Z918" s="449"/>
      <c r="AA918" s="449"/>
      <c r="AB918" s="449"/>
    </row>
    <row r="919">
      <c r="A919" s="337"/>
      <c r="B919" s="338"/>
      <c r="C919" s="338"/>
      <c r="D919" s="338"/>
      <c r="E919" s="338"/>
      <c r="F919" s="337"/>
      <c r="G919" s="449"/>
      <c r="H919" s="449"/>
      <c r="I919" s="449"/>
      <c r="J919" s="449"/>
      <c r="K919" s="449"/>
      <c r="L919" s="449"/>
      <c r="M919" s="449"/>
      <c r="N919" s="449"/>
      <c r="O919" s="449"/>
      <c r="P919" s="449"/>
      <c r="Q919" s="449"/>
      <c r="R919" s="449"/>
      <c r="S919" s="449"/>
      <c r="T919" s="449"/>
      <c r="U919" s="449"/>
      <c r="V919" s="449"/>
      <c r="W919" s="449"/>
      <c r="X919" s="449"/>
      <c r="Y919" s="449"/>
      <c r="Z919" s="449"/>
      <c r="AA919" s="449"/>
      <c r="AB919" s="449"/>
    </row>
    <row r="920">
      <c r="A920" s="337"/>
      <c r="B920" s="338"/>
      <c r="C920" s="338"/>
      <c r="D920" s="338"/>
      <c r="E920" s="338"/>
      <c r="F920" s="337"/>
      <c r="G920" s="449"/>
      <c r="H920" s="449"/>
      <c r="I920" s="449"/>
      <c r="J920" s="449"/>
      <c r="K920" s="449"/>
      <c r="L920" s="449"/>
      <c r="M920" s="449"/>
      <c r="N920" s="449"/>
      <c r="O920" s="449"/>
      <c r="P920" s="449"/>
      <c r="Q920" s="449"/>
      <c r="R920" s="449"/>
      <c r="S920" s="449"/>
      <c r="T920" s="449"/>
      <c r="U920" s="449"/>
      <c r="V920" s="449"/>
      <c r="W920" s="449"/>
      <c r="X920" s="449"/>
      <c r="Y920" s="449"/>
      <c r="Z920" s="449"/>
      <c r="AA920" s="449"/>
      <c r="AB920" s="449"/>
    </row>
    <row r="921">
      <c r="A921" s="337"/>
      <c r="B921" s="338"/>
      <c r="C921" s="338"/>
      <c r="D921" s="338"/>
      <c r="E921" s="338"/>
      <c r="F921" s="337"/>
      <c r="G921" s="449"/>
      <c r="H921" s="449"/>
      <c r="I921" s="449"/>
      <c r="J921" s="449"/>
      <c r="K921" s="449"/>
      <c r="L921" s="449"/>
      <c r="M921" s="449"/>
      <c r="N921" s="449"/>
      <c r="O921" s="449"/>
      <c r="P921" s="449"/>
      <c r="Q921" s="449"/>
      <c r="R921" s="449"/>
      <c r="S921" s="449"/>
      <c r="T921" s="449"/>
      <c r="U921" s="449"/>
      <c r="V921" s="449"/>
      <c r="W921" s="449"/>
      <c r="X921" s="449"/>
      <c r="Y921" s="449"/>
      <c r="Z921" s="449"/>
      <c r="AA921" s="449"/>
      <c r="AB921" s="449"/>
    </row>
    <row r="922">
      <c r="A922" s="337"/>
      <c r="B922" s="338"/>
      <c r="C922" s="338"/>
      <c r="D922" s="338"/>
      <c r="E922" s="338"/>
      <c r="F922" s="337"/>
      <c r="G922" s="449"/>
      <c r="H922" s="449"/>
      <c r="I922" s="449"/>
      <c r="J922" s="449"/>
      <c r="K922" s="449"/>
      <c r="L922" s="449"/>
      <c r="M922" s="449"/>
      <c r="N922" s="449"/>
      <c r="O922" s="449"/>
      <c r="P922" s="449"/>
      <c r="Q922" s="449"/>
      <c r="R922" s="449"/>
      <c r="S922" s="449"/>
      <c r="T922" s="449"/>
      <c r="U922" s="449"/>
      <c r="V922" s="449"/>
      <c r="W922" s="449"/>
      <c r="X922" s="449"/>
      <c r="Y922" s="449"/>
      <c r="Z922" s="449"/>
      <c r="AA922" s="449"/>
      <c r="AB922" s="449"/>
    </row>
    <row r="923">
      <c r="A923" s="337"/>
      <c r="B923" s="338"/>
      <c r="C923" s="338"/>
      <c r="D923" s="338"/>
      <c r="E923" s="338"/>
      <c r="F923" s="337"/>
      <c r="G923" s="449"/>
      <c r="H923" s="449"/>
      <c r="I923" s="449"/>
      <c r="J923" s="449"/>
      <c r="K923" s="449"/>
      <c r="L923" s="449"/>
      <c r="M923" s="449"/>
      <c r="N923" s="449"/>
      <c r="O923" s="449"/>
      <c r="P923" s="449"/>
      <c r="Q923" s="449"/>
      <c r="R923" s="449"/>
      <c r="S923" s="449"/>
      <c r="T923" s="449"/>
      <c r="U923" s="449"/>
      <c r="V923" s="449"/>
      <c r="W923" s="449"/>
      <c r="X923" s="449"/>
      <c r="Y923" s="449"/>
      <c r="Z923" s="449"/>
      <c r="AA923" s="449"/>
      <c r="AB923" s="449"/>
    </row>
    <row r="924">
      <c r="A924" s="337"/>
      <c r="B924" s="338"/>
      <c r="C924" s="338"/>
      <c r="D924" s="338"/>
      <c r="E924" s="338"/>
      <c r="F924" s="337"/>
      <c r="G924" s="449"/>
      <c r="H924" s="449"/>
      <c r="I924" s="449"/>
      <c r="J924" s="449"/>
      <c r="K924" s="449"/>
      <c r="L924" s="449"/>
      <c r="M924" s="449"/>
      <c r="N924" s="449"/>
      <c r="O924" s="449"/>
      <c r="P924" s="449"/>
      <c r="Q924" s="449"/>
      <c r="R924" s="449"/>
      <c r="S924" s="449"/>
      <c r="T924" s="449"/>
      <c r="U924" s="449"/>
      <c r="V924" s="449"/>
      <c r="W924" s="449"/>
      <c r="X924" s="449"/>
      <c r="Y924" s="449"/>
      <c r="Z924" s="449"/>
      <c r="AA924" s="449"/>
      <c r="AB924" s="449"/>
    </row>
    <row r="925">
      <c r="A925" s="337"/>
      <c r="B925" s="338"/>
      <c r="C925" s="338"/>
      <c r="D925" s="338"/>
      <c r="E925" s="338"/>
      <c r="F925" s="337"/>
      <c r="G925" s="449"/>
      <c r="H925" s="449"/>
      <c r="I925" s="449"/>
      <c r="J925" s="449"/>
      <c r="K925" s="449"/>
      <c r="L925" s="449"/>
      <c r="M925" s="449"/>
      <c r="N925" s="449"/>
      <c r="O925" s="449"/>
      <c r="P925" s="449"/>
      <c r="Q925" s="449"/>
      <c r="R925" s="449"/>
      <c r="S925" s="449"/>
      <c r="T925" s="449"/>
      <c r="U925" s="449"/>
      <c r="V925" s="449"/>
      <c r="W925" s="449"/>
      <c r="X925" s="449"/>
      <c r="Y925" s="449"/>
      <c r="Z925" s="449"/>
      <c r="AA925" s="449"/>
      <c r="AB925" s="449"/>
    </row>
    <row r="926">
      <c r="A926" s="337"/>
      <c r="B926" s="338"/>
      <c r="C926" s="338"/>
      <c r="D926" s="338"/>
      <c r="E926" s="338"/>
      <c r="F926" s="337"/>
      <c r="G926" s="449"/>
      <c r="H926" s="449"/>
      <c r="I926" s="449"/>
      <c r="J926" s="449"/>
      <c r="K926" s="449"/>
      <c r="L926" s="449"/>
      <c r="M926" s="449"/>
      <c r="N926" s="449"/>
      <c r="O926" s="449"/>
      <c r="P926" s="449"/>
      <c r="Q926" s="449"/>
      <c r="R926" s="449"/>
      <c r="S926" s="449"/>
      <c r="T926" s="449"/>
      <c r="U926" s="449"/>
      <c r="V926" s="449"/>
      <c r="W926" s="449"/>
      <c r="X926" s="449"/>
      <c r="Y926" s="449"/>
      <c r="Z926" s="449"/>
      <c r="AA926" s="449"/>
      <c r="AB926" s="449"/>
    </row>
    <row r="927">
      <c r="A927" s="337"/>
      <c r="B927" s="338"/>
      <c r="C927" s="338"/>
      <c r="D927" s="338"/>
      <c r="E927" s="338"/>
      <c r="F927" s="337"/>
      <c r="G927" s="449"/>
      <c r="H927" s="449"/>
      <c r="I927" s="449"/>
      <c r="J927" s="449"/>
      <c r="K927" s="449"/>
      <c r="L927" s="449"/>
      <c r="M927" s="449"/>
      <c r="N927" s="449"/>
      <c r="O927" s="449"/>
      <c r="P927" s="449"/>
      <c r="Q927" s="449"/>
      <c r="R927" s="449"/>
      <c r="S927" s="449"/>
      <c r="T927" s="449"/>
      <c r="U927" s="449"/>
      <c r="V927" s="449"/>
      <c r="W927" s="449"/>
      <c r="X927" s="449"/>
      <c r="Y927" s="449"/>
      <c r="Z927" s="449"/>
      <c r="AA927" s="449"/>
      <c r="AB927" s="449"/>
    </row>
    <row r="928">
      <c r="A928" s="337"/>
      <c r="B928" s="338"/>
      <c r="C928" s="338"/>
      <c r="D928" s="338"/>
      <c r="E928" s="338"/>
      <c r="F928" s="337"/>
      <c r="G928" s="449"/>
      <c r="H928" s="449"/>
      <c r="I928" s="449"/>
      <c r="J928" s="449"/>
      <c r="K928" s="449"/>
      <c r="L928" s="449"/>
      <c r="M928" s="449"/>
      <c r="N928" s="449"/>
      <c r="O928" s="449"/>
      <c r="P928" s="449"/>
      <c r="Q928" s="449"/>
      <c r="R928" s="449"/>
      <c r="S928" s="449"/>
      <c r="T928" s="449"/>
      <c r="U928" s="449"/>
      <c r="V928" s="449"/>
      <c r="W928" s="449"/>
      <c r="X928" s="449"/>
      <c r="Y928" s="449"/>
      <c r="Z928" s="449"/>
      <c r="AA928" s="449"/>
      <c r="AB928" s="449"/>
    </row>
    <row r="929">
      <c r="A929" s="337"/>
      <c r="B929" s="338"/>
      <c r="C929" s="338"/>
      <c r="D929" s="338"/>
      <c r="E929" s="338"/>
      <c r="F929" s="337"/>
      <c r="G929" s="449"/>
      <c r="H929" s="449"/>
      <c r="I929" s="449"/>
      <c r="J929" s="449"/>
      <c r="K929" s="449"/>
      <c r="L929" s="449"/>
      <c r="M929" s="449"/>
      <c r="N929" s="449"/>
      <c r="O929" s="449"/>
      <c r="P929" s="449"/>
      <c r="Q929" s="449"/>
      <c r="R929" s="449"/>
      <c r="S929" s="449"/>
      <c r="T929" s="449"/>
      <c r="U929" s="449"/>
      <c r="V929" s="449"/>
      <c r="W929" s="449"/>
      <c r="X929" s="449"/>
      <c r="Y929" s="449"/>
      <c r="Z929" s="449"/>
      <c r="AA929" s="449"/>
      <c r="AB929" s="449"/>
    </row>
    <row r="930">
      <c r="A930" s="337"/>
      <c r="B930" s="338"/>
      <c r="C930" s="338"/>
      <c r="D930" s="338"/>
      <c r="E930" s="338"/>
      <c r="F930" s="337"/>
      <c r="G930" s="449"/>
      <c r="H930" s="449"/>
      <c r="I930" s="449"/>
      <c r="J930" s="449"/>
      <c r="K930" s="449"/>
      <c r="L930" s="449"/>
      <c r="M930" s="449"/>
      <c r="N930" s="449"/>
      <c r="O930" s="449"/>
      <c r="P930" s="449"/>
      <c r="Q930" s="449"/>
      <c r="R930" s="449"/>
      <c r="S930" s="449"/>
      <c r="T930" s="449"/>
      <c r="U930" s="449"/>
      <c r="V930" s="449"/>
      <c r="W930" s="449"/>
      <c r="X930" s="449"/>
      <c r="Y930" s="449"/>
      <c r="Z930" s="449"/>
      <c r="AA930" s="449"/>
      <c r="AB930" s="449"/>
    </row>
    <row r="931">
      <c r="A931" s="337"/>
      <c r="B931" s="338"/>
      <c r="C931" s="338"/>
      <c r="D931" s="338"/>
      <c r="E931" s="338"/>
      <c r="F931" s="337"/>
      <c r="G931" s="449"/>
      <c r="H931" s="449"/>
      <c r="I931" s="449"/>
      <c r="J931" s="449"/>
      <c r="K931" s="449"/>
      <c r="L931" s="449"/>
      <c r="M931" s="449"/>
      <c r="N931" s="449"/>
      <c r="O931" s="449"/>
      <c r="P931" s="449"/>
      <c r="Q931" s="449"/>
      <c r="R931" s="449"/>
      <c r="S931" s="449"/>
      <c r="T931" s="449"/>
      <c r="U931" s="449"/>
      <c r="V931" s="449"/>
      <c r="W931" s="449"/>
      <c r="X931" s="449"/>
      <c r="Y931" s="449"/>
      <c r="Z931" s="449"/>
      <c r="AA931" s="449"/>
      <c r="AB931" s="449"/>
    </row>
    <row r="932">
      <c r="A932" s="337"/>
      <c r="B932" s="338"/>
      <c r="C932" s="338"/>
      <c r="D932" s="338"/>
      <c r="E932" s="338"/>
      <c r="F932" s="337"/>
      <c r="G932" s="449"/>
      <c r="H932" s="449"/>
      <c r="I932" s="449"/>
      <c r="J932" s="449"/>
      <c r="K932" s="449"/>
      <c r="L932" s="449"/>
      <c r="M932" s="449"/>
      <c r="N932" s="449"/>
      <c r="O932" s="449"/>
      <c r="P932" s="449"/>
      <c r="Q932" s="449"/>
      <c r="R932" s="449"/>
      <c r="S932" s="449"/>
      <c r="T932" s="449"/>
      <c r="U932" s="449"/>
      <c r="V932" s="449"/>
      <c r="W932" s="449"/>
      <c r="X932" s="449"/>
      <c r="Y932" s="449"/>
      <c r="Z932" s="449"/>
      <c r="AA932" s="449"/>
      <c r="AB932" s="449"/>
    </row>
    <row r="933">
      <c r="A933" s="337"/>
      <c r="B933" s="338"/>
      <c r="C933" s="338"/>
      <c r="D933" s="338"/>
      <c r="E933" s="338"/>
      <c r="F933" s="337"/>
      <c r="G933" s="449"/>
      <c r="H933" s="449"/>
      <c r="I933" s="449"/>
      <c r="J933" s="449"/>
      <c r="K933" s="449"/>
      <c r="L933" s="449"/>
      <c r="M933" s="449"/>
      <c r="N933" s="449"/>
      <c r="O933" s="449"/>
      <c r="P933" s="449"/>
      <c r="Q933" s="449"/>
      <c r="R933" s="449"/>
      <c r="S933" s="449"/>
      <c r="T933" s="449"/>
      <c r="U933" s="449"/>
      <c r="V933" s="449"/>
      <c r="W933" s="449"/>
      <c r="X933" s="449"/>
      <c r="Y933" s="449"/>
      <c r="Z933" s="449"/>
      <c r="AA933" s="449"/>
      <c r="AB933" s="449"/>
    </row>
    <row r="934">
      <c r="A934" s="337"/>
      <c r="B934" s="338"/>
      <c r="C934" s="338"/>
      <c r="D934" s="338"/>
      <c r="E934" s="338"/>
      <c r="F934" s="337"/>
      <c r="G934" s="449"/>
      <c r="H934" s="449"/>
      <c r="I934" s="449"/>
      <c r="J934" s="449"/>
      <c r="K934" s="449"/>
      <c r="L934" s="449"/>
      <c r="M934" s="449"/>
      <c r="N934" s="449"/>
      <c r="O934" s="449"/>
      <c r="P934" s="449"/>
      <c r="Q934" s="449"/>
      <c r="R934" s="449"/>
      <c r="S934" s="449"/>
      <c r="T934" s="449"/>
      <c r="U934" s="449"/>
      <c r="V934" s="449"/>
      <c r="W934" s="449"/>
      <c r="X934" s="449"/>
      <c r="Y934" s="449"/>
      <c r="Z934" s="449"/>
      <c r="AA934" s="449"/>
      <c r="AB934" s="449"/>
    </row>
    <row r="935">
      <c r="A935" s="337"/>
      <c r="B935" s="338"/>
      <c r="C935" s="338"/>
      <c r="D935" s="338"/>
      <c r="E935" s="338"/>
      <c r="F935" s="337"/>
      <c r="G935" s="449"/>
      <c r="H935" s="449"/>
      <c r="I935" s="449"/>
      <c r="J935" s="449"/>
      <c r="K935" s="449"/>
      <c r="L935" s="449"/>
      <c r="M935" s="449"/>
      <c r="N935" s="449"/>
      <c r="O935" s="449"/>
      <c r="P935" s="449"/>
      <c r="Q935" s="449"/>
      <c r="R935" s="449"/>
      <c r="S935" s="449"/>
      <c r="T935" s="449"/>
      <c r="U935" s="449"/>
      <c r="V935" s="449"/>
      <c r="W935" s="449"/>
      <c r="X935" s="449"/>
      <c r="Y935" s="449"/>
      <c r="Z935" s="449"/>
      <c r="AA935" s="449"/>
      <c r="AB935" s="449"/>
    </row>
    <row r="936">
      <c r="A936" s="337"/>
      <c r="B936" s="338"/>
      <c r="C936" s="338"/>
      <c r="D936" s="338"/>
      <c r="E936" s="338"/>
      <c r="F936" s="337"/>
      <c r="G936" s="449"/>
      <c r="H936" s="449"/>
      <c r="I936" s="449"/>
      <c r="J936" s="449"/>
      <c r="K936" s="449"/>
      <c r="L936" s="449"/>
      <c r="M936" s="449"/>
      <c r="N936" s="449"/>
      <c r="O936" s="449"/>
      <c r="P936" s="449"/>
      <c r="Q936" s="449"/>
      <c r="R936" s="449"/>
      <c r="S936" s="449"/>
      <c r="T936" s="449"/>
      <c r="U936" s="449"/>
      <c r="V936" s="449"/>
      <c r="W936" s="449"/>
      <c r="X936" s="449"/>
      <c r="Y936" s="449"/>
      <c r="Z936" s="449"/>
      <c r="AA936" s="449"/>
      <c r="AB936" s="449"/>
    </row>
    <row r="937">
      <c r="A937" s="337"/>
      <c r="B937" s="338"/>
      <c r="C937" s="338"/>
      <c r="D937" s="338"/>
      <c r="E937" s="338"/>
      <c r="F937" s="337"/>
      <c r="G937" s="449"/>
      <c r="H937" s="449"/>
      <c r="I937" s="449"/>
      <c r="J937" s="449"/>
      <c r="K937" s="449"/>
      <c r="L937" s="449"/>
      <c r="M937" s="449"/>
      <c r="N937" s="449"/>
      <c r="O937" s="449"/>
      <c r="P937" s="449"/>
      <c r="Q937" s="449"/>
      <c r="R937" s="449"/>
      <c r="S937" s="449"/>
      <c r="T937" s="449"/>
      <c r="U937" s="449"/>
      <c r="V937" s="449"/>
      <c r="W937" s="449"/>
      <c r="X937" s="449"/>
      <c r="Y937" s="449"/>
      <c r="Z937" s="449"/>
      <c r="AA937" s="449"/>
      <c r="AB937" s="449"/>
    </row>
    <row r="938">
      <c r="A938" s="337"/>
      <c r="B938" s="338"/>
      <c r="C938" s="338"/>
      <c r="D938" s="338"/>
      <c r="E938" s="338"/>
      <c r="F938" s="337"/>
      <c r="G938" s="449"/>
      <c r="H938" s="449"/>
      <c r="I938" s="449"/>
      <c r="J938" s="449"/>
      <c r="K938" s="449"/>
      <c r="L938" s="449"/>
      <c r="M938" s="449"/>
      <c r="N938" s="449"/>
      <c r="O938" s="449"/>
      <c r="P938" s="449"/>
      <c r="Q938" s="449"/>
      <c r="R938" s="449"/>
      <c r="S938" s="449"/>
      <c r="T938" s="449"/>
      <c r="U938" s="449"/>
      <c r="V938" s="449"/>
      <c r="W938" s="449"/>
      <c r="X938" s="449"/>
      <c r="Y938" s="449"/>
      <c r="Z938" s="449"/>
      <c r="AA938" s="449"/>
      <c r="AB938" s="449"/>
    </row>
    <row r="939">
      <c r="A939" s="337"/>
      <c r="B939" s="338"/>
      <c r="C939" s="338"/>
      <c r="D939" s="338"/>
      <c r="E939" s="338"/>
      <c r="F939" s="337"/>
      <c r="G939" s="449"/>
      <c r="H939" s="449"/>
      <c r="I939" s="449"/>
      <c r="J939" s="449"/>
      <c r="K939" s="449"/>
      <c r="L939" s="449"/>
      <c r="M939" s="449"/>
      <c r="N939" s="449"/>
      <c r="O939" s="449"/>
      <c r="P939" s="449"/>
      <c r="Q939" s="449"/>
      <c r="R939" s="449"/>
      <c r="S939" s="449"/>
      <c r="T939" s="449"/>
      <c r="U939" s="449"/>
      <c r="V939" s="449"/>
      <c r="W939" s="449"/>
      <c r="X939" s="449"/>
      <c r="Y939" s="449"/>
      <c r="Z939" s="449"/>
      <c r="AA939" s="449"/>
      <c r="AB939" s="449"/>
    </row>
    <row r="940">
      <c r="A940" s="337"/>
      <c r="B940" s="338"/>
      <c r="C940" s="338"/>
      <c r="D940" s="338"/>
      <c r="E940" s="338"/>
      <c r="F940" s="337"/>
      <c r="G940" s="449"/>
      <c r="H940" s="449"/>
      <c r="I940" s="449"/>
      <c r="J940" s="449"/>
      <c r="K940" s="449"/>
      <c r="L940" s="449"/>
      <c r="M940" s="449"/>
      <c r="N940" s="449"/>
      <c r="O940" s="449"/>
      <c r="P940" s="449"/>
      <c r="Q940" s="449"/>
      <c r="R940" s="449"/>
      <c r="S940" s="449"/>
      <c r="T940" s="449"/>
      <c r="U940" s="449"/>
      <c r="V940" s="449"/>
      <c r="W940" s="449"/>
      <c r="X940" s="449"/>
      <c r="Y940" s="449"/>
      <c r="Z940" s="449"/>
      <c r="AA940" s="449"/>
      <c r="AB940" s="449"/>
    </row>
    <row r="941">
      <c r="A941" s="337"/>
      <c r="B941" s="338"/>
      <c r="C941" s="338"/>
      <c r="D941" s="338"/>
      <c r="E941" s="338"/>
      <c r="F941" s="337"/>
      <c r="G941" s="449"/>
      <c r="H941" s="449"/>
      <c r="I941" s="449"/>
      <c r="J941" s="449"/>
      <c r="K941" s="449"/>
      <c r="L941" s="449"/>
      <c r="M941" s="449"/>
      <c r="N941" s="449"/>
      <c r="O941" s="449"/>
      <c r="P941" s="449"/>
      <c r="Q941" s="449"/>
      <c r="R941" s="449"/>
      <c r="S941" s="449"/>
      <c r="T941" s="449"/>
      <c r="U941" s="449"/>
      <c r="V941" s="449"/>
      <c r="W941" s="449"/>
      <c r="X941" s="449"/>
      <c r="Y941" s="449"/>
      <c r="Z941" s="449"/>
      <c r="AA941" s="449"/>
      <c r="AB941" s="449"/>
    </row>
    <row r="942">
      <c r="A942" s="337"/>
      <c r="B942" s="338"/>
      <c r="C942" s="338"/>
      <c r="D942" s="338"/>
      <c r="E942" s="338"/>
      <c r="F942" s="337"/>
      <c r="G942" s="449"/>
      <c r="H942" s="449"/>
      <c r="I942" s="449"/>
      <c r="J942" s="449"/>
      <c r="K942" s="449"/>
      <c r="L942" s="449"/>
      <c r="M942" s="449"/>
      <c r="N942" s="449"/>
      <c r="O942" s="449"/>
      <c r="P942" s="449"/>
      <c r="Q942" s="449"/>
      <c r="R942" s="449"/>
      <c r="S942" s="449"/>
      <c r="T942" s="449"/>
      <c r="U942" s="449"/>
      <c r="V942" s="449"/>
      <c r="W942" s="449"/>
      <c r="X942" s="449"/>
      <c r="Y942" s="449"/>
      <c r="Z942" s="449"/>
      <c r="AA942" s="449"/>
      <c r="AB942" s="449"/>
    </row>
    <row r="943">
      <c r="A943" s="337"/>
      <c r="B943" s="338"/>
      <c r="C943" s="338"/>
      <c r="D943" s="338"/>
      <c r="E943" s="338"/>
      <c r="F943" s="337"/>
      <c r="G943" s="449"/>
      <c r="H943" s="449"/>
      <c r="I943" s="449"/>
      <c r="J943" s="449"/>
      <c r="K943" s="449"/>
      <c r="L943" s="449"/>
      <c r="M943" s="449"/>
      <c r="N943" s="449"/>
      <c r="O943" s="449"/>
      <c r="P943" s="449"/>
      <c r="Q943" s="449"/>
      <c r="R943" s="449"/>
      <c r="S943" s="449"/>
      <c r="T943" s="449"/>
      <c r="U943" s="449"/>
      <c r="V943" s="449"/>
      <c r="W943" s="449"/>
      <c r="X943" s="449"/>
      <c r="Y943" s="449"/>
      <c r="Z943" s="449"/>
      <c r="AA943" s="449"/>
      <c r="AB943" s="449"/>
    </row>
    <row r="944">
      <c r="A944" s="337"/>
      <c r="B944" s="338"/>
      <c r="C944" s="338"/>
      <c r="D944" s="338"/>
      <c r="E944" s="338"/>
      <c r="F944" s="337"/>
      <c r="G944" s="449"/>
      <c r="H944" s="449"/>
      <c r="I944" s="449"/>
      <c r="J944" s="449"/>
      <c r="K944" s="449"/>
      <c r="L944" s="449"/>
      <c r="M944" s="449"/>
      <c r="N944" s="449"/>
      <c r="O944" s="449"/>
      <c r="P944" s="449"/>
      <c r="Q944" s="449"/>
      <c r="R944" s="449"/>
      <c r="S944" s="449"/>
      <c r="T944" s="449"/>
      <c r="U944" s="449"/>
      <c r="V944" s="449"/>
      <c r="W944" s="449"/>
      <c r="X944" s="449"/>
      <c r="Y944" s="449"/>
      <c r="Z944" s="449"/>
      <c r="AA944" s="449"/>
      <c r="AB944" s="449"/>
    </row>
    <row r="945">
      <c r="A945" s="337"/>
      <c r="B945" s="338"/>
      <c r="C945" s="338"/>
      <c r="D945" s="338"/>
      <c r="E945" s="338"/>
      <c r="F945" s="337"/>
      <c r="G945" s="449"/>
      <c r="H945" s="449"/>
      <c r="I945" s="449"/>
      <c r="J945" s="449"/>
      <c r="K945" s="449"/>
      <c r="L945" s="449"/>
      <c r="M945" s="449"/>
      <c r="N945" s="449"/>
      <c r="O945" s="449"/>
      <c r="P945" s="449"/>
      <c r="Q945" s="449"/>
      <c r="R945" s="449"/>
      <c r="S945" s="449"/>
      <c r="T945" s="449"/>
      <c r="U945" s="449"/>
      <c r="V945" s="449"/>
      <c r="W945" s="449"/>
      <c r="X945" s="449"/>
      <c r="Y945" s="449"/>
      <c r="Z945" s="449"/>
      <c r="AA945" s="449"/>
      <c r="AB945" s="449"/>
    </row>
    <row r="946">
      <c r="A946" s="337"/>
      <c r="B946" s="338"/>
      <c r="C946" s="338"/>
      <c r="D946" s="338"/>
      <c r="E946" s="338"/>
      <c r="F946" s="337"/>
      <c r="G946" s="449"/>
      <c r="H946" s="449"/>
      <c r="I946" s="449"/>
      <c r="J946" s="449"/>
      <c r="K946" s="449"/>
      <c r="L946" s="449"/>
      <c r="M946" s="449"/>
      <c r="N946" s="449"/>
      <c r="O946" s="449"/>
      <c r="P946" s="449"/>
      <c r="Q946" s="449"/>
      <c r="R946" s="449"/>
      <c r="S946" s="449"/>
      <c r="T946" s="449"/>
      <c r="U946" s="449"/>
      <c r="V946" s="449"/>
      <c r="W946" s="449"/>
      <c r="X946" s="449"/>
      <c r="Y946" s="449"/>
      <c r="Z946" s="449"/>
      <c r="AA946" s="449"/>
      <c r="AB946" s="449"/>
    </row>
    <row r="947">
      <c r="A947" s="337"/>
      <c r="B947" s="338"/>
      <c r="C947" s="338"/>
      <c r="D947" s="338"/>
      <c r="E947" s="338"/>
      <c r="F947" s="337"/>
      <c r="G947" s="449"/>
      <c r="H947" s="449"/>
      <c r="I947" s="449"/>
      <c r="J947" s="449"/>
      <c r="K947" s="449"/>
      <c r="L947" s="449"/>
      <c r="M947" s="449"/>
      <c r="N947" s="449"/>
      <c r="O947" s="449"/>
      <c r="P947" s="449"/>
      <c r="Q947" s="449"/>
      <c r="R947" s="449"/>
      <c r="S947" s="449"/>
      <c r="T947" s="449"/>
      <c r="U947" s="449"/>
      <c r="V947" s="449"/>
      <c r="W947" s="449"/>
      <c r="X947" s="449"/>
      <c r="Y947" s="449"/>
      <c r="Z947" s="449"/>
      <c r="AA947" s="449"/>
      <c r="AB947" s="449"/>
    </row>
  </sheetData>
  <autoFilter ref="$A$1:$F$947"/>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D104"/>
    <hyperlink r:id="rId103" ref="E104"/>
    <hyperlink r:id="rId104" ref="D105"/>
    <hyperlink r:id="rId105" ref="E105"/>
    <hyperlink r:id="rId106" ref="E106"/>
    <hyperlink r:id="rId107" ref="E107"/>
    <hyperlink r:id="rId108" ref="E108"/>
    <hyperlink r:id="rId109" ref="E109"/>
    <hyperlink r:id="rId110" ref="E110"/>
    <hyperlink r:id="rId111" ref="E111"/>
    <hyperlink r:id="rId112" ref="E112"/>
    <hyperlink r:id="rId113" ref="E113"/>
    <hyperlink r:id="rId114" ref="D114"/>
    <hyperlink r:id="rId115" ref="E114"/>
    <hyperlink r:id="rId116" ref="D115"/>
    <hyperlink r:id="rId117" ref="E115"/>
    <hyperlink r:id="rId118" ref="D116"/>
    <hyperlink r:id="rId119" ref="E116"/>
    <hyperlink r:id="rId120" ref="D117"/>
    <hyperlink r:id="rId121" ref="E117"/>
    <hyperlink r:id="rId122" ref="D118"/>
    <hyperlink r:id="rId123" ref="E118"/>
    <hyperlink r:id="rId124" ref="D119"/>
    <hyperlink r:id="rId125" ref="E119"/>
    <hyperlink r:id="rId126" ref="D120"/>
    <hyperlink r:id="rId127" ref="E120"/>
    <hyperlink r:id="rId128" ref="D121"/>
    <hyperlink r:id="rId129" ref="E121"/>
    <hyperlink r:id="rId130" ref="D122"/>
    <hyperlink r:id="rId131" ref="E122"/>
    <hyperlink r:id="rId132" ref="D123"/>
    <hyperlink r:id="rId133" ref="E123"/>
    <hyperlink r:id="rId134" ref="D124"/>
    <hyperlink r:id="rId135" ref="E124"/>
    <hyperlink r:id="rId136" ref="D125"/>
    <hyperlink r:id="rId137" ref="E125"/>
    <hyperlink r:id="rId138" ref="D126"/>
    <hyperlink r:id="rId139" ref="E126"/>
    <hyperlink r:id="rId140" ref="D127"/>
    <hyperlink r:id="rId141" ref="E127"/>
    <hyperlink r:id="rId142" ref="D128"/>
    <hyperlink r:id="rId143" ref="E128"/>
    <hyperlink r:id="rId144" ref="D129"/>
    <hyperlink r:id="rId145" ref="E129"/>
    <hyperlink r:id="rId146" ref="D130"/>
    <hyperlink r:id="rId147" ref="E130"/>
    <hyperlink r:id="rId148" ref="D131"/>
    <hyperlink r:id="rId149" ref="E131"/>
    <hyperlink r:id="rId150" ref="D132"/>
    <hyperlink r:id="rId151" ref="E132"/>
    <hyperlink r:id="rId152" ref="D133"/>
    <hyperlink r:id="rId153" ref="E133"/>
    <hyperlink r:id="rId154" ref="D134"/>
    <hyperlink r:id="rId155" ref="E134"/>
    <hyperlink r:id="rId156" ref="D135"/>
    <hyperlink r:id="rId157" ref="E135"/>
    <hyperlink r:id="rId158" ref="D136"/>
    <hyperlink r:id="rId159" ref="E136"/>
    <hyperlink r:id="rId160" ref="D137"/>
    <hyperlink r:id="rId161" ref="E137"/>
    <hyperlink r:id="rId162" ref="D138"/>
    <hyperlink r:id="rId163" ref="E138"/>
    <hyperlink r:id="rId164" ref="D139"/>
    <hyperlink r:id="rId165" ref="E139"/>
    <hyperlink r:id="rId166" ref="D140"/>
    <hyperlink r:id="rId167" ref="E140"/>
    <hyperlink r:id="rId168" ref="D141"/>
    <hyperlink r:id="rId169" ref="E141"/>
    <hyperlink r:id="rId170" ref="D142"/>
    <hyperlink r:id="rId171" ref="E142"/>
    <hyperlink r:id="rId172" ref="D143"/>
    <hyperlink r:id="rId173" ref="E143"/>
    <hyperlink r:id="rId174" ref="D144"/>
    <hyperlink r:id="rId175" ref="E144"/>
    <hyperlink r:id="rId176" ref="D145"/>
    <hyperlink r:id="rId177" ref="E145"/>
    <hyperlink r:id="rId178" ref="D146"/>
    <hyperlink r:id="rId179" ref="E146"/>
    <hyperlink r:id="rId180" ref="D147"/>
    <hyperlink r:id="rId181" ref="E147"/>
    <hyperlink r:id="rId182" ref="D148"/>
    <hyperlink r:id="rId183" ref="E148"/>
    <hyperlink r:id="rId184" ref="D149"/>
    <hyperlink r:id="rId185" ref="E149"/>
    <hyperlink r:id="rId186" ref="D150"/>
    <hyperlink r:id="rId187" ref="E150"/>
    <hyperlink r:id="rId188" ref="D151"/>
    <hyperlink r:id="rId189" ref="E151"/>
    <hyperlink r:id="rId190" ref="D152"/>
    <hyperlink r:id="rId191" ref="E152"/>
    <hyperlink r:id="rId192" ref="D153"/>
    <hyperlink r:id="rId193" ref="E153"/>
    <hyperlink r:id="rId194" ref="D154"/>
    <hyperlink r:id="rId195" ref="E154"/>
    <hyperlink r:id="rId196" ref="D155"/>
    <hyperlink r:id="rId197" ref="E155"/>
    <hyperlink r:id="rId198" ref="D156"/>
    <hyperlink r:id="rId199" ref="E156"/>
    <hyperlink r:id="rId200" ref="D157"/>
    <hyperlink r:id="rId201" ref="E157"/>
    <hyperlink r:id="rId202" ref="D158"/>
    <hyperlink r:id="rId203" ref="E158"/>
    <hyperlink r:id="rId204" ref="D159"/>
    <hyperlink r:id="rId205" ref="E159"/>
    <hyperlink r:id="rId206" ref="D160"/>
    <hyperlink r:id="rId207" ref="E160"/>
    <hyperlink r:id="rId208" ref="D161"/>
    <hyperlink r:id="rId209" ref="E161"/>
    <hyperlink r:id="rId210" ref="D162"/>
    <hyperlink r:id="rId211" ref="E162"/>
    <hyperlink r:id="rId212" ref="D163"/>
    <hyperlink r:id="rId213" ref="E163"/>
    <hyperlink r:id="rId214" ref="D164"/>
    <hyperlink r:id="rId215" ref="E164"/>
    <hyperlink r:id="rId216" ref="D165"/>
    <hyperlink r:id="rId217" ref="E165"/>
    <hyperlink r:id="rId218" ref="D166"/>
    <hyperlink r:id="rId219" ref="E166"/>
    <hyperlink r:id="rId220" ref="D167"/>
    <hyperlink r:id="rId221" ref="E167"/>
    <hyperlink r:id="rId222" ref="D168"/>
    <hyperlink r:id="rId223" ref="E168"/>
    <hyperlink r:id="rId224" ref="D169"/>
    <hyperlink r:id="rId225" ref="E169"/>
    <hyperlink r:id="rId226" ref="D170"/>
    <hyperlink r:id="rId227" ref="E170"/>
    <hyperlink r:id="rId228" ref="D171"/>
    <hyperlink r:id="rId229" ref="E171"/>
    <hyperlink r:id="rId230" ref="D172"/>
    <hyperlink r:id="rId231" ref="E172"/>
    <hyperlink r:id="rId232" ref="D173"/>
    <hyperlink r:id="rId233" ref="E173"/>
    <hyperlink r:id="rId234" ref="D174"/>
    <hyperlink r:id="rId235" ref="E174"/>
    <hyperlink r:id="rId236" ref="D175"/>
    <hyperlink r:id="rId237" ref="E175"/>
    <hyperlink r:id="rId238" ref="D176"/>
    <hyperlink r:id="rId239" ref="E176"/>
    <hyperlink r:id="rId240" ref="D177"/>
    <hyperlink r:id="rId241" ref="E177"/>
    <hyperlink r:id="rId242" ref="D178"/>
    <hyperlink r:id="rId243" ref="E178"/>
    <hyperlink r:id="rId244" ref="D179"/>
    <hyperlink r:id="rId245" ref="E179"/>
    <hyperlink r:id="rId246" ref="D180"/>
    <hyperlink r:id="rId247" ref="E180"/>
    <hyperlink r:id="rId248" ref="D181"/>
    <hyperlink r:id="rId249" ref="E181"/>
    <hyperlink r:id="rId250" ref="D182"/>
    <hyperlink r:id="rId251" ref="E182"/>
    <hyperlink r:id="rId252" ref="D183"/>
    <hyperlink r:id="rId253" ref="E183"/>
    <hyperlink r:id="rId254" ref="D184"/>
    <hyperlink r:id="rId255" ref="E184"/>
    <hyperlink r:id="rId256" ref="D185"/>
    <hyperlink r:id="rId257" ref="E185"/>
    <hyperlink r:id="rId258" ref="D186"/>
    <hyperlink r:id="rId259" ref="E186"/>
    <hyperlink r:id="rId260" ref="D187"/>
    <hyperlink r:id="rId261" ref="E187"/>
    <hyperlink r:id="rId262" ref="D188"/>
    <hyperlink r:id="rId263" ref="E188"/>
    <hyperlink r:id="rId264" ref="D189"/>
    <hyperlink r:id="rId265" ref="E189"/>
    <hyperlink r:id="rId266" ref="D190"/>
    <hyperlink r:id="rId267" ref="E190"/>
    <hyperlink r:id="rId268" ref="D191"/>
    <hyperlink r:id="rId269" ref="E191"/>
    <hyperlink r:id="rId270" ref="D192"/>
    <hyperlink r:id="rId271" ref="E192"/>
    <hyperlink r:id="rId272" ref="D193"/>
    <hyperlink r:id="rId273" ref="E193"/>
    <hyperlink r:id="rId274" ref="D194"/>
    <hyperlink r:id="rId275" ref="E194"/>
    <hyperlink r:id="rId276" ref="D195"/>
    <hyperlink r:id="rId277" ref="E195"/>
    <hyperlink r:id="rId278" ref="D196"/>
    <hyperlink r:id="rId279" ref="E196"/>
    <hyperlink r:id="rId280" ref="D197"/>
    <hyperlink r:id="rId281" ref="E197"/>
    <hyperlink r:id="rId282" ref="D198"/>
    <hyperlink r:id="rId283" ref="E198"/>
    <hyperlink r:id="rId284" ref="D199"/>
    <hyperlink r:id="rId285" ref="E199"/>
    <hyperlink r:id="rId286" ref="D200"/>
    <hyperlink r:id="rId287" ref="E200"/>
    <hyperlink r:id="rId288" ref="D201"/>
    <hyperlink r:id="rId289" ref="E201"/>
    <hyperlink r:id="rId290" ref="D202"/>
    <hyperlink r:id="rId291" ref="E202"/>
    <hyperlink r:id="rId292" ref="D203"/>
    <hyperlink r:id="rId293" ref="E203"/>
  </hyperlinks>
  <drawing r:id="rId29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5.13"/>
    <col customWidth="1" min="3" max="3" width="64.63"/>
    <col customWidth="1" min="4" max="4" width="17.38"/>
    <col customWidth="1" min="5" max="5" width="17.25"/>
  </cols>
  <sheetData>
    <row r="1">
      <c r="A1" s="470" t="s">
        <v>1047</v>
      </c>
      <c r="B1" s="471" t="s">
        <v>50</v>
      </c>
      <c r="C1" s="470" t="s">
        <v>51</v>
      </c>
      <c r="D1" s="470" t="s">
        <v>54</v>
      </c>
      <c r="E1" s="470" t="s">
        <v>55</v>
      </c>
      <c r="F1" s="470" t="s">
        <v>56</v>
      </c>
    </row>
    <row r="2">
      <c r="A2" s="472">
        <v>44197.0</v>
      </c>
      <c r="B2" s="22" t="s">
        <v>24</v>
      </c>
      <c r="C2" s="473" t="s">
        <v>2187</v>
      </c>
      <c r="D2" s="14" t="s">
        <v>2188</v>
      </c>
      <c r="E2" s="14" t="s">
        <v>2189</v>
      </c>
      <c r="F2" s="14" t="s">
        <v>339</v>
      </c>
    </row>
    <row r="3">
      <c r="A3" s="472">
        <v>44256.0</v>
      </c>
      <c r="B3" s="22" t="s">
        <v>24</v>
      </c>
      <c r="C3" s="473" t="s">
        <v>2187</v>
      </c>
      <c r="D3" s="14" t="s">
        <v>2188</v>
      </c>
      <c r="E3" s="14" t="s">
        <v>2189</v>
      </c>
      <c r="F3" s="14" t="s">
        <v>339</v>
      </c>
    </row>
    <row r="4">
      <c r="A4" s="472">
        <v>44308.0</v>
      </c>
      <c r="B4" s="22" t="s">
        <v>17</v>
      </c>
      <c r="C4" s="474" t="s">
        <v>2190</v>
      </c>
      <c r="D4" s="14" t="s">
        <v>2191</v>
      </c>
      <c r="E4" s="104" t="s">
        <v>2192</v>
      </c>
      <c r="F4" s="14" t="s">
        <v>339</v>
      </c>
    </row>
    <row r="5">
      <c r="A5" s="472">
        <v>44308.0</v>
      </c>
      <c r="B5" s="22" t="s">
        <v>11</v>
      </c>
      <c r="C5" s="473" t="s">
        <v>2193</v>
      </c>
      <c r="D5" s="14" t="s">
        <v>2194</v>
      </c>
      <c r="E5" s="104" t="s">
        <v>2195</v>
      </c>
      <c r="F5" s="14" t="s">
        <v>339</v>
      </c>
    </row>
    <row r="6">
      <c r="A6" s="472">
        <v>44308.0</v>
      </c>
      <c r="B6" s="22" t="s">
        <v>17</v>
      </c>
      <c r="C6" s="473" t="s">
        <v>2196</v>
      </c>
      <c r="D6" s="14" t="s">
        <v>2194</v>
      </c>
      <c r="E6" s="104" t="s">
        <v>2197</v>
      </c>
      <c r="F6" s="14" t="s">
        <v>339</v>
      </c>
    </row>
    <row r="7">
      <c r="A7" s="472">
        <v>44321.0</v>
      </c>
      <c r="B7" s="22" t="s">
        <v>17</v>
      </c>
      <c r="C7" s="473" t="s">
        <v>2198</v>
      </c>
      <c r="D7" s="14" t="s">
        <v>2199</v>
      </c>
      <c r="E7" s="104" t="s">
        <v>2200</v>
      </c>
      <c r="F7" s="14" t="s">
        <v>339</v>
      </c>
    </row>
    <row r="8">
      <c r="A8" s="472">
        <v>44321.0</v>
      </c>
      <c r="B8" s="22" t="s">
        <v>24</v>
      </c>
      <c r="C8" s="473" t="s">
        <v>2187</v>
      </c>
      <c r="D8" s="14" t="s">
        <v>2188</v>
      </c>
      <c r="E8" s="14" t="s">
        <v>2189</v>
      </c>
      <c r="F8" s="14" t="s">
        <v>339</v>
      </c>
    </row>
    <row r="9">
      <c r="A9" s="472">
        <v>44378.0</v>
      </c>
      <c r="B9" s="22" t="s">
        <v>24</v>
      </c>
      <c r="C9" s="473" t="s">
        <v>2187</v>
      </c>
      <c r="D9" s="14" t="s">
        <v>2188</v>
      </c>
      <c r="E9" s="14" t="s">
        <v>2189</v>
      </c>
      <c r="F9" s="14" t="s">
        <v>339</v>
      </c>
    </row>
    <row r="10">
      <c r="A10" s="472">
        <v>44411.0</v>
      </c>
      <c r="B10" s="22" t="s">
        <v>11</v>
      </c>
      <c r="C10" s="473" t="s">
        <v>2201</v>
      </c>
      <c r="D10" s="14" t="s">
        <v>2202</v>
      </c>
      <c r="E10" s="104" t="s">
        <v>2203</v>
      </c>
      <c r="F10" s="14" t="s">
        <v>339</v>
      </c>
    </row>
    <row r="11">
      <c r="A11" s="472">
        <v>44411.0</v>
      </c>
      <c r="B11" s="22" t="s">
        <v>11</v>
      </c>
      <c r="C11" s="473" t="s">
        <v>1729</v>
      </c>
      <c r="D11" s="14" t="s">
        <v>2204</v>
      </c>
      <c r="E11" s="104" t="s">
        <v>2205</v>
      </c>
      <c r="F11" s="14" t="s">
        <v>339</v>
      </c>
    </row>
    <row r="12">
      <c r="A12" s="472">
        <v>44411.0</v>
      </c>
      <c r="B12" s="22" t="s">
        <v>11</v>
      </c>
      <c r="C12" s="473" t="s">
        <v>2193</v>
      </c>
      <c r="D12" s="14" t="s">
        <v>2206</v>
      </c>
      <c r="E12" s="104" t="s">
        <v>2207</v>
      </c>
      <c r="F12" s="14" t="s">
        <v>339</v>
      </c>
    </row>
    <row r="13">
      <c r="A13" s="472">
        <v>44440.0</v>
      </c>
      <c r="B13" s="22" t="s">
        <v>24</v>
      </c>
      <c r="C13" s="473" t="s">
        <v>2187</v>
      </c>
      <c r="D13" s="14" t="s">
        <v>2188</v>
      </c>
      <c r="E13" s="14" t="s">
        <v>2189</v>
      </c>
      <c r="F13" s="14" t="s">
        <v>339</v>
      </c>
    </row>
    <row r="14">
      <c r="A14" s="472">
        <v>44501.0</v>
      </c>
      <c r="B14" s="22" t="s">
        <v>24</v>
      </c>
      <c r="C14" s="473" t="s">
        <v>2187</v>
      </c>
      <c r="D14" s="14" t="s">
        <v>2188</v>
      </c>
      <c r="E14" s="14" t="s">
        <v>2189</v>
      </c>
      <c r="F14" s="14" t="s">
        <v>339</v>
      </c>
    </row>
    <row r="15">
      <c r="A15" s="472">
        <v>44440.0</v>
      </c>
      <c r="B15" s="22" t="s">
        <v>24</v>
      </c>
      <c r="C15" s="473" t="s">
        <v>2187</v>
      </c>
      <c r="D15" s="14" t="s">
        <v>2208</v>
      </c>
      <c r="E15" s="14" t="s">
        <v>2189</v>
      </c>
      <c r="F15" s="14" t="s">
        <v>2209</v>
      </c>
    </row>
    <row r="16">
      <c r="A16" s="472">
        <v>44487.0</v>
      </c>
      <c r="B16" s="22" t="s">
        <v>11</v>
      </c>
      <c r="C16" s="473" t="s">
        <v>2201</v>
      </c>
      <c r="D16" s="475" t="s">
        <v>2210</v>
      </c>
      <c r="E16" s="476" t="s">
        <v>2211</v>
      </c>
      <c r="F16" s="14" t="s">
        <v>339</v>
      </c>
    </row>
    <row r="17">
      <c r="A17" s="472">
        <v>44487.0</v>
      </c>
      <c r="B17" s="22" t="s">
        <v>17</v>
      </c>
      <c r="C17" s="473" t="s">
        <v>2212</v>
      </c>
      <c r="D17" s="475" t="s">
        <v>2210</v>
      </c>
      <c r="E17" s="476" t="s">
        <v>2213</v>
      </c>
      <c r="F17" s="14" t="s">
        <v>339</v>
      </c>
    </row>
    <row r="18">
      <c r="A18" s="472">
        <v>44488.0</v>
      </c>
      <c r="B18" s="22" t="s">
        <v>17</v>
      </c>
      <c r="C18" s="473" t="s">
        <v>2214</v>
      </c>
      <c r="D18" s="14" t="s">
        <v>2215</v>
      </c>
      <c r="E18" s="476" t="s">
        <v>2216</v>
      </c>
      <c r="F18" s="14" t="s">
        <v>339</v>
      </c>
    </row>
    <row r="19">
      <c r="A19" s="472">
        <v>44488.0</v>
      </c>
      <c r="B19" s="22" t="s">
        <v>11</v>
      </c>
      <c r="C19" s="473" t="s">
        <v>1724</v>
      </c>
      <c r="D19" s="14" t="s">
        <v>2215</v>
      </c>
      <c r="E19" s="104" t="s">
        <v>2217</v>
      </c>
      <c r="F19" s="14" t="s">
        <v>339</v>
      </c>
    </row>
    <row r="20">
      <c r="A20" s="472">
        <v>44488.0</v>
      </c>
      <c r="B20" s="22" t="s">
        <v>11</v>
      </c>
      <c r="C20" s="473" t="s">
        <v>2201</v>
      </c>
      <c r="D20" s="14" t="s">
        <v>2215</v>
      </c>
      <c r="E20" s="476" t="s">
        <v>2218</v>
      </c>
      <c r="F20" s="14" t="s">
        <v>339</v>
      </c>
    </row>
    <row r="21">
      <c r="A21" s="472">
        <v>44489.0</v>
      </c>
      <c r="B21" s="22" t="s">
        <v>11</v>
      </c>
      <c r="C21" s="473" t="s">
        <v>68</v>
      </c>
      <c r="D21" s="14" t="s">
        <v>2219</v>
      </c>
      <c r="E21" s="104" t="s">
        <v>2220</v>
      </c>
      <c r="F21" s="14" t="s">
        <v>726</v>
      </c>
    </row>
    <row r="22">
      <c r="A22" s="472">
        <v>44489.0</v>
      </c>
      <c r="B22" s="22" t="s">
        <v>11</v>
      </c>
      <c r="C22" s="473" t="s">
        <v>2201</v>
      </c>
      <c r="D22" s="14" t="s">
        <v>2221</v>
      </c>
      <c r="E22" s="476" t="s">
        <v>2222</v>
      </c>
      <c r="F22" s="14" t="s">
        <v>726</v>
      </c>
    </row>
    <row r="23">
      <c r="A23" s="472">
        <v>44489.0</v>
      </c>
      <c r="B23" s="22" t="s">
        <v>17</v>
      </c>
      <c r="C23" s="473" t="s">
        <v>2223</v>
      </c>
      <c r="D23" s="14" t="s">
        <v>2221</v>
      </c>
      <c r="E23" s="104" t="s">
        <v>2224</v>
      </c>
      <c r="F23" s="14" t="s">
        <v>726</v>
      </c>
    </row>
    <row r="24">
      <c r="A24" s="472">
        <v>44489.0</v>
      </c>
      <c r="B24" s="22" t="s">
        <v>17</v>
      </c>
      <c r="C24" s="473" t="s">
        <v>2225</v>
      </c>
      <c r="D24" s="14" t="s">
        <v>2226</v>
      </c>
      <c r="E24" s="476" t="s">
        <v>2227</v>
      </c>
      <c r="F24" s="14" t="s">
        <v>726</v>
      </c>
    </row>
    <row r="25">
      <c r="A25" s="472">
        <v>44489.0</v>
      </c>
      <c r="B25" s="22" t="s">
        <v>11</v>
      </c>
      <c r="C25" s="473" t="s">
        <v>77</v>
      </c>
      <c r="D25" s="14" t="s">
        <v>2228</v>
      </c>
      <c r="E25" s="476" t="s">
        <v>2229</v>
      </c>
      <c r="F25" s="14" t="s">
        <v>339</v>
      </c>
    </row>
    <row r="26">
      <c r="A26" s="472">
        <v>44490.0</v>
      </c>
      <c r="B26" s="22" t="s">
        <v>11</v>
      </c>
      <c r="C26" s="473" t="s">
        <v>374</v>
      </c>
      <c r="D26" s="477" t="s">
        <v>2230</v>
      </c>
      <c r="E26" s="104" t="s">
        <v>2231</v>
      </c>
      <c r="F26" s="14" t="s">
        <v>339</v>
      </c>
    </row>
    <row r="27">
      <c r="A27" s="472">
        <v>44493.0</v>
      </c>
      <c r="B27" s="22" t="s">
        <v>11</v>
      </c>
      <c r="C27" s="473" t="s">
        <v>58</v>
      </c>
      <c r="D27" s="14" t="s">
        <v>2232</v>
      </c>
      <c r="E27" s="104" t="s">
        <v>2233</v>
      </c>
      <c r="F27" s="14" t="s">
        <v>339</v>
      </c>
    </row>
    <row r="28">
      <c r="A28" s="472">
        <v>44503.0</v>
      </c>
      <c r="B28" s="22" t="s">
        <v>11</v>
      </c>
      <c r="C28" s="473" t="s">
        <v>1729</v>
      </c>
      <c r="D28" s="14" t="s">
        <v>2234</v>
      </c>
      <c r="E28" s="67" t="s">
        <v>2235</v>
      </c>
      <c r="F28" s="14" t="s">
        <v>339</v>
      </c>
    </row>
    <row r="29">
      <c r="A29" s="472">
        <v>44504.0</v>
      </c>
      <c r="B29" s="22" t="s">
        <v>11</v>
      </c>
      <c r="C29" s="473" t="s">
        <v>68</v>
      </c>
      <c r="D29" s="14" t="s">
        <v>2236</v>
      </c>
      <c r="E29" s="104" t="s">
        <v>2237</v>
      </c>
      <c r="F29" s="14" t="s">
        <v>339</v>
      </c>
    </row>
    <row r="30">
      <c r="A30" s="472">
        <v>44503.0</v>
      </c>
      <c r="B30" s="22" t="s">
        <v>17</v>
      </c>
      <c r="C30" s="473" t="s">
        <v>2214</v>
      </c>
      <c r="D30" s="14" t="s">
        <v>2238</v>
      </c>
      <c r="E30" s="104" t="s">
        <v>2239</v>
      </c>
      <c r="F30" s="14" t="s">
        <v>339</v>
      </c>
    </row>
    <row r="31">
      <c r="A31" s="472">
        <v>44503.0</v>
      </c>
      <c r="B31" s="22" t="s">
        <v>17</v>
      </c>
      <c r="C31" s="473" t="s">
        <v>2212</v>
      </c>
      <c r="D31" s="14" t="s">
        <v>2238</v>
      </c>
      <c r="E31" s="104" t="s">
        <v>2240</v>
      </c>
      <c r="F31" s="14" t="s">
        <v>339</v>
      </c>
    </row>
    <row r="32">
      <c r="A32" s="472">
        <v>44503.0</v>
      </c>
      <c r="B32" s="22" t="s">
        <v>11</v>
      </c>
      <c r="C32" s="473" t="s">
        <v>2201</v>
      </c>
      <c r="D32" s="14" t="s">
        <v>2241</v>
      </c>
      <c r="E32" s="104" t="s">
        <v>2242</v>
      </c>
      <c r="F32" s="14" t="s">
        <v>339</v>
      </c>
    </row>
    <row r="33">
      <c r="A33" s="472">
        <v>44504.0</v>
      </c>
      <c r="B33" s="22" t="s">
        <v>11</v>
      </c>
      <c r="C33" s="473" t="s">
        <v>2243</v>
      </c>
      <c r="D33" s="14" t="s">
        <v>2244</v>
      </c>
      <c r="E33" s="104" t="s">
        <v>2245</v>
      </c>
      <c r="F33" s="14" t="s">
        <v>2209</v>
      </c>
    </row>
    <row r="34">
      <c r="A34" s="472">
        <v>44506.0</v>
      </c>
      <c r="B34" s="22" t="s">
        <v>11</v>
      </c>
      <c r="C34" s="473" t="s">
        <v>1732</v>
      </c>
      <c r="D34" s="9"/>
      <c r="E34" s="476" t="s">
        <v>2246</v>
      </c>
      <c r="F34" s="14" t="s">
        <v>339</v>
      </c>
    </row>
    <row r="35">
      <c r="A35" s="472">
        <v>44506.0</v>
      </c>
      <c r="B35" s="22" t="s">
        <v>11</v>
      </c>
      <c r="C35" s="473" t="s">
        <v>2247</v>
      </c>
      <c r="D35" s="14" t="s">
        <v>2248</v>
      </c>
      <c r="E35" s="14" t="s">
        <v>2249</v>
      </c>
      <c r="F35" s="14" t="s">
        <v>339</v>
      </c>
    </row>
    <row r="36">
      <c r="A36" s="472">
        <v>44507.0</v>
      </c>
      <c r="B36" s="22" t="s">
        <v>11</v>
      </c>
      <c r="C36" s="473" t="s">
        <v>68</v>
      </c>
      <c r="D36" s="14" t="s">
        <v>2236</v>
      </c>
      <c r="E36" s="104" t="s">
        <v>2237</v>
      </c>
      <c r="F36" s="14" t="s">
        <v>339</v>
      </c>
    </row>
    <row r="37">
      <c r="A37" s="472">
        <v>44508.0</v>
      </c>
      <c r="B37" s="22" t="s">
        <v>17</v>
      </c>
      <c r="C37" s="473" t="s">
        <v>2250</v>
      </c>
      <c r="D37" s="14"/>
      <c r="E37" s="104" t="s">
        <v>2251</v>
      </c>
      <c r="F37" s="14" t="s">
        <v>339</v>
      </c>
    </row>
    <row r="38">
      <c r="A38" s="472">
        <v>44509.0</v>
      </c>
      <c r="B38" s="22" t="s">
        <v>17</v>
      </c>
      <c r="C38" s="473" t="s">
        <v>292</v>
      </c>
      <c r="D38" s="14"/>
      <c r="E38" s="104" t="s">
        <v>2252</v>
      </c>
      <c r="F38" s="14" t="s">
        <v>339</v>
      </c>
    </row>
    <row r="39">
      <c r="A39" s="472">
        <v>44509.0</v>
      </c>
      <c r="B39" s="22" t="s">
        <v>17</v>
      </c>
      <c r="C39" s="473" t="s">
        <v>2253</v>
      </c>
      <c r="D39" s="14"/>
      <c r="E39" s="104" t="s">
        <v>2254</v>
      </c>
      <c r="F39" s="14" t="s">
        <v>339</v>
      </c>
    </row>
    <row r="40">
      <c r="A40" s="2"/>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sheetData>
  <autoFilter ref="$B$1:$F$39"/>
  <hyperlinks>
    <hyperlink r:id="rId1" ref="C4"/>
    <hyperlink r:id="rId2" ref="E4"/>
    <hyperlink r:id="rId3" ref="E5"/>
    <hyperlink r:id="rId4" ref="E6"/>
    <hyperlink r:id="rId5" ref="E7"/>
    <hyperlink r:id="rId6" ref="E10"/>
    <hyperlink r:id="rId7" ref="E11"/>
    <hyperlink r:id="rId8" ref="E12"/>
    <hyperlink r:id="rId9" ref="E16"/>
    <hyperlink r:id="rId10" ref="E17"/>
    <hyperlink r:id="rId11" ref="E18"/>
    <hyperlink r:id="rId12" ref="E19"/>
    <hyperlink r:id="rId13" ref="E20"/>
    <hyperlink r:id="rId14" ref="E21"/>
    <hyperlink r:id="rId15" ref="E22"/>
    <hyperlink r:id="rId16" ref="E23"/>
    <hyperlink r:id="rId17" ref="E24"/>
    <hyperlink r:id="rId18" ref="E25"/>
    <hyperlink r:id="rId19" ref="E26"/>
    <hyperlink r:id="rId20" ref="E27"/>
    <hyperlink r:id="rId21" ref="E28"/>
    <hyperlink r:id="rId22" ref="E29"/>
    <hyperlink r:id="rId23" ref="E30"/>
    <hyperlink r:id="rId24" ref="E31"/>
    <hyperlink r:id="rId25" ref="E32"/>
    <hyperlink r:id="rId26" ref="E33"/>
    <hyperlink r:id="rId27" ref="E34"/>
    <hyperlink r:id="rId28" ref="E36"/>
    <hyperlink r:id="rId29" ref="E37"/>
    <hyperlink r:id="rId30" ref="E38"/>
    <hyperlink r:id="rId31" ref="E39"/>
  </hyperlinks>
  <drawing r:id="rId3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4.38"/>
    <col customWidth="1" min="3" max="3" width="25.63"/>
    <col customWidth="1" min="4" max="4" width="11.75"/>
    <col customWidth="1" min="5" max="5" width="12.5"/>
    <col customWidth="1" min="6" max="6" width="54.38"/>
    <col customWidth="1" min="7" max="7" width="47.25"/>
    <col customWidth="1" min="8" max="8" width="22.5"/>
  </cols>
  <sheetData>
    <row r="1" ht="21.0" customHeight="1">
      <c r="A1" s="32" t="s">
        <v>1047</v>
      </c>
      <c r="B1" s="32" t="s">
        <v>50</v>
      </c>
      <c r="C1" s="33" t="s">
        <v>51</v>
      </c>
      <c r="D1" s="34" t="s">
        <v>52</v>
      </c>
      <c r="E1" s="35" t="s">
        <v>53</v>
      </c>
      <c r="F1" s="36" t="s">
        <v>54</v>
      </c>
      <c r="G1" s="36" t="s">
        <v>55</v>
      </c>
      <c r="H1" s="37" t="s">
        <v>56</v>
      </c>
    </row>
    <row r="2">
      <c r="A2" s="38">
        <v>45294.0</v>
      </c>
      <c r="B2" s="45" t="s">
        <v>11</v>
      </c>
      <c r="C2" s="40" t="s">
        <v>68</v>
      </c>
      <c r="D2" s="41">
        <v>3000.0</v>
      </c>
      <c r="E2" s="42">
        <v>40000.0</v>
      </c>
      <c r="F2" s="43" t="s">
        <v>2255</v>
      </c>
      <c r="G2" s="44" t="s">
        <v>2256</v>
      </c>
      <c r="H2" s="152" t="s">
        <v>339</v>
      </c>
    </row>
    <row r="3">
      <c r="A3" s="38">
        <v>45299.0</v>
      </c>
      <c r="B3" s="45" t="s">
        <v>11</v>
      </c>
      <c r="C3" s="40" t="s">
        <v>77</v>
      </c>
      <c r="D3" s="283">
        <v>9500.0</v>
      </c>
      <c r="E3" s="284">
        <v>250000.0</v>
      </c>
      <c r="F3" s="43" t="s">
        <v>2257</v>
      </c>
      <c r="G3" s="46" t="s">
        <v>2258</v>
      </c>
      <c r="H3" s="45" t="s">
        <v>339</v>
      </c>
    </row>
    <row r="4" ht="16.5" hidden="1" customHeight="1">
      <c r="A4" s="38">
        <v>45301.0</v>
      </c>
      <c r="B4" s="45" t="s">
        <v>17</v>
      </c>
      <c r="C4" s="226" t="s">
        <v>2259</v>
      </c>
      <c r="D4" s="226"/>
      <c r="E4" s="226"/>
      <c r="F4" s="48" t="s">
        <v>420</v>
      </c>
      <c r="G4" s="49" t="s">
        <v>2260</v>
      </c>
      <c r="H4" s="45" t="s">
        <v>339</v>
      </c>
    </row>
    <row r="5" hidden="1">
      <c r="A5" s="38">
        <v>45303.0</v>
      </c>
      <c r="B5" s="47" t="s">
        <v>17</v>
      </c>
      <c r="C5" s="40" t="s">
        <v>2261</v>
      </c>
      <c r="D5" s="40"/>
      <c r="E5" s="40"/>
      <c r="F5" s="43" t="s">
        <v>2262</v>
      </c>
      <c r="G5" s="50" t="s">
        <v>2263</v>
      </c>
      <c r="H5" s="152" t="s">
        <v>339</v>
      </c>
    </row>
    <row r="6">
      <c r="A6" s="38">
        <v>45303.0</v>
      </c>
      <c r="B6" s="45" t="s">
        <v>5</v>
      </c>
      <c r="C6" s="40" t="s">
        <v>1573</v>
      </c>
      <c r="D6" s="267">
        <v>10000.0</v>
      </c>
      <c r="E6" s="267">
        <v>1500000.0</v>
      </c>
      <c r="F6" s="43" t="s">
        <v>2264</v>
      </c>
      <c r="G6" s="44" t="s">
        <v>2265</v>
      </c>
      <c r="H6" s="152" t="s">
        <v>339</v>
      </c>
    </row>
    <row r="7">
      <c r="A7" s="38">
        <v>45306.0</v>
      </c>
      <c r="B7" s="45" t="s">
        <v>11</v>
      </c>
      <c r="C7" s="40" t="s">
        <v>71</v>
      </c>
      <c r="D7" s="51">
        <v>1000.0</v>
      </c>
      <c r="E7" s="42">
        <v>100000.0</v>
      </c>
      <c r="F7" s="43" t="s">
        <v>2266</v>
      </c>
      <c r="G7" s="140" t="s">
        <v>2267</v>
      </c>
      <c r="H7" s="152" t="s">
        <v>339</v>
      </c>
    </row>
    <row r="8" hidden="1">
      <c r="A8" s="38">
        <v>45306.0</v>
      </c>
      <c r="B8" s="45" t="s">
        <v>17</v>
      </c>
      <c r="C8" s="40" t="s">
        <v>2268</v>
      </c>
      <c r="D8" s="40"/>
      <c r="E8" s="40"/>
      <c r="F8" s="43" t="s">
        <v>2269</v>
      </c>
      <c r="G8" s="44" t="s">
        <v>2270</v>
      </c>
      <c r="H8" s="152" t="s">
        <v>339</v>
      </c>
    </row>
    <row r="9" hidden="1">
      <c r="A9" s="38">
        <v>45307.0</v>
      </c>
      <c r="B9" s="45" t="s">
        <v>17</v>
      </c>
      <c r="C9" s="107" t="s">
        <v>2271</v>
      </c>
      <c r="D9" s="54"/>
      <c r="E9" s="54"/>
      <c r="F9" s="43" t="s">
        <v>2272</v>
      </c>
      <c r="G9" s="50" t="s">
        <v>2273</v>
      </c>
      <c r="H9" s="152" t="s">
        <v>339</v>
      </c>
    </row>
    <row r="10" hidden="1">
      <c r="A10" s="38">
        <v>45308.0</v>
      </c>
      <c r="B10" s="45" t="s">
        <v>17</v>
      </c>
      <c r="C10" s="226" t="s">
        <v>2259</v>
      </c>
      <c r="D10" s="226"/>
      <c r="E10" s="226"/>
      <c r="F10" s="43" t="s">
        <v>2274</v>
      </c>
      <c r="G10" s="44" t="s">
        <v>2275</v>
      </c>
      <c r="H10" s="152" t="s">
        <v>339</v>
      </c>
    </row>
    <row r="11">
      <c r="A11" s="38">
        <v>45309.0</v>
      </c>
      <c r="B11" s="45" t="s">
        <v>11</v>
      </c>
      <c r="C11" s="40" t="s">
        <v>58</v>
      </c>
      <c r="D11" s="41">
        <v>2200.0</v>
      </c>
      <c r="E11" s="42">
        <v>500000.0</v>
      </c>
      <c r="F11" s="43" t="s">
        <v>2276</v>
      </c>
      <c r="G11" s="50" t="s">
        <v>2277</v>
      </c>
      <c r="H11" s="152" t="s">
        <v>339</v>
      </c>
    </row>
    <row r="12">
      <c r="A12" s="38">
        <v>45310.0</v>
      </c>
      <c r="B12" s="45" t="s">
        <v>11</v>
      </c>
      <c r="C12" s="40" t="s">
        <v>71</v>
      </c>
      <c r="D12" s="51">
        <v>1000.0</v>
      </c>
      <c r="E12" s="42">
        <v>100000.0</v>
      </c>
      <c r="F12" s="43" t="s">
        <v>2276</v>
      </c>
      <c r="G12" s="50" t="s">
        <v>2278</v>
      </c>
      <c r="H12" s="152" t="s">
        <v>339</v>
      </c>
    </row>
    <row r="13">
      <c r="A13" s="38">
        <v>45311.0</v>
      </c>
      <c r="B13" s="45" t="s">
        <v>11</v>
      </c>
      <c r="C13" s="40" t="s">
        <v>77</v>
      </c>
      <c r="D13" s="283">
        <v>9500.0</v>
      </c>
      <c r="E13" s="284">
        <v>250000.0</v>
      </c>
      <c r="F13" s="43" t="s">
        <v>2279</v>
      </c>
      <c r="G13" s="50" t="s">
        <v>2280</v>
      </c>
      <c r="H13" s="152" t="s">
        <v>339</v>
      </c>
    </row>
    <row r="14" hidden="1">
      <c r="A14" s="38">
        <v>45312.0</v>
      </c>
      <c r="B14" s="45" t="s">
        <v>17</v>
      </c>
      <c r="C14" s="172" t="s">
        <v>1350</v>
      </c>
      <c r="D14" s="172"/>
      <c r="E14" s="172"/>
      <c r="F14" s="43" t="s">
        <v>2281</v>
      </c>
      <c r="G14" s="44" t="s">
        <v>2282</v>
      </c>
      <c r="H14" s="152" t="s">
        <v>339</v>
      </c>
    </row>
    <row r="15">
      <c r="A15" s="38">
        <v>45313.0</v>
      </c>
      <c r="B15" s="45" t="s">
        <v>11</v>
      </c>
      <c r="C15" s="40" t="s">
        <v>137</v>
      </c>
      <c r="D15" s="159">
        <v>9300.0</v>
      </c>
      <c r="E15" s="153">
        <v>200000.0</v>
      </c>
      <c r="F15" s="362" t="s">
        <v>2283</v>
      </c>
      <c r="G15" s="50" t="s">
        <v>2284</v>
      </c>
      <c r="H15" s="152" t="s">
        <v>339</v>
      </c>
    </row>
    <row r="16">
      <c r="A16" s="38">
        <v>45313.0</v>
      </c>
      <c r="B16" s="45" t="s">
        <v>11</v>
      </c>
      <c r="C16" s="40" t="s">
        <v>71</v>
      </c>
      <c r="D16" s="51">
        <v>1000.0</v>
      </c>
      <c r="E16" s="42">
        <v>100000.0</v>
      </c>
      <c r="F16" s="43" t="s">
        <v>2285</v>
      </c>
      <c r="G16" s="50" t="s">
        <v>2286</v>
      </c>
      <c r="H16" s="152" t="s">
        <v>339</v>
      </c>
    </row>
    <row r="17" hidden="1">
      <c r="A17" s="38">
        <v>45313.0</v>
      </c>
      <c r="B17" s="45" t="s">
        <v>17</v>
      </c>
      <c r="C17" s="40" t="s">
        <v>2287</v>
      </c>
      <c r="D17" s="40"/>
      <c r="E17" s="40"/>
      <c r="F17" s="43" t="s">
        <v>2288</v>
      </c>
      <c r="G17" s="50" t="s">
        <v>2289</v>
      </c>
      <c r="H17" s="152" t="s">
        <v>339</v>
      </c>
    </row>
    <row r="18" hidden="1">
      <c r="A18" s="38">
        <v>45313.0</v>
      </c>
      <c r="B18" s="45" t="s">
        <v>17</v>
      </c>
      <c r="C18" s="40" t="s">
        <v>2290</v>
      </c>
      <c r="D18" s="40"/>
      <c r="E18" s="40"/>
      <c r="F18" s="43" t="s">
        <v>2291</v>
      </c>
      <c r="G18" s="174" t="s">
        <v>2292</v>
      </c>
      <c r="H18" s="152" t="s">
        <v>339</v>
      </c>
    </row>
    <row r="19">
      <c r="A19" s="38">
        <v>45313.0</v>
      </c>
      <c r="B19" s="45" t="s">
        <v>11</v>
      </c>
      <c r="C19" s="40" t="s">
        <v>137</v>
      </c>
      <c r="D19" s="159">
        <v>9300.0</v>
      </c>
      <c r="E19" s="153">
        <v>200000.0</v>
      </c>
      <c r="F19" s="43" t="s">
        <v>2293</v>
      </c>
      <c r="G19" s="50" t="s">
        <v>2294</v>
      </c>
      <c r="H19" s="152" t="s">
        <v>339</v>
      </c>
    </row>
    <row r="20">
      <c r="A20" s="38">
        <v>45315.0</v>
      </c>
      <c r="B20" s="45" t="s">
        <v>11</v>
      </c>
      <c r="C20" s="40" t="s">
        <v>137</v>
      </c>
      <c r="D20" s="159">
        <v>9300.0</v>
      </c>
      <c r="E20" s="153">
        <v>200000.0</v>
      </c>
      <c r="F20" s="43" t="s">
        <v>2295</v>
      </c>
      <c r="G20" s="50" t="s">
        <v>2296</v>
      </c>
      <c r="H20" s="152" t="s">
        <v>339</v>
      </c>
    </row>
    <row r="21">
      <c r="A21" s="38">
        <v>45315.0</v>
      </c>
      <c r="B21" s="45" t="s">
        <v>11</v>
      </c>
      <c r="C21" s="40" t="s">
        <v>137</v>
      </c>
      <c r="D21" s="159">
        <v>9300.0</v>
      </c>
      <c r="E21" s="153">
        <v>200000.0</v>
      </c>
      <c r="F21" s="43" t="s">
        <v>2297</v>
      </c>
      <c r="G21" s="44" t="s">
        <v>2298</v>
      </c>
      <c r="H21" s="152" t="s">
        <v>339</v>
      </c>
    </row>
    <row r="22">
      <c r="A22" s="38">
        <v>45315.0</v>
      </c>
      <c r="B22" s="45" t="s">
        <v>11</v>
      </c>
      <c r="C22" s="40" t="s">
        <v>789</v>
      </c>
      <c r="D22" s="45"/>
      <c r="E22" s="45"/>
      <c r="F22" s="43" t="s">
        <v>2299</v>
      </c>
      <c r="G22" s="174" t="s">
        <v>2300</v>
      </c>
      <c r="H22" s="152" t="s">
        <v>339</v>
      </c>
    </row>
    <row r="23" hidden="1">
      <c r="A23" s="38">
        <v>45317.0</v>
      </c>
      <c r="B23" s="45" t="s">
        <v>17</v>
      </c>
      <c r="C23" s="107" t="s">
        <v>2301</v>
      </c>
      <c r="D23" s="54"/>
      <c r="E23" s="54"/>
      <c r="F23" s="43" t="s">
        <v>2302</v>
      </c>
      <c r="G23" s="44" t="s">
        <v>2303</v>
      </c>
      <c r="H23" s="152" t="s">
        <v>339</v>
      </c>
    </row>
    <row r="24">
      <c r="A24" s="38">
        <v>45317.0</v>
      </c>
      <c r="B24" s="45" t="s">
        <v>5</v>
      </c>
      <c r="C24" s="40" t="s">
        <v>129</v>
      </c>
      <c r="D24" s="159">
        <v>20000.0</v>
      </c>
      <c r="E24" s="267">
        <v>1000000.0</v>
      </c>
      <c r="F24" s="43" t="s">
        <v>2304</v>
      </c>
      <c r="G24" s="44" t="s">
        <v>2305</v>
      </c>
      <c r="H24" s="152" t="s">
        <v>339</v>
      </c>
    </row>
    <row r="25" hidden="1">
      <c r="A25" s="38">
        <v>45317.0</v>
      </c>
      <c r="B25" s="45" t="s">
        <v>17</v>
      </c>
      <c r="C25" s="40" t="s">
        <v>2306</v>
      </c>
      <c r="D25" s="40"/>
      <c r="E25" s="40"/>
      <c r="F25" s="43" t="s">
        <v>2304</v>
      </c>
      <c r="G25" s="44" t="s">
        <v>2303</v>
      </c>
      <c r="H25" s="152" t="s">
        <v>339</v>
      </c>
    </row>
    <row r="26" hidden="1">
      <c r="A26" s="38">
        <v>45317.0</v>
      </c>
      <c r="B26" s="45" t="s">
        <v>17</v>
      </c>
      <c r="C26" s="40" t="s">
        <v>2307</v>
      </c>
      <c r="D26" s="40"/>
      <c r="E26" s="40"/>
      <c r="F26" s="43" t="s">
        <v>2308</v>
      </c>
      <c r="G26" s="50" t="s">
        <v>2309</v>
      </c>
      <c r="H26" s="152" t="s">
        <v>339</v>
      </c>
    </row>
    <row r="27" hidden="1">
      <c r="A27" s="38">
        <v>45317.0</v>
      </c>
      <c r="B27" s="45" t="s">
        <v>17</v>
      </c>
      <c r="C27" s="40" t="s">
        <v>2310</v>
      </c>
      <c r="D27" s="40"/>
      <c r="E27" s="40"/>
      <c r="F27" s="43" t="s">
        <v>2308</v>
      </c>
      <c r="G27" s="44" t="s">
        <v>2311</v>
      </c>
      <c r="H27" s="152" t="s">
        <v>339</v>
      </c>
    </row>
    <row r="28" hidden="1">
      <c r="A28" s="38">
        <v>45318.0</v>
      </c>
      <c r="B28" s="45" t="s">
        <v>17</v>
      </c>
      <c r="C28" s="40" t="s">
        <v>2312</v>
      </c>
      <c r="D28" s="40"/>
      <c r="E28" s="40"/>
      <c r="F28" s="43" t="s">
        <v>2313</v>
      </c>
      <c r="G28" s="44" t="s">
        <v>2314</v>
      </c>
      <c r="H28" s="152" t="s">
        <v>339</v>
      </c>
    </row>
    <row r="29">
      <c r="A29" s="297">
        <v>45321.0</v>
      </c>
      <c r="B29" s="298" t="s">
        <v>11</v>
      </c>
      <c r="C29" s="299" t="s">
        <v>71</v>
      </c>
      <c r="D29" s="51">
        <v>1000.0</v>
      </c>
      <c r="E29" s="42">
        <v>100000.0</v>
      </c>
      <c r="F29" s="332" t="s">
        <v>2315</v>
      </c>
      <c r="G29" s="363" t="s">
        <v>2316</v>
      </c>
      <c r="H29" s="304" t="s">
        <v>339</v>
      </c>
    </row>
    <row r="30">
      <c r="A30" s="204">
        <v>45324.0</v>
      </c>
      <c r="B30" s="39" t="s">
        <v>11</v>
      </c>
      <c r="C30" s="170" t="s">
        <v>137</v>
      </c>
      <c r="D30" s="159">
        <v>9300.0</v>
      </c>
      <c r="E30" s="153">
        <v>200000.0</v>
      </c>
      <c r="F30" s="169" t="s">
        <v>2317</v>
      </c>
      <c r="G30" s="196" t="s">
        <v>2318</v>
      </c>
      <c r="H30" s="112" t="s">
        <v>339</v>
      </c>
    </row>
    <row r="31">
      <c r="A31" s="38">
        <v>45327.0</v>
      </c>
      <c r="B31" s="45" t="s">
        <v>11</v>
      </c>
      <c r="C31" s="40" t="s">
        <v>58</v>
      </c>
      <c r="D31" s="41">
        <v>2200.0</v>
      </c>
      <c r="E31" s="42">
        <v>500000.0</v>
      </c>
      <c r="F31" s="43" t="s">
        <v>2319</v>
      </c>
      <c r="G31" s="44" t="s">
        <v>2320</v>
      </c>
      <c r="H31" s="152" t="s">
        <v>339</v>
      </c>
    </row>
    <row r="32" hidden="1">
      <c r="A32" s="38">
        <v>45327.0</v>
      </c>
      <c r="B32" s="45" t="s">
        <v>17</v>
      </c>
      <c r="C32" s="40" t="s">
        <v>2321</v>
      </c>
      <c r="D32" s="40"/>
      <c r="E32" s="40"/>
      <c r="F32" s="43" t="s">
        <v>2322</v>
      </c>
      <c r="G32" s="44" t="s">
        <v>2323</v>
      </c>
      <c r="H32" s="152" t="s">
        <v>339</v>
      </c>
    </row>
    <row r="33">
      <c r="A33" s="38">
        <v>45338.0</v>
      </c>
      <c r="B33" s="45" t="s">
        <v>11</v>
      </c>
      <c r="C33" s="40" t="s">
        <v>2324</v>
      </c>
      <c r="D33" s="45"/>
      <c r="E33" s="45"/>
      <c r="F33" s="43" t="s">
        <v>2325</v>
      </c>
      <c r="G33" s="44" t="s">
        <v>2326</v>
      </c>
      <c r="H33" s="152" t="s">
        <v>339</v>
      </c>
    </row>
    <row r="34">
      <c r="A34" s="38">
        <v>45340.0</v>
      </c>
      <c r="B34" s="45" t="s">
        <v>11</v>
      </c>
      <c r="C34" s="40" t="s">
        <v>58</v>
      </c>
      <c r="D34" s="41">
        <v>2200.0</v>
      </c>
      <c r="E34" s="42">
        <v>500000.0</v>
      </c>
      <c r="F34" s="43" t="s">
        <v>2327</v>
      </c>
      <c r="G34" s="44" t="s">
        <v>2328</v>
      </c>
      <c r="H34" s="152"/>
    </row>
    <row r="35" hidden="1">
      <c r="A35" s="38">
        <v>45340.0</v>
      </c>
      <c r="B35" s="45" t="s">
        <v>17</v>
      </c>
      <c r="C35" s="40" t="s">
        <v>2329</v>
      </c>
      <c r="D35" s="40"/>
      <c r="E35" s="40"/>
      <c r="F35" s="43" t="s">
        <v>2325</v>
      </c>
      <c r="G35" s="44" t="s">
        <v>2330</v>
      </c>
      <c r="H35" s="152"/>
    </row>
    <row r="36">
      <c r="A36" s="38">
        <v>45344.0</v>
      </c>
      <c r="B36" s="45" t="s">
        <v>11</v>
      </c>
      <c r="C36" s="40" t="s">
        <v>58</v>
      </c>
      <c r="D36" s="41">
        <v>2200.0</v>
      </c>
      <c r="E36" s="42">
        <v>500000.0</v>
      </c>
      <c r="F36" s="43" t="s">
        <v>2331</v>
      </c>
      <c r="G36" s="50" t="s">
        <v>2332</v>
      </c>
      <c r="H36" s="152" t="s">
        <v>339</v>
      </c>
    </row>
    <row r="37">
      <c r="A37" s="38">
        <v>45344.0</v>
      </c>
      <c r="B37" s="45" t="s">
        <v>11</v>
      </c>
      <c r="C37" s="40" t="s">
        <v>2333</v>
      </c>
      <c r="D37" s="45"/>
      <c r="E37" s="45"/>
      <c r="F37" s="210" t="s">
        <v>2334</v>
      </c>
      <c r="G37" s="50" t="s">
        <v>2335</v>
      </c>
      <c r="H37" s="152" t="s">
        <v>339</v>
      </c>
    </row>
    <row r="38">
      <c r="A38" s="38">
        <v>45344.0</v>
      </c>
      <c r="B38" s="45" t="s">
        <v>11</v>
      </c>
      <c r="C38" s="40" t="s">
        <v>2333</v>
      </c>
      <c r="D38" s="45"/>
      <c r="E38" s="45"/>
      <c r="F38" s="43" t="s">
        <v>2336</v>
      </c>
      <c r="G38" s="44" t="s">
        <v>2337</v>
      </c>
      <c r="H38" s="152" t="s">
        <v>339</v>
      </c>
    </row>
    <row r="39">
      <c r="A39" s="38">
        <v>45345.0</v>
      </c>
      <c r="B39" s="45" t="s">
        <v>11</v>
      </c>
      <c r="C39" s="464" t="s">
        <v>2338</v>
      </c>
      <c r="D39" s="45"/>
      <c r="E39" s="45"/>
      <c r="F39" s="43" t="s">
        <v>2339</v>
      </c>
      <c r="G39" s="174" t="s">
        <v>2340</v>
      </c>
      <c r="H39" s="152" t="s">
        <v>339</v>
      </c>
    </row>
    <row r="40" hidden="1">
      <c r="A40" s="38">
        <v>45345.0</v>
      </c>
      <c r="B40" s="45" t="s">
        <v>17</v>
      </c>
      <c r="C40" s="40" t="s">
        <v>2341</v>
      </c>
      <c r="D40" s="40"/>
      <c r="E40" s="40"/>
      <c r="F40" s="43" t="s">
        <v>2342</v>
      </c>
      <c r="G40" s="140" t="s">
        <v>2343</v>
      </c>
      <c r="H40" s="152" t="s">
        <v>339</v>
      </c>
    </row>
    <row r="41">
      <c r="A41" s="38">
        <v>45349.0</v>
      </c>
      <c r="B41" s="45" t="s">
        <v>11</v>
      </c>
      <c r="C41" s="40" t="s">
        <v>77</v>
      </c>
      <c r="D41" s="283">
        <v>9500.0</v>
      </c>
      <c r="E41" s="284">
        <v>250000.0</v>
      </c>
      <c r="F41" s="43" t="s">
        <v>2344</v>
      </c>
      <c r="G41" s="44" t="s">
        <v>2345</v>
      </c>
      <c r="H41" s="152" t="s">
        <v>339</v>
      </c>
    </row>
    <row r="42" hidden="1">
      <c r="A42" s="297">
        <v>45351.0</v>
      </c>
      <c r="B42" s="298" t="s">
        <v>17</v>
      </c>
      <c r="C42" s="299" t="s">
        <v>2346</v>
      </c>
      <c r="D42" s="40"/>
      <c r="E42" s="40"/>
      <c r="F42" s="332" t="s">
        <v>2347</v>
      </c>
      <c r="G42" s="363" t="s">
        <v>2348</v>
      </c>
      <c r="H42" s="304" t="s">
        <v>339</v>
      </c>
    </row>
    <row r="43">
      <c r="A43" s="204">
        <v>45357.0</v>
      </c>
      <c r="B43" s="45" t="s">
        <v>11</v>
      </c>
      <c r="C43" s="170" t="s">
        <v>58</v>
      </c>
      <c r="D43" s="41">
        <v>2200.0</v>
      </c>
      <c r="E43" s="42">
        <v>500000.0</v>
      </c>
      <c r="F43" s="169" t="s">
        <v>2349</v>
      </c>
      <c r="G43" s="478" t="s">
        <v>2350</v>
      </c>
      <c r="H43" s="112" t="s">
        <v>339</v>
      </c>
    </row>
    <row r="44">
      <c r="A44" s="38">
        <v>45357.0</v>
      </c>
      <c r="B44" s="45" t="s">
        <v>11</v>
      </c>
      <c r="C44" s="40" t="s">
        <v>71</v>
      </c>
      <c r="D44" s="51">
        <v>1000.0</v>
      </c>
      <c r="E44" s="42">
        <v>100000.0</v>
      </c>
      <c r="F44" s="43" t="s">
        <v>2351</v>
      </c>
      <c r="G44" s="479" t="s">
        <v>2352</v>
      </c>
      <c r="H44" s="112" t="s">
        <v>339</v>
      </c>
    </row>
    <row r="45" hidden="1">
      <c r="A45" s="38">
        <v>45357.0</v>
      </c>
      <c r="B45" s="45" t="s">
        <v>17</v>
      </c>
      <c r="C45" s="40" t="s">
        <v>478</v>
      </c>
      <c r="D45" s="40"/>
      <c r="E45" s="40"/>
      <c r="F45" s="43" t="s">
        <v>2353</v>
      </c>
      <c r="G45" s="44" t="s">
        <v>2354</v>
      </c>
      <c r="H45" s="112" t="s">
        <v>339</v>
      </c>
    </row>
    <row r="46">
      <c r="A46" s="38">
        <v>45357.0</v>
      </c>
      <c r="B46" s="45" t="s">
        <v>11</v>
      </c>
      <c r="C46" s="40" t="s">
        <v>2355</v>
      </c>
      <c r="D46" s="45"/>
      <c r="E46" s="45"/>
      <c r="F46" s="43" t="s">
        <v>2356</v>
      </c>
      <c r="G46" s="140" t="s">
        <v>2357</v>
      </c>
      <c r="H46" s="112" t="s">
        <v>339</v>
      </c>
    </row>
    <row r="47" hidden="1">
      <c r="A47" s="38">
        <v>45357.0</v>
      </c>
      <c r="B47" s="45" t="s">
        <v>17</v>
      </c>
      <c r="C47" s="40" t="s">
        <v>145</v>
      </c>
      <c r="D47" s="40"/>
      <c r="E47" s="40"/>
      <c r="F47" s="43" t="s">
        <v>2351</v>
      </c>
      <c r="G47" s="67" t="s">
        <v>2358</v>
      </c>
      <c r="H47" s="112" t="s">
        <v>339</v>
      </c>
    </row>
    <row r="48" hidden="1">
      <c r="A48" s="38">
        <v>45358.0</v>
      </c>
      <c r="B48" s="45" t="s">
        <v>17</v>
      </c>
      <c r="C48" s="107" t="s">
        <v>2359</v>
      </c>
      <c r="D48" s="54"/>
      <c r="E48" s="54"/>
      <c r="F48" s="43" t="s">
        <v>2360</v>
      </c>
      <c r="G48" s="44" t="s">
        <v>2361</v>
      </c>
      <c r="H48" s="112" t="s">
        <v>339</v>
      </c>
    </row>
    <row r="49">
      <c r="A49" s="38">
        <v>45360.0</v>
      </c>
      <c r="B49" s="39" t="s">
        <v>11</v>
      </c>
      <c r="C49" s="40" t="s">
        <v>137</v>
      </c>
      <c r="D49" s="159">
        <v>9300.0</v>
      </c>
      <c r="E49" s="153">
        <v>200000.0</v>
      </c>
      <c r="F49" s="43" t="s">
        <v>2362</v>
      </c>
      <c r="G49" s="174" t="s">
        <v>2363</v>
      </c>
      <c r="H49" s="112" t="s">
        <v>339</v>
      </c>
    </row>
    <row r="50" hidden="1">
      <c r="A50" s="38">
        <v>45361.0</v>
      </c>
      <c r="B50" s="39" t="s">
        <v>17</v>
      </c>
      <c r="C50" s="40" t="s">
        <v>336</v>
      </c>
      <c r="D50" s="40"/>
      <c r="E50" s="40"/>
      <c r="F50" s="43" t="s">
        <v>2364</v>
      </c>
      <c r="G50" s="44" t="s">
        <v>2365</v>
      </c>
      <c r="H50" s="112" t="s">
        <v>339</v>
      </c>
    </row>
    <row r="51">
      <c r="A51" s="38">
        <v>45362.0</v>
      </c>
      <c r="B51" s="45" t="s">
        <v>11</v>
      </c>
      <c r="C51" s="40" t="s">
        <v>71</v>
      </c>
      <c r="D51" s="51">
        <v>1000.0</v>
      </c>
      <c r="E51" s="42">
        <v>100000.0</v>
      </c>
      <c r="F51" s="43" t="s">
        <v>2366</v>
      </c>
      <c r="G51" s="44" t="s">
        <v>2367</v>
      </c>
      <c r="H51" s="112" t="s">
        <v>339</v>
      </c>
    </row>
    <row r="52">
      <c r="A52" s="38">
        <v>45363.0</v>
      </c>
      <c r="B52" s="45" t="s">
        <v>11</v>
      </c>
      <c r="C52" s="40" t="s">
        <v>2368</v>
      </c>
      <c r="D52" s="45"/>
      <c r="E52" s="45"/>
      <c r="F52" s="43" t="s">
        <v>2369</v>
      </c>
      <c r="G52" s="44" t="s">
        <v>2370</v>
      </c>
      <c r="H52" s="112" t="s">
        <v>339</v>
      </c>
    </row>
    <row r="53" hidden="1">
      <c r="A53" s="38">
        <v>45364.0</v>
      </c>
      <c r="B53" s="45" t="s">
        <v>17</v>
      </c>
      <c r="C53" s="40" t="s">
        <v>2371</v>
      </c>
      <c r="D53" s="40"/>
      <c r="E53" s="40"/>
      <c r="F53" s="43" t="s">
        <v>2372</v>
      </c>
      <c r="G53" s="44" t="s">
        <v>2373</v>
      </c>
      <c r="H53" s="112" t="s">
        <v>339</v>
      </c>
    </row>
    <row r="54">
      <c r="A54" s="480">
        <v>45364.0</v>
      </c>
      <c r="B54" s="22" t="s">
        <v>11</v>
      </c>
      <c r="C54" s="242" t="s">
        <v>58</v>
      </c>
      <c r="D54" s="41">
        <v>2200.0</v>
      </c>
      <c r="E54" s="42">
        <v>500000.0</v>
      </c>
      <c r="F54" s="125" t="s">
        <v>2374</v>
      </c>
      <c r="G54" s="49" t="s">
        <v>2375</v>
      </c>
      <c r="H54" s="112" t="s">
        <v>339</v>
      </c>
    </row>
    <row r="55">
      <c r="A55" s="38">
        <v>45367.0</v>
      </c>
      <c r="B55" s="45" t="s">
        <v>11</v>
      </c>
      <c r="C55" s="40" t="s">
        <v>77</v>
      </c>
      <c r="D55" s="283">
        <v>9500.0</v>
      </c>
      <c r="E55" s="284">
        <v>250000.0</v>
      </c>
      <c r="F55" s="43" t="s">
        <v>2376</v>
      </c>
      <c r="G55" s="44" t="s">
        <v>2377</v>
      </c>
      <c r="H55" s="112" t="s">
        <v>339</v>
      </c>
    </row>
    <row r="56" hidden="1">
      <c r="A56" s="38">
        <v>45368.0</v>
      </c>
      <c r="B56" s="39" t="s">
        <v>17</v>
      </c>
      <c r="C56" s="40" t="s">
        <v>71</v>
      </c>
      <c r="D56" s="40"/>
      <c r="E56" s="40"/>
      <c r="F56" s="43" t="s">
        <v>2378</v>
      </c>
      <c r="G56" s="44" t="s">
        <v>2379</v>
      </c>
      <c r="H56" s="112" t="s">
        <v>339</v>
      </c>
    </row>
    <row r="57" hidden="1">
      <c r="A57" s="38">
        <v>45368.0</v>
      </c>
      <c r="B57" s="45" t="s">
        <v>17</v>
      </c>
      <c r="C57" s="40" t="s">
        <v>2380</v>
      </c>
      <c r="D57" s="40"/>
      <c r="E57" s="40"/>
      <c r="F57" s="43" t="s">
        <v>2378</v>
      </c>
      <c r="G57" s="186" t="s">
        <v>2381</v>
      </c>
      <c r="H57" s="112" t="s">
        <v>339</v>
      </c>
    </row>
    <row r="58">
      <c r="A58" s="38">
        <v>45368.0</v>
      </c>
      <c r="B58" s="39" t="s">
        <v>11</v>
      </c>
      <c r="C58" s="242" t="s">
        <v>58</v>
      </c>
      <c r="D58" s="41">
        <v>2200.0</v>
      </c>
      <c r="E58" s="42">
        <v>500000.0</v>
      </c>
      <c r="F58" s="43" t="s">
        <v>2378</v>
      </c>
      <c r="G58" s="44" t="s">
        <v>2382</v>
      </c>
      <c r="H58" s="112" t="s">
        <v>339</v>
      </c>
    </row>
    <row r="59" hidden="1">
      <c r="A59" s="38">
        <v>45370.0</v>
      </c>
      <c r="B59" s="39" t="s">
        <v>17</v>
      </c>
      <c r="C59" s="172" t="s">
        <v>2383</v>
      </c>
      <c r="D59" s="172"/>
      <c r="E59" s="172"/>
      <c r="F59" s="481" t="s">
        <v>2384</v>
      </c>
      <c r="G59" s="150" t="s">
        <v>2385</v>
      </c>
      <c r="H59" s="112" t="s">
        <v>339</v>
      </c>
    </row>
    <row r="60" hidden="1">
      <c r="A60" s="38">
        <v>45372.0</v>
      </c>
      <c r="B60" s="39" t="s">
        <v>17</v>
      </c>
      <c r="C60" s="242" t="s">
        <v>336</v>
      </c>
      <c r="D60" s="242"/>
      <c r="E60" s="242"/>
      <c r="F60" s="43" t="s">
        <v>2386</v>
      </c>
      <c r="G60" s="150" t="s">
        <v>2387</v>
      </c>
      <c r="H60" s="152" t="s">
        <v>2388</v>
      </c>
    </row>
    <row r="61" hidden="1">
      <c r="A61" s="38">
        <v>45373.0</v>
      </c>
      <c r="B61" s="39" t="s">
        <v>17</v>
      </c>
      <c r="C61" s="242" t="s">
        <v>2346</v>
      </c>
      <c r="D61" s="242"/>
      <c r="E61" s="242"/>
      <c r="F61" s="482" t="s">
        <v>2389</v>
      </c>
      <c r="G61" s="150" t="s">
        <v>2390</v>
      </c>
      <c r="H61" s="152" t="s">
        <v>339</v>
      </c>
    </row>
    <row r="62" hidden="1">
      <c r="A62" s="38">
        <v>45373.0</v>
      </c>
      <c r="B62" s="39" t="s">
        <v>17</v>
      </c>
      <c r="C62" s="242" t="s">
        <v>2391</v>
      </c>
      <c r="D62" s="242"/>
      <c r="E62" s="242"/>
      <c r="F62" s="116" t="s">
        <v>2392</v>
      </c>
      <c r="G62" s="44" t="s">
        <v>2393</v>
      </c>
      <c r="H62" s="152" t="s">
        <v>339</v>
      </c>
    </row>
    <row r="63">
      <c r="A63" s="38">
        <v>45375.0</v>
      </c>
      <c r="B63" s="39" t="s">
        <v>11</v>
      </c>
      <c r="C63" s="242" t="s">
        <v>58</v>
      </c>
      <c r="D63" s="41">
        <v>2200.0</v>
      </c>
      <c r="E63" s="42">
        <v>500000.0</v>
      </c>
      <c r="F63" s="43" t="s">
        <v>2394</v>
      </c>
      <c r="G63" s="44" t="s">
        <v>2395</v>
      </c>
      <c r="H63" s="152" t="s">
        <v>339</v>
      </c>
    </row>
    <row r="64" hidden="1">
      <c r="A64" s="38">
        <v>45376.0</v>
      </c>
      <c r="B64" s="39" t="s">
        <v>17</v>
      </c>
      <c r="C64" s="242" t="s">
        <v>336</v>
      </c>
      <c r="D64" s="242"/>
      <c r="E64" s="242"/>
      <c r="F64" s="43" t="s">
        <v>2396</v>
      </c>
      <c r="G64" s="44" t="s">
        <v>2397</v>
      </c>
      <c r="H64" s="152" t="s">
        <v>339</v>
      </c>
    </row>
    <row r="65" hidden="1">
      <c r="A65" s="38">
        <v>45377.0</v>
      </c>
      <c r="B65" s="39" t="s">
        <v>17</v>
      </c>
      <c r="C65" s="242" t="s">
        <v>2398</v>
      </c>
      <c r="D65" s="242"/>
      <c r="E65" s="242"/>
      <c r="F65" s="43" t="s">
        <v>2399</v>
      </c>
      <c r="G65" s="44" t="s">
        <v>2400</v>
      </c>
      <c r="H65" s="152" t="s">
        <v>339</v>
      </c>
    </row>
    <row r="66">
      <c r="A66" s="38">
        <v>45379.0</v>
      </c>
      <c r="B66" s="45" t="s">
        <v>5</v>
      </c>
      <c r="C66" s="242" t="s">
        <v>233</v>
      </c>
      <c r="D66" s="159">
        <v>20000.0</v>
      </c>
      <c r="E66" s="171">
        <v>600000.0</v>
      </c>
      <c r="F66" s="125" t="s">
        <v>2401</v>
      </c>
      <c r="G66" s="150" t="s">
        <v>2402</v>
      </c>
      <c r="H66" s="152" t="s">
        <v>339</v>
      </c>
    </row>
    <row r="67" hidden="1">
      <c r="A67" s="297">
        <v>45379.0</v>
      </c>
      <c r="B67" s="298" t="s">
        <v>17</v>
      </c>
      <c r="C67" s="412" t="s">
        <v>2403</v>
      </c>
      <c r="D67" s="242"/>
      <c r="E67" s="242"/>
      <c r="F67" s="332" t="s">
        <v>2404</v>
      </c>
      <c r="G67" s="483" t="s">
        <v>2405</v>
      </c>
      <c r="H67" s="304" t="s">
        <v>339</v>
      </c>
    </row>
    <row r="68">
      <c r="A68" s="80">
        <v>45388.0</v>
      </c>
      <c r="B68" s="39" t="s">
        <v>11</v>
      </c>
      <c r="C68" s="82" t="s">
        <v>336</v>
      </c>
      <c r="D68" s="283">
        <v>1000.0</v>
      </c>
      <c r="E68" s="284">
        <v>30000.0</v>
      </c>
      <c r="F68" s="85" t="s">
        <v>2406</v>
      </c>
      <c r="G68" s="484" t="s">
        <v>2407</v>
      </c>
      <c r="H68" s="167" t="s">
        <v>2408</v>
      </c>
    </row>
    <row r="69" hidden="1">
      <c r="A69" s="204">
        <v>45389.0</v>
      </c>
      <c r="B69" s="45" t="s">
        <v>17</v>
      </c>
      <c r="C69" s="107" t="s">
        <v>2409</v>
      </c>
      <c r="D69" s="54"/>
      <c r="E69" s="54"/>
      <c r="F69" s="43" t="s">
        <v>2410</v>
      </c>
      <c r="G69" s="44" t="s">
        <v>2411</v>
      </c>
      <c r="H69" s="152" t="s">
        <v>339</v>
      </c>
    </row>
    <row r="70">
      <c r="A70" s="204">
        <v>45390.0</v>
      </c>
      <c r="B70" s="39" t="s">
        <v>11</v>
      </c>
      <c r="C70" s="170" t="s">
        <v>77</v>
      </c>
      <c r="D70" s="283">
        <v>9500.0</v>
      </c>
      <c r="E70" s="284">
        <v>250000.0</v>
      </c>
      <c r="F70" s="169" t="s">
        <v>2412</v>
      </c>
      <c r="G70" s="166" t="s">
        <v>2413</v>
      </c>
      <c r="H70" s="152" t="s">
        <v>339</v>
      </c>
    </row>
    <row r="71">
      <c r="A71" s="204">
        <v>45390.0</v>
      </c>
      <c r="B71" s="39" t="s">
        <v>11</v>
      </c>
      <c r="C71" s="40" t="s">
        <v>789</v>
      </c>
      <c r="D71" s="45"/>
      <c r="E71" s="45"/>
      <c r="F71" s="43" t="s">
        <v>2414</v>
      </c>
      <c r="G71" s="44" t="s">
        <v>2415</v>
      </c>
      <c r="H71" s="152" t="s">
        <v>339</v>
      </c>
    </row>
    <row r="72">
      <c r="A72" s="204">
        <v>45392.0</v>
      </c>
      <c r="B72" s="39" t="s">
        <v>11</v>
      </c>
      <c r="C72" s="40" t="s">
        <v>1684</v>
      </c>
      <c r="D72" s="45"/>
      <c r="E72" s="45"/>
      <c r="F72" s="43" t="s">
        <v>2416</v>
      </c>
      <c r="G72" s="50" t="s">
        <v>2417</v>
      </c>
      <c r="H72" s="152" t="s">
        <v>339</v>
      </c>
    </row>
    <row r="73" hidden="1">
      <c r="A73" s="204">
        <v>45392.0</v>
      </c>
      <c r="B73" s="45" t="s">
        <v>17</v>
      </c>
      <c r="C73" s="170" t="s">
        <v>2418</v>
      </c>
      <c r="D73" s="40"/>
      <c r="E73" s="40"/>
      <c r="F73" s="43" t="s">
        <v>2419</v>
      </c>
      <c r="G73" s="44" t="s">
        <v>2420</v>
      </c>
      <c r="H73" s="152" t="s">
        <v>339</v>
      </c>
    </row>
    <row r="74">
      <c r="A74" s="204">
        <v>45397.0</v>
      </c>
      <c r="B74" s="45" t="s">
        <v>11</v>
      </c>
      <c r="C74" s="170" t="s">
        <v>77</v>
      </c>
      <c r="D74" s="283">
        <v>9500.0</v>
      </c>
      <c r="E74" s="284">
        <v>250000.0</v>
      </c>
      <c r="F74" s="43" t="s">
        <v>2421</v>
      </c>
      <c r="G74" s="50" t="s">
        <v>2422</v>
      </c>
      <c r="H74" s="152" t="s">
        <v>339</v>
      </c>
    </row>
    <row r="75">
      <c r="A75" s="204">
        <v>45399.0</v>
      </c>
      <c r="B75" s="39" t="s">
        <v>11</v>
      </c>
      <c r="C75" s="170" t="s">
        <v>336</v>
      </c>
      <c r="D75" s="283">
        <v>1000.0</v>
      </c>
      <c r="E75" s="284">
        <v>30000.0</v>
      </c>
      <c r="F75" s="43" t="s">
        <v>2423</v>
      </c>
      <c r="G75" s="50" t="s">
        <v>2424</v>
      </c>
      <c r="H75" s="152"/>
    </row>
    <row r="76">
      <c r="A76" s="204">
        <v>45401.0</v>
      </c>
      <c r="B76" s="45" t="s">
        <v>5</v>
      </c>
      <c r="C76" s="40" t="s">
        <v>1373</v>
      </c>
      <c r="D76" s="267">
        <v>5000.0</v>
      </c>
      <c r="E76" s="267">
        <v>5000000.0</v>
      </c>
      <c r="F76" s="43" t="s">
        <v>1171</v>
      </c>
      <c r="G76" s="50" t="s">
        <v>2425</v>
      </c>
      <c r="H76" s="152" t="s">
        <v>339</v>
      </c>
    </row>
    <row r="77">
      <c r="A77" s="204">
        <v>45404.0</v>
      </c>
      <c r="B77" s="45" t="s">
        <v>5</v>
      </c>
      <c r="C77" s="40" t="s">
        <v>233</v>
      </c>
      <c r="D77" s="159">
        <v>20000.0</v>
      </c>
      <c r="E77" s="171">
        <v>600000.0</v>
      </c>
      <c r="F77" s="43" t="s">
        <v>2426</v>
      </c>
      <c r="G77" s="50" t="s">
        <v>2427</v>
      </c>
      <c r="H77" s="152" t="s">
        <v>339</v>
      </c>
    </row>
    <row r="78">
      <c r="A78" s="204">
        <v>45406.0</v>
      </c>
      <c r="B78" s="39" t="s">
        <v>11</v>
      </c>
      <c r="C78" s="242" t="s">
        <v>58</v>
      </c>
      <c r="D78" s="41">
        <v>2200.0</v>
      </c>
      <c r="E78" s="42">
        <v>500000.0</v>
      </c>
      <c r="F78" s="43" t="s">
        <v>2428</v>
      </c>
      <c r="G78" s="50" t="s">
        <v>2429</v>
      </c>
      <c r="H78" s="152" t="s">
        <v>339</v>
      </c>
    </row>
    <row r="79">
      <c r="A79" s="204">
        <v>45410.0</v>
      </c>
      <c r="B79" s="39" t="s">
        <v>11</v>
      </c>
      <c r="C79" s="172" t="s">
        <v>77</v>
      </c>
      <c r="D79" s="283">
        <v>9500.0</v>
      </c>
      <c r="E79" s="284">
        <v>250000.0</v>
      </c>
      <c r="F79" s="43" t="s">
        <v>2430</v>
      </c>
      <c r="G79" s="173" t="s">
        <v>2431</v>
      </c>
      <c r="H79" s="152" t="s">
        <v>339</v>
      </c>
    </row>
    <row r="80" hidden="1">
      <c r="A80" s="204">
        <v>45410.0</v>
      </c>
      <c r="B80" s="39" t="s">
        <v>17</v>
      </c>
      <c r="C80" s="242" t="s">
        <v>71</v>
      </c>
      <c r="D80" s="242"/>
      <c r="E80" s="242"/>
      <c r="F80" s="43" t="s">
        <v>2432</v>
      </c>
      <c r="G80" s="174" t="s">
        <v>2433</v>
      </c>
      <c r="H80" s="152" t="s">
        <v>339</v>
      </c>
    </row>
    <row r="81">
      <c r="A81" s="204">
        <v>45410.0</v>
      </c>
      <c r="B81" s="39" t="s">
        <v>11</v>
      </c>
      <c r="C81" s="242" t="s">
        <v>58</v>
      </c>
      <c r="D81" s="41">
        <v>2200.0</v>
      </c>
      <c r="E81" s="42">
        <v>500000.0</v>
      </c>
      <c r="F81" s="116" t="s">
        <v>2432</v>
      </c>
      <c r="G81" s="174" t="s">
        <v>2434</v>
      </c>
      <c r="H81" s="152" t="s">
        <v>339</v>
      </c>
    </row>
    <row r="82" hidden="1">
      <c r="A82" s="204">
        <v>45411.0</v>
      </c>
      <c r="B82" s="45" t="s">
        <v>17</v>
      </c>
      <c r="C82" s="40" t="s">
        <v>134</v>
      </c>
      <c r="D82" s="40"/>
      <c r="E82" s="40"/>
      <c r="F82" s="176" t="s">
        <v>2435</v>
      </c>
      <c r="G82" s="485" t="s">
        <v>2436</v>
      </c>
      <c r="H82" s="152" t="s">
        <v>339</v>
      </c>
    </row>
    <row r="83">
      <c r="A83" s="204">
        <v>45411.0</v>
      </c>
      <c r="B83" s="39" t="s">
        <v>11</v>
      </c>
      <c r="C83" s="242" t="s">
        <v>58</v>
      </c>
      <c r="D83" s="41">
        <v>2200.0</v>
      </c>
      <c r="E83" s="42">
        <v>500000.0</v>
      </c>
      <c r="F83" s="176" t="s">
        <v>2435</v>
      </c>
      <c r="G83" s="44" t="s">
        <v>2437</v>
      </c>
      <c r="H83" s="152" t="s">
        <v>339</v>
      </c>
    </row>
    <row r="84" ht="15.75" customHeight="1">
      <c r="A84" s="204">
        <v>45411.0</v>
      </c>
      <c r="B84" s="39" t="s">
        <v>11</v>
      </c>
      <c r="C84" s="242" t="s">
        <v>58</v>
      </c>
      <c r="D84" s="41">
        <v>2200.0</v>
      </c>
      <c r="E84" s="42">
        <v>500000.0</v>
      </c>
      <c r="F84" s="43" t="s">
        <v>2438</v>
      </c>
      <c r="G84" s="44" t="s">
        <v>2439</v>
      </c>
      <c r="H84" s="152" t="s">
        <v>339</v>
      </c>
    </row>
    <row r="85" hidden="1">
      <c r="A85" s="204">
        <v>45411.0</v>
      </c>
      <c r="B85" s="45" t="s">
        <v>17</v>
      </c>
      <c r="C85" s="172" t="s">
        <v>71</v>
      </c>
      <c r="D85" s="172"/>
      <c r="E85" s="172"/>
      <c r="F85" s="43" t="s">
        <v>2438</v>
      </c>
      <c r="G85" s="186" t="s">
        <v>2440</v>
      </c>
      <c r="H85" s="152" t="s">
        <v>339</v>
      </c>
    </row>
    <row r="86" hidden="1">
      <c r="A86" s="80">
        <v>45411.0</v>
      </c>
      <c r="B86" s="486" t="s">
        <v>17</v>
      </c>
      <c r="C86" s="40" t="s">
        <v>71</v>
      </c>
      <c r="D86" s="40"/>
      <c r="E86" s="40"/>
      <c r="F86" s="176" t="s">
        <v>2435</v>
      </c>
      <c r="G86" s="44" t="s">
        <v>2441</v>
      </c>
      <c r="H86" s="304" t="s">
        <v>339</v>
      </c>
    </row>
    <row r="87">
      <c r="A87" s="68">
        <v>45414.0</v>
      </c>
      <c r="B87" s="39" t="s">
        <v>11</v>
      </c>
      <c r="C87" s="70" t="s">
        <v>77</v>
      </c>
      <c r="D87" s="283">
        <v>9500.0</v>
      </c>
      <c r="E87" s="284">
        <v>250000.0</v>
      </c>
      <c r="F87" s="487" t="s">
        <v>2442</v>
      </c>
      <c r="G87" s="488" t="s">
        <v>2443</v>
      </c>
      <c r="H87" s="112" t="s">
        <v>339</v>
      </c>
    </row>
    <row r="88" hidden="1">
      <c r="A88" s="38">
        <v>45414.0</v>
      </c>
      <c r="B88" s="45" t="s">
        <v>17</v>
      </c>
      <c r="C88" s="40" t="s">
        <v>134</v>
      </c>
      <c r="D88" s="40"/>
      <c r="E88" s="40"/>
      <c r="F88" s="200" t="s">
        <v>2444</v>
      </c>
      <c r="G88" s="201" t="s">
        <v>2445</v>
      </c>
      <c r="H88" s="112" t="s">
        <v>339</v>
      </c>
    </row>
    <row r="89">
      <c r="A89" s="38">
        <v>45414.0</v>
      </c>
      <c r="B89" s="39" t="s">
        <v>11</v>
      </c>
      <c r="C89" s="40" t="s">
        <v>58</v>
      </c>
      <c r="D89" s="41">
        <v>2200.0</v>
      </c>
      <c r="E89" s="42">
        <v>500000.0</v>
      </c>
      <c r="F89" s="200" t="s">
        <v>2444</v>
      </c>
      <c r="G89" s="201" t="s">
        <v>2446</v>
      </c>
      <c r="H89" s="112" t="s">
        <v>339</v>
      </c>
    </row>
    <row r="90">
      <c r="A90" s="38">
        <v>45414.0</v>
      </c>
      <c r="B90" s="39" t="s">
        <v>11</v>
      </c>
      <c r="C90" s="40" t="s">
        <v>71</v>
      </c>
      <c r="D90" s="51">
        <v>1000.0</v>
      </c>
      <c r="E90" s="42">
        <v>100000.0</v>
      </c>
      <c r="F90" s="200" t="s">
        <v>2444</v>
      </c>
      <c r="G90" s="201" t="s">
        <v>2447</v>
      </c>
      <c r="H90" s="112" t="s">
        <v>339</v>
      </c>
    </row>
    <row r="91">
      <c r="A91" s="38">
        <v>45418.0</v>
      </c>
      <c r="B91" s="45" t="s">
        <v>11</v>
      </c>
      <c r="C91" s="40" t="s">
        <v>2398</v>
      </c>
      <c r="D91" s="45"/>
      <c r="E91" s="45"/>
      <c r="F91" s="200" t="s">
        <v>2448</v>
      </c>
      <c r="G91" s="374" t="s">
        <v>2449</v>
      </c>
      <c r="H91" s="112" t="s">
        <v>339</v>
      </c>
    </row>
    <row r="92">
      <c r="A92" s="38">
        <v>45418.0</v>
      </c>
      <c r="B92" s="39" t="s">
        <v>11</v>
      </c>
      <c r="C92" s="170" t="s">
        <v>77</v>
      </c>
      <c r="D92" s="283">
        <v>9500.0</v>
      </c>
      <c r="E92" s="284">
        <v>250000.0</v>
      </c>
      <c r="F92" s="200" t="s">
        <v>2450</v>
      </c>
      <c r="G92" s="375" t="s">
        <v>2451</v>
      </c>
      <c r="H92" s="112" t="s">
        <v>339</v>
      </c>
    </row>
    <row r="93">
      <c r="A93" s="38">
        <v>45419.0</v>
      </c>
      <c r="B93" s="45" t="s">
        <v>11</v>
      </c>
      <c r="C93" s="40" t="s">
        <v>1373</v>
      </c>
      <c r="D93" s="45"/>
      <c r="E93" s="45"/>
      <c r="F93" s="200" t="s">
        <v>1166</v>
      </c>
      <c r="G93" s="374" t="s">
        <v>2452</v>
      </c>
      <c r="H93" s="112" t="s">
        <v>339</v>
      </c>
    </row>
    <row r="94">
      <c r="A94" s="38">
        <v>45420.0</v>
      </c>
      <c r="B94" s="39" t="s">
        <v>11</v>
      </c>
      <c r="C94" s="40" t="s">
        <v>71</v>
      </c>
      <c r="D94" s="51">
        <v>1000.0</v>
      </c>
      <c r="E94" s="42">
        <v>100000.0</v>
      </c>
      <c r="F94" s="200" t="s">
        <v>2453</v>
      </c>
      <c r="G94" s="374" t="s">
        <v>2454</v>
      </c>
      <c r="H94" s="152" t="s">
        <v>726</v>
      </c>
    </row>
    <row r="95">
      <c r="A95" s="38">
        <v>45421.0</v>
      </c>
      <c r="B95" s="39" t="s">
        <v>11</v>
      </c>
      <c r="C95" s="40" t="s">
        <v>77</v>
      </c>
      <c r="D95" s="283">
        <v>9500.0</v>
      </c>
      <c r="E95" s="284">
        <v>250000.0</v>
      </c>
      <c r="F95" s="200" t="s">
        <v>2455</v>
      </c>
      <c r="G95" s="374" t="s">
        <v>2456</v>
      </c>
      <c r="H95" s="152" t="s">
        <v>339</v>
      </c>
    </row>
    <row r="96">
      <c r="A96" s="38">
        <v>45421.0</v>
      </c>
      <c r="B96" s="45" t="s">
        <v>11</v>
      </c>
      <c r="C96" s="40" t="s">
        <v>2398</v>
      </c>
      <c r="D96" s="45"/>
      <c r="E96" s="45"/>
      <c r="F96" s="200" t="s">
        <v>2457</v>
      </c>
      <c r="G96" s="374" t="s">
        <v>2458</v>
      </c>
      <c r="H96" s="152" t="s">
        <v>726</v>
      </c>
    </row>
    <row r="97">
      <c r="A97" s="38">
        <v>45423.0</v>
      </c>
      <c r="B97" s="39" t="s">
        <v>11</v>
      </c>
      <c r="C97" s="242" t="s">
        <v>77</v>
      </c>
      <c r="D97" s="283">
        <v>9500.0</v>
      </c>
      <c r="E97" s="284">
        <v>250000.0</v>
      </c>
      <c r="F97" s="200" t="s">
        <v>2459</v>
      </c>
      <c r="G97" s="150" t="s">
        <v>2460</v>
      </c>
      <c r="H97" s="152" t="s">
        <v>726</v>
      </c>
    </row>
    <row r="98" hidden="1">
      <c r="A98" s="38">
        <v>45424.0</v>
      </c>
      <c r="B98" s="39" t="s">
        <v>17</v>
      </c>
      <c r="C98" s="242" t="s">
        <v>2461</v>
      </c>
      <c r="D98" s="242"/>
      <c r="E98" s="242"/>
      <c r="F98" s="200" t="s">
        <v>2462</v>
      </c>
      <c r="G98" s="150" t="s">
        <v>2463</v>
      </c>
      <c r="H98" s="152" t="s">
        <v>726</v>
      </c>
    </row>
    <row r="99" hidden="1">
      <c r="A99" s="38">
        <v>45426.0</v>
      </c>
      <c r="B99" s="39" t="s">
        <v>17</v>
      </c>
      <c r="C99" s="40" t="s">
        <v>451</v>
      </c>
      <c r="D99" s="40"/>
      <c r="E99" s="40"/>
      <c r="F99" s="200" t="s">
        <v>2464</v>
      </c>
      <c r="G99" s="50" t="s">
        <v>2465</v>
      </c>
      <c r="H99" s="152" t="s">
        <v>339</v>
      </c>
    </row>
    <row r="100" hidden="1">
      <c r="A100" s="38">
        <v>45428.0</v>
      </c>
      <c r="B100" s="39" t="s">
        <v>17</v>
      </c>
      <c r="C100" s="40" t="s">
        <v>2398</v>
      </c>
      <c r="D100" s="40"/>
      <c r="E100" s="40"/>
      <c r="F100" s="200" t="s">
        <v>2466</v>
      </c>
      <c r="G100" s="44" t="s">
        <v>2467</v>
      </c>
      <c r="H100" s="152" t="s">
        <v>339</v>
      </c>
    </row>
    <row r="101">
      <c r="A101" s="38">
        <v>45431.0</v>
      </c>
      <c r="B101" s="45" t="s">
        <v>11</v>
      </c>
      <c r="C101" s="40" t="s">
        <v>58</v>
      </c>
      <c r="D101" s="41">
        <v>2200.0</v>
      </c>
      <c r="E101" s="42">
        <v>500000.0</v>
      </c>
      <c r="F101" s="200" t="s">
        <v>2468</v>
      </c>
      <c r="G101" s="44" t="s">
        <v>2469</v>
      </c>
      <c r="H101" s="152" t="s">
        <v>339</v>
      </c>
    </row>
    <row r="102">
      <c r="A102" s="38">
        <v>45431.0</v>
      </c>
      <c r="B102" s="45" t="s">
        <v>11</v>
      </c>
      <c r="C102" s="40" t="s">
        <v>71</v>
      </c>
      <c r="D102" s="51">
        <v>1000.0</v>
      </c>
      <c r="E102" s="42">
        <v>100000.0</v>
      </c>
      <c r="F102" s="200" t="s">
        <v>2468</v>
      </c>
      <c r="G102" s="150" t="s">
        <v>2470</v>
      </c>
      <c r="H102" s="152" t="s">
        <v>339</v>
      </c>
    </row>
    <row r="103" hidden="1">
      <c r="A103" s="38">
        <v>45431.0</v>
      </c>
      <c r="B103" s="45" t="s">
        <v>17</v>
      </c>
      <c r="C103" s="40" t="s">
        <v>134</v>
      </c>
      <c r="D103" s="40"/>
      <c r="E103" s="40"/>
      <c r="F103" s="200" t="s">
        <v>2471</v>
      </c>
      <c r="G103" s="150" t="s">
        <v>2472</v>
      </c>
      <c r="H103" s="152" t="s">
        <v>339</v>
      </c>
    </row>
    <row r="104" hidden="1">
      <c r="A104" s="38">
        <v>45432.0</v>
      </c>
      <c r="B104" s="45" t="s">
        <v>17</v>
      </c>
      <c r="C104" s="40" t="s">
        <v>134</v>
      </c>
      <c r="D104" s="40"/>
      <c r="E104" s="40"/>
      <c r="F104" s="200" t="s">
        <v>2473</v>
      </c>
      <c r="G104" s="150" t="s">
        <v>2474</v>
      </c>
      <c r="H104" s="152" t="s">
        <v>339</v>
      </c>
    </row>
    <row r="105" hidden="1">
      <c r="A105" s="38">
        <v>45433.0</v>
      </c>
      <c r="B105" s="45" t="s">
        <v>17</v>
      </c>
      <c r="C105" s="151" t="s">
        <v>2475</v>
      </c>
      <c r="D105" s="40"/>
      <c r="E105" s="40"/>
      <c r="F105" s="200" t="s">
        <v>2476</v>
      </c>
      <c r="G105" s="150" t="s">
        <v>2477</v>
      </c>
      <c r="H105" s="152" t="s">
        <v>339</v>
      </c>
    </row>
    <row r="106" hidden="1">
      <c r="A106" s="38">
        <v>45433.0</v>
      </c>
      <c r="B106" s="45" t="s">
        <v>17</v>
      </c>
      <c r="C106" s="40" t="s">
        <v>336</v>
      </c>
      <c r="D106" s="40"/>
      <c r="E106" s="40"/>
      <c r="F106" s="200" t="s">
        <v>2478</v>
      </c>
      <c r="G106" s="150" t="s">
        <v>2479</v>
      </c>
      <c r="H106" s="152" t="s">
        <v>339</v>
      </c>
    </row>
    <row r="107">
      <c r="A107" s="38">
        <v>45434.0</v>
      </c>
      <c r="B107" s="45" t="s">
        <v>11</v>
      </c>
      <c r="C107" s="40" t="s">
        <v>71</v>
      </c>
      <c r="D107" s="51">
        <v>1000.0</v>
      </c>
      <c r="E107" s="42">
        <v>100000.0</v>
      </c>
      <c r="F107" s="200" t="s">
        <v>2480</v>
      </c>
      <c r="G107" s="44" t="s">
        <v>2481</v>
      </c>
      <c r="H107" s="152" t="s">
        <v>339</v>
      </c>
    </row>
    <row r="108">
      <c r="A108" s="38">
        <v>45435.0</v>
      </c>
      <c r="B108" s="45" t="s">
        <v>11</v>
      </c>
      <c r="C108" s="40" t="s">
        <v>1732</v>
      </c>
      <c r="D108" s="159">
        <v>9300.0</v>
      </c>
      <c r="E108" s="153">
        <v>200000.0</v>
      </c>
      <c r="F108" s="200" t="s">
        <v>2482</v>
      </c>
      <c r="G108" s="44" t="s">
        <v>2483</v>
      </c>
      <c r="H108" s="152" t="s">
        <v>339</v>
      </c>
    </row>
    <row r="109">
      <c r="A109" s="38">
        <v>45436.0</v>
      </c>
      <c r="B109" s="489" t="s">
        <v>11</v>
      </c>
      <c r="C109" s="490" t="s">
        <v>374</v>
      </c>
      <c r="D109" s="41">
        <v>1000.0</v>
      </c>
      <c r="E109" s="42">
        <v>150000.0</v>
      </c>
      <c r="F109" s="491" t="s">
        <v>2484</v>
      </c>
      <c r="G109" s="396" t="s">
        <v>2485</v>
      </c>
      <c r="H109" s="187" t="s">
        <v>339</v>
      </c>
    </row>
    <row r="110" hidden="1">
      <c r="A110" s="38">
        <v>45436.0</v>
      </c>
      <c r="B110" s="45" t="s">
        <v>17</v>
      </c>
      <c r="C110" s="490" t="s">
        <v>2486</v>
      </c>
      <c r="D110" s="172"/>
      <c r="E110" s="172"/>
      <c r="F110" s="491" t="s">
        <v>2487</v>
      </c>
      <c r="G110" s="396" t="s">
        <v>2488</v>
      </c>
      <c r="H110" s="187" t="s">
        <v>339</v>
      </c>
    </row>
    <row r="111" hidden="1">
      <c r="A111" s="38">
        <v>45439.0</v>
      </c>
      <c r="B111" s="426" t="s">
        <v>17</v>
      </c>
      <c r="C111" s="172" t="s">
        <v>134</v>
      </c>
      <c r="D111" s="172"/>
      <c r="E111" s="172"/>
      <c r="F111" s="200" t="s">
        <v>2489</v>
      </c>
      <c r="G111" s="150" t="s">
        <v>2490</v>
      </c>
      <c r="H111" s="187" t="s">
        <v>339</v>
      </c>
    </row>
    <row r="112" hidden="1">
      <c r="A112" s="38">
        <v>45439.0</v>
      </c>
      <c r="B112" s="214" t="s">
        <v>17</v>
      </c>
      <c r="C112" s="185" t="s">
        <v>336</v>
      </c>
      <c r="D112" s="172"/>
      <c r="E112" s="172"/>
      <c r="F112" s="195" t="s">
        <v>2491</v>
      </c>
      <c r="G112" s="376" t="s">
        <v>2492</v>
      </c>
      <c r="H112" s="45" t="s">
        <v>726</v>
      </c>
    </row>
    <row r="113" hidden="1">
      <c r="A113" s="38">
        <v>45439.0</v>
      </c>
      <c r="B113" s="426" t="s">
        <v>17</v>
      </c>
      <c r="C113" s="172" t="s">
        <v>336</v>
      </c>
      <c r="D113" s="172"/>
      <c r="E113" s="172"/>
      <c r="F113" s="200" t="s">
        <v>2493</v>
      </c>
      <c r="G113" s="150" t="s">
        <v>2494</v>
      </c>
      <c r="H113" s="112" t="s">
        <v>726</v>
      </c>
    </row>
    <row r="114">
      <c r="A114" s="38">
        <v>45440.0</v>
      </c>
      <c r="B114" s="45" t="s">
        <v>11</v>
      </c>
      <c r="C114" s="40" t="s">
        <v>374</v>
      </c>
      <c r="D114" s="41">
        <v>1000.0</v>
      </c>
      <c r="E114" s="42">
        <v>150000.0</v>
      </c>
      <c r="F114" s="200" t="s">
        <v>2495</v>
      </c>
      <c r="G114" s="44" t="s">
        <v>2496</v>
      </c>
      <c r="H114" s="152" t="s">
        <v>339</v>
      </c>
    </row>
    <row r="115">
      <c r="A115" s="63">
        <v>45441.0</v>
      </c>
      <c r="B115" s="81" t="s">
        <v>11</v>
      </c>
      <c r="C115" s="217" t="s">
        <v>77</v>
      </c>
      <c r="D115" s="283">
        <v>9500.0</v>
      </c>
      <c r="E115" s="284">
        <v>250000.0</v>
      </c>
      <c r="F115" s="86" t="s">
        <v>2497</v>
      </c>
      <c r="G115" s="484" t="s">
        <v>2498</v>
      </c>
      <c r="H115" s="187" t="s">
        <v>2388</v>
      </c>
    </row>
    <row r="116">
      <c r="A116" s="232">
        <v>45450.0</v>
      </c>
      <c r="B116" s="237" t="s">
        <v>11</v>
      </c>
      <c r="C116" s="234" t="s">
        <v>2499</v>
      </c>
      <c r="D116" s="159">
        <v>9300.0</v>
      </c>
      <c r="E116" s="153">
        <v>200000.0</v>
      </c>
      <c r="F116" s="236" t="s">
        <v>2500</v>
      </c>
      <c r="G116" s="395" t="s">
        <v>2501</v>
      </c>
      <c r="H116" s="237" t="s">
        <v>339</v>
      </c>
    </row>
    <row r="117">
      <c r="A117" s="38">
        <v>45454.0</v>
      </c>
      <c r="B117" s="45" t="s">
        <v>11</v>
      </c>
      <c r="C117" s="40" t="s">
        <v>77</v>
      </c>
      <c r="D117" s="283">
        <v>9500.0</v>
      </c>
      <c r="E117" s="284">
        <v>250000.0</v>
      </c>
      <c r="F117" s="62" t="s">
        <v>2502</v>
      </c>
      <c r="G117" s="44" t="s">
        <v>2503</v>
      </c>
      <c r="H117" s="45" t="s">
        <v>339</v>
      </c>
    </row>
    <row r="118">
      <c r="A118" s="38">
        <v>45459.0</v>
      </c>
      <c r="B118" s="45" t="s">
        <v>11</v>
      </c>
      <c r="C118" s="40" t="s">
        <v>58</v>
      </c>
      <c r="D118" s="41">
        <v>2200.0</v>
      </c>
      <c r="E118" s="42">
        <v>500000.0</v>
      </c>
      <c r="F118" s="62" t="s">
        <v>2504</v>
      </c>
      <c r="G118" s="44" t="s">
        <v>2505</v>
      </c>
      <c r="H118" s="45" t="s">
        <v>2506</v>
      </c>
    </row>
    <row r="119" hidden="1">
      <c r="A119" s="38">
        <v>45459.0</v>
      </c>
      <c r="B119" s="45" t="s">
        <v>17</v>
      </c>
      <c r="C119" s="40" t="s">
        <v>134</v>
      </c>
      <c r="D119" s="40"/>
      <c r="E119" s="40"/>
      <c r="F119" s="62" t="s">
        <v>2507</v>
      </c>
      <c r="G119" s="44" t="s">
        <v>2508</v>
      </c>
      <c r="H119" s="45" t="s">
        <v>2506</v>
      </c>
    </row>
    <row r="120" hidden="1">
      <c r="A120" s="38">
        <v>45463.0</v>
      </c>
      <c r="B120" s="45" t="s">
        <v>17</v>
      </c>
      <c r="C120" s="40" t="s">
        <v>134</v>
      </c>
      <c r="D120" s="40"/>
      <c r="E120" s="40"/>
      <c r="F120" s="62" t="s">
        <v>2509</v>
      </c>
      <c r="G120" s="44" t="s">
        <v>2510</v>
      </c>
      <c r="H120" s="45" t="s">
        <v>2000</v>
      </c>
    </row>
    <row r="121">
      <c r="A121" s="38">
        <v>45464.0</v>
      </c>
      <c r="B121" s="45" t="s">
        <v>11</v>
      </c>
      <c r="C121" s="40" t="s">
        <v>374</v>
      </c>
      <c r="D121" s="41">
        <v>1000.0</v>
      </c>
      <c r="E121" s="42">
        <v>150000.0</v>
      </c>
      <c r="F121" s="62" t="s">
        <v>2511</v>
      </c>
      <c r="G121" s="44" t="s">
        <v>2512</v>
      </c>
      <c r="H121" s="45" t="s">
        <v>339</v>
      </c>
    </row>
    <row r="122">
      <c r="A122" s="38">
        <v>45465.0</v>
      </c>
      <c r="B122" s="45" t="s">
        <v>11</v>
      </c>
      <c r="C122" s="40" t="s">
        <v>1732</v>
      </c>
      <c r="D122" s="159">
        <v>9300.0</v>
      </c>
      <c r="E122" s="153">
        <v>200000.0</v>
      </c>
      <c r="F122" s="62" t="s">
        <v>2513</v>
      </c>
      <c r="G122" s="44" t="s">
        <v>2514</v>
      </c>
      <c r="H122" s="45" t="s">
        <v>2000</v>
      </c>
    </row>
    <row r="123" hidden="1">
      <c r="A123" s="38">
        <v>45465.0</v>
      </c>
      <c r="B123" s="45" t="s">
        <v>17</v>
      </c>
      <c r="C123" s="40" t="s">
        <v>2515</v>
      </c>
      <c r="D123" s="40"/>
      <c r="E123" s="40"/>
      <c r="F123" s="62" t="s">
        <v>2516</v>
      </c>
      <c r="G123" s="44" t="s">
        <v>2517</v>
      </c>
      <c r="H123" s="45" t="s">
        <v>2000</v>
      </c>
    </row>
    <row r="124">
      <c r="A124" s="38">
        <v>45466.0</v>
      </c>
      <c r="B124" s="45" t="s">
        <v>11</v>
      </c>
      <c r="C124" s="40" t="s">
        <v>58</v>
      </c>
      <c r="D124" s="41">
        <v>2200.0</v>
      </c>
      <c r="E124" s="42">
        <v>500000.0</v>
      </c>
      <c r="F124" s="62" t="s">
        <v>2518</v>
      </c>
      <c r="G124" s="44" t="s">
        <v>2519</v>
      </c>
      <c r="H124" s="45" t="s">
        <v>339</v>
      </c>
    </row>
    <row r="125" hidden="1">
      <c r="A125" s="63">
        <v>45466.0</v>
      </c>
      <c r="B125" s="47" t="s">
        <v>17</v>
      </c>
      <c r="C125" s="226" t="s">
        <v>134</v>
      </c>
      <c r="D125" s="40"/>
      <c r="E125" s="40"/>
      <c r="F125" s="229" t="s">
        <v>2520</v>
      </c>
      <c r="G125" s="46" t="s">
        <v>2521</v>
      </c>
      <c r="H125" s="47" t="s">
        <v>339</v>
      </c>
    </row>
    <row r="126">
      <c r="A126" s="63">
        <v>45466.0</v>
      </c>
      <c r="B126" s="47" t="s">
        <v>11</v>
      </c>
      <c r="C126" s="226" t="s">
        <v>58</v>
      </c>
      <c r="D126" s="41">
        <v>2200.0</v>
      </c>
      <c r="E126" s="42">
        <v>500000.0</v>
      </c>
      <c r="F126" s="229" t="s">
        <v>2522</v>
      </c>
      <c r="G126" s="46" t="s">
        <v>2523</v>
      </c>
      <c r="H126" s="47" t="s">
        <v>339</v>
      </c>
    </row>
    <row r="127" hidden="1">
      <c r="A127" s="218">
        <v>45468.0</v>
      </c>
      <c r="B127" s="178" t="s">
        <v>17</v>
      </c>
      <c r="C127" s="219" t="s">
        <v>134</v>
      </c>
      <c r="D127" s="40"/>
      <c r="E127" s="40"/>
      <c r="F127" s="221" t="s">
        <v>2524</v>
      </c>
      <c r="G127" s="183" t="s">
        <v>2525</v>
      </c>
      <c r="H127" s="178" t="s">
        <v>339</v>
      </c>
    </row>
    <row r="128">
      <c r="A128" s="204">
        <v>45474.0</v>
      </c>
      <c r="B128" s="39" t="s">
        <v>11</v>
      </c>
      <c r="C128" s="170" t="s">
        <v>77</v>
      </c>
      <c r="D128" s="283">
        <v>9500.0</v>
      </c>
      <c r="E128" s="284">
        <v>250000.0</v>
      </c>
      <c r="F128" s="224" t="s">
        <v>2526</v>
      </c>
      <c r="G128" s="166" t="s">
        <v>2527</v>
      </c>
      <c r="H128" s="39" t="s">
        <v>1472</v>
      </c>
    </row>
    <row r="129" hidden="1">
      <c r="A129" s="38">
        <v>45474.0</v>
      </c>
      <c r="B129" s="45" t="s">
        <v>17</v>
      </c>
      <c r="C129" s="40" t="s">
        <v>71</v>
      </c>
      <c r="D129" s="40"/>
      <c r="E129" s="40"/>
      <c r="F129" s="62" t="s">
        <v>2528</v>
      </c>
      <c r="G129" s="50" t="s">
        <v>2529</v>
      </c>
      <c r="H129" s="45" t="s">
        <v>1472</v>
      </c>
    </row>
    <row r="130">
      <c r="A130" s="38">
        <v>45474.0</v>
      </c>
      <c r="B130" s="45" t="s">
        <v>11</v>
      </c>
      <c r="C130" s="40" t="s">
        <v>58</v>
      </c>
      <c r="D130" s="41">
        <v>2200.0</v>
      </c>
      <c r="E130" s="42">
        <v>500000.0</v>
      </c>
      <c r="F130" s="62" t="s">
        <v>2530</v>
      </c>
      <c r="G130" s="44" t="s">
        <v>2531</v>
      </c>
      <c r="H130" s="45" t="s">
        <v>1472</v>
      </c>
    </row>
    <row r="131" hidden="1">
      <c r="A131" s="38">
        <v>45474.0</v>
      </c>
      <c r="B131" s="45" t="s">
        <v>17</v>
      </c>
      <c r="C131" s="40" t="s">
        <v>134</v>
      </c>
      <c r="D131" s="40"/>
      <c r="E131" s="40"/>
      <c r="F131" s="62" t="s">
        <v>2532</v>
      </c>
      <c r="G131" s="174" t="s">
        <v>2533</v>
      </c>
      <c r="H131" s="45" t="s">
        <v>1472</v>
      </c>
    </row>
    <row r="132" hidden="1">
      <c r="A132" s="38">
        <v>45485.0</v>
      </c>
      <c r="B132" s="45" t="s">
        <v>17</v>
      </c>
      <c r="C132" s="40" t="s">
        <v>2398</v>
      </c>
      <c r="D132" s="40"/>
      <c r="E132" s="40"/>
      <c r="F132" s="62" t="s">
        <v>2534</v>
      </c>
      <c r="G132" s="44" t="s">
        <v>2535</v>
      </c>
      <c r="H132" s="1" t="s">
        <v>2536</v>
      </c>
    </row>
    <row r="133">
      <c r="A133" s="38">
        <v>45488.0</v>
      </c>
      <c r="B133" s="45" t="s">
        <v>11</v>
      </c>
      <c r="C133" s="40" t="s">
        <v>77</v>
      </c>
      <c r="D133" s="283">
        <v>9500.0</v>
      </c>
      <c r="E133" s="284">
        <v>250000.0</v>
      </c>
      <c r="F133" s="62" t="s">
        <v>2537</v>
      </c>
      <c r="G133" s="44" t="s">
        <v>2538</v>
      </c>
      <c r="H133" s="1" t="s">
        <v>2536</v>
      </c>
    </row>
    <row r="134">
      <c r="A134" s="38">
        <v>45489.0</v>
      </c>
      <c r="B134" s="45" t="s">
        <v>11</v>
      </c>
      <c r="C134" s="40" t="s">
        <v>77</v>
      </c>
      <c r="D134" s="283">
        <v>9500.0</v>
      </c>
      <c r="E134" s="284">
        <v>250000.0</v>
      </c>
      <c r="F134" s="62" t="s">
        <v>2539</v>
      </c>
      <c r="G134" s="150" t="s">
        <v>2540</v>
      </c>
      <c r="H134" s="45" t="s">
        <v>339</v>
      </c>
    </row>
    <row r="135">
      <c r="A135" s="38">
        <v>45494.0</v>
      </c>
      <c r="B135" s="426" t="s">
        <v>11</v>
      </c>
      <c r="C135" s="172" t="s">
        <v>58</v>
      </c>
      <c r="D135" s="41">
        <v>2200.0</v>
      </c>
      <c r="E135" s="42">
        <v>500000.0</v>
      </c>
      <c r="F135" s="62" t="s">
        <v>2541</v>
      </c>
      <c r="G135" s="174" t="s">
        <v>2542</v>
      </c>
      <c r="H135" s="45" t="s">
        <v>339</v>
      </c>
    </row>
    <row r="136" hidden="1">
      <c r="A136" s="38">
        <v>45494.0</v>
      </c>
      <c r="B136" s="426" t="s">
        <v>17</v>
      </c>
      <c r="C136" s="172" t="s">
        <v>134</v>
      </c>
      <c r="D136" s="172"/>
      <c r="E136" s="172"/>
      <c r="F136" s="62" t="s">
        <v>2543</v>
      </c>
      <c r="G136" s="174" t="s">
        <v>2544</v>
      </c>
      <c r="H136" s="45" t="s">
        <v>339</v>
      </c>
    </row>
    <row r="137">
      <c r="A137" s="38">
        <v>45496.0</v>
      </c>
      <c r="B137" s="426" t="s">
        <v>11</v>
      </c>
      <c r="C137" s="172" t="s">
        <v>77</v>
      </c>
      <c r="D137" s="283">
        <v>9500.0</v>
      </c>
      <c r="E137" s="284">
        <v>250000.0</v>
      </c>
      <c r="F137" s="62" t="s">
        <v>2545</v>
      </c>
      <c r="G137" s="174" t="s">
        <v>2546</v>
      </c>
      <c r="H137" s="45" t="s">
        <v>1472</v>
      </c>
    </row>
    <row r="138" hidden="1">
      <c r="A138" s="38">
        <v>45496.0</v>
      </c>
      <c r="B138" s="426" t="s">
        <v>17</v>
      </c>
      <c r="C138" s="172" t="s">
        <v>2398</v>
      </c>
      <c r="D138" s="172"/>
      <c r="E138" s="172"/>
      <c r="F138" s="62" t="s">
        <v>2547</v>
      </c>
      <c r="G138" s="174" t="s">
        <v>2548</v>
      </c>
      <c r="H138" s="45" t="s">
        <v>1472</v>
      </c>
    </row>
    <row r="139">
      <c r="A139" s="204">
        <v>45496.0</v>
      </c>
      <c r="B139" s="39" t="s">
        <v>11</v>
      </c>
      <c r="C139" s="170" t="s">
        <v>77</v>
      </c>
      <c r="D139" s="283">
        <v>9500.0</v>
      </c>
      <c r="E139" s="284">
        <v>250000.0</v>
      </c>
      <c r="F139" s="224" t="s">
        <v>2549</v>
      </c>
      <c r="G139" s="166" t="s">
        <v>2550</v>
      </c>
      <c r="H139" s="112" t="s">
        <v>726</v>
      </c>
    </row>
    <row r="140">
      <c r="A140" s="38">
        <v>45496.0</v>
      </c>
      <c r="B140" s="39" t="s">
        <v>11</v>
      </c>
      <c r="C140" s="170" t="s">
        <v>2398</v>
      </c>
      <c r="D140" s="45"/>
      <c r="E140" s="45"/>
      <c r="F140" s="165" t="s">
        <v>2551</v>
      </c>
      <c r="G140" s="166" t="s">
        <v>2552</v>
      </c>
      <c r="H140" s="112" t="s">
        <v>726</v>
      </c>
    </row>
    <row r="141">
      <c r="A141" s="38">
        <v>45496.0</v>
      </c>
      <c r="B141" s="39" t="s">
        <v>11</v>
      </c>
      <c r="C141" s="170" t="s">
        <v>58</v>
      </c>
      <c r="D141" s="41">
        <v>2200.0</v>
      </c>
      <c r="E141" s="42">
        <v>500000.0</v>
      </c>
      <c r="F141" s="165" t="s">
        <v>2553</v>
      </c>
      <c r="G141" s="166" t="s">
        <v>2554</v>
      </c>
      <c r="H141" s="112" t="s">
        <v>726</v>
      </c>
    </row>
    <row r="142" hidden="1">
      <c r="A142" s="38">
        <v>45496.0</v>
      </c>
      <c r="B142" s="39" t="s">
        <v>17</v>
      </c>
      <c r="C142" s="170" t="s">
        <v>134</v>
      </c>
      <c r="D142" s="40"/>
      <c r="E142" s="40"/>
      <c r="F142" s="165" t="s">
        <v>2555</v>
      </c>
      <c r="G142" s="166" t="s">
        <v>2556</v>
      </c>
      <c r="H142" s="112" t="s">
        <v>726</v>
      </c>
    </row>
    <row r="143">
      <c r="A143" s="38">
        <v>45500.0</v>
      </c>
      <c r="B143" s="492" t="s">
        <v>11</v>
      </c>
      <c r="C143" s="40" t="s">
        <v>1732</v>
      </c>
      <c r="D143" s="159">
        <v>9300.0</v>
      </c>
      <c r="E143" s="153">
        <v>200000.0</v>
      </c>
      <c r="F143" s="62" t="s">
        <v>2557</v>
      </c>
      <c r="G143" s="44" t="s">
        <v>2558</v>
      </c>
      <c r="H143" s="45" t="s">
        <v>339</v>
      </c>
    </row>
    <row r="144" hidden="1">
      <c r="A144" s="38">
        <v>45501.0</v>
      </c>
      <c r="B144" s="492" t="s">
        <v>17</v>
      </c>
      <c r="C144" s="170" t="s">
        <v>134</v>
      </c>
      <c r="D144" s="40"/>
      <c r="E144" s="40"/>
      <c r="F144" s="62" t="s">
        <v>2559</v>
      </c>
      <c r="G144" s="150" t="s">
        <v>2560</v>
      </c>
      <c r="H144" s="45" t="s">
        <v>339</v>
      </c>
    </row>
    <row r="145">
      <c r="A145" s="38">
        <v>45502.0</v>
      </c>
      <c r="B145" s="492" t="s">
        <v>11</v>
      </c>
      <c r="C145" s="170" t="s">
        <v>58</v>
      </c>
      <c r="D145" s="41">
        <v>2200.0</v>
      </c>
      <c r="E145" s="42">
        <v>500000.0</v>
      </c>
      <c r="F145" s="62" t="s">
        <v>2561</v>
      </c>
      <c r="G145" s="150" t="s">
        <v>2562</v>
      </c>
      <c r="H145" s="45" t="s">
        <v>339</v>
      </c>
    </row>
    <row r="146" hidden="1">
      <c r="A146" s="63">
        <v>45503.0</v>
      </c>
      <c r="B146" s="243" t="s">
        <v>17</v>
      </c>
      <c r="C146" s="217" t="s">
        <v>58</v>
      </c>
      <c r="D146" s="40"/>
      <c r="E146" s="40"/>
      <c r="F146" s="244" t="s">
        <v>2563</v>
      </c>
      <c r="G146" s="381" t="s">
        <v>2564</v>
      </c>
      <c r="H146" s="47" t="s">
        <v>339</v>
      </c>
    </row>
    <row r="147">
      <c r="A147" s="456">
        <v>45512.0</v>
      </c>
      <c r="B147" s="493" t="s">
        <v>11</v>
      </c>
      <c r="C147" s="454" t="s">
        <v>77</v>
      </c>
      <c r="D147" s="283">
        <v>9500.0</v>
      </c>
      <c r="E147" s="284">
        <v>250000.0</v>
      </c>
      <c r="F147" s="494" t="s">
        <v>2565</v>
      </c>
      <c r="G147" s="495" t="s">
        <v>2566</v>
      </c>
      <c r="H147" s="496" t="s">
        <v>2408</v>
      </c>
    </row>
    <row r="148" hidden="1">
      <c r="A148" s="232">
        <v>45538.0</v>
      </c>
      <c r="B148" s="497" t="s">
        <v>17</v>
      </c>
      <c r="C148" s="234" t="s">
        <v>77</v>
      </c>
      <c r="D148" s="40"/>
      <c r="E148" s="40"/>
      <c r="F148" s="236" t="s">
        <v>2567</v>
      </c>
      <c r="G148" s="383" t="s">
        <v>2568</v>
      </c>
      <c r="H148" s="237" t="s">
        <v>2388</v>
      </c>
    </row>
    <row r="149">
      <c r="A149" s="38">
        <v>45539.0</v>
      </c>
      <c r="B149" s="22" t="s">
        <v>11</v>
      </c>
      <c r="C149" s="40" t="s">
        <v>1732</v>
      </c>
      <c r="D149" s="159">
        <v>9300.0</v>
      </c>
      <c r="E149" s="153">
        <v>200000.0</v>
      </c>
      <c r="F149" s="62" t="s">
        <v>2569</v>
      </c>
      <c r="G149" s="44" t="s">
        <v>2570</v>
      </c>
      <c r="H149" s="45" t="s">
        <v>339</v>
      </c>
    </row>
    <row r="150">
      <c r="A150" s="38">
        <v>45545.0</v>
      </c>
      <c r="B150" s="22" t="s">
        <v>11</v>
      </c>
      <c r="C150" s="40" t="s">
        <v>71</v>
      </c>
      <c r="D150" s="51">
        <v>1000.0</v>
      </c>
      <c r="E150" s="42">
        <v>100000.0</v>
      </c>
      <c r="F150" s="62" t="s">
        <v>2571</v>
      </c>
      <c r="G150" s="44" t="s">
        <v>2572</v>
      </c>
      <c r="H150" s="45" t="s">
        <v>339</v>
      </c>
    </row>
    <row r="151">
      <c r="A151" s="38">
        <v>45546.0</v>
      </c>
      <c r="B151" s="45" t="s">
        <v>11</v>
      </c>
      <c r="C151" s="170" t="s">
        <v>77</v>
      </c>
      <c r="D151" s="283">
        <v>9500.0</v>
      </c>
      <c r="E151" s="284">
        <v>250000.0</v>
      </c>
      <c r="F151" s="14" t="s">
        <v>2573</v>
      </c>
      <c r="G151" s="50" t="s">
        <v>2574</v>
      </c>
      <c r="H151" s="45" t="s">
        <v>339</v>
      </c>
    </row>
    <row r="152">
      <c r="A152" s="38">
        <v>45551.0</v>
      </c>
      <c r="B152" s="45" t="s">
        <v>11</v>
      </c>
      <c r="C152" s="217" t="s">
        <v>58</v>
      </c>
      <c r="D152" s="41">
        <v>2200.0</v>
      </c>
      <c r="E152" s="42">
        <v>500000.0</v>
      </c>
      <c r="F152" s="40" t="s">
        <v>2575</v>
      </c>
      <c r="G152" s="151" t="s">
        <v>2576</v>
      </c>
      <c r="H152" s="152" t="s">
        <v>339</v>
      </c>
    </row>
    <row r="153">
      <c r="A153" s="38">
        <v>45551.0</v>
      </c>
      <c r="B153" s="45" t="s">
        <v>11</v>
      </c>
      <c r="C153" s="40" t="s">
        <v>336</v>
      </c>
      <c r="D153" s="283">
        <v>1000.0</v>
      </c>
      <c r="E153" s="284">
        <v>30000.0</v>
      </c>
      <c r="F153" s="62" t="s">
        <v>2577</v>
      </c>
      <c r="G153" s="49" t="s">
        <v>2578</v>
      </c>
      <c r="H153" s="152" t="s">
        <v>339</v>
      </c>
    </row>
    <row r="154">
      <c r="A154" s="38">
        <v>45552.0</v>
      </c>
      <c r="B154" s="45" t="s">
        <v>11</v>
      </c>
      <c r="C154" s="170" t="s">
        <v>77</v>
      </c>
      <c r="D154" s="283">
        <v>9500.0</v>
      </c>
      <c r="E154" s="284">
        <v>250000.0</v>
      </c>
      <c r="F154" s="62" t="s">
        <v>2579</v>
      </c>
      <c r="G154" s="44" t="s">
        <v>2580</v>
      </c>
      <c r="H154" s="152" t="s">
        <v>2581</v>
      </c>
    </row>
    <row r="155">
      <c r="A155" s="38">
        <v>45554.0</v>
      </c>
      <c r="B155" s="45" t="s">
        <v>11</v>
      </c>
      <c r="C155" s="40" t="s">
        <v>58</v>
      </c>
      <c r="D155" s="41">
        <v>2200.0</v>
      </c>
      <c r="E155" s="42">
        <v>500000.0</v>
      </c>
      <c r="F155" s="62" t="s">
        <v>2582</v>
      </c>
      <c r="G155" s="44" t="s">
        <v>2583</v>
      </c>
      <c r="H155" s="152" t="s">
        <v>2581</v>
      </c>
    </row>
    <row r="156">
      <c r="A156" s="38">
        <v>45560.0</v>
      </c>
      <c r="B156" s="45" t="s">
        <v>11</v>
      </c>
      <c r="C156" s="40" t="s">
        <v>58</v>
      </c>
      <c r="D156" s="41">
        <v>2200.0</v>
      </c>
      <c r="E156" s="42">
        <v>500000.0</v>
      </c>
      <c r="F156" s="62" t="s">
        <v>2584</v>
      </c>
      <c r="G156" s="44" t="s">
        <v>2585</v>
      </c>
      <c r="H156" s="152" t="s">
        <v>339</v>
      </c>
    </row>
    <row r="157">
      <c r="A157" s="38">
        <v>45562.0</v>
      </c>
      <c r="B157" s="45" t="s">
        <v>11</v>
      </c>
      <c r="C157" s="40" t="s">
        <v>77</v>
      </c>
      <c r="D157" s="283">
        <v>9500.0</v>
      </c>
      <c r="E157" s="284">
        <v>250000.0</v>
      </c>
      <c r="F157" s="62" t="s">
        <v>2586</v>
      </c>
      <c r="G157" s="67" t="s">
        <v>2587</v>
      </c>
      <c r="H157" s="152" t="s">
        <v>339</v>
      </c>
    </row>
    <row r="158">
      <c r="A158" s="297">
        <v>45564.0</v>
      </c>
      <c r="B158" s="319" t="s">
        <v>5</v>
      </c>
      <c r="C158" s="299" t="s">
        <v>1264</v>
      </c>
      <c r="D158" s="159">
        <v>5000.0</v>
      </c>
      <c r="E158" s="171">
        <v>50000.0</v>
      </c>
      <c r="F158" s="320" t="s">
        <v>2588</v>
      </c>
      <c r="G158" s="498" t="s">
        <v>2589</v>
      </c>
      <c r="H158" s="304" t="s">
        <v>339</v>
      </c>
    </row>
    <row r="159">
      <c r="A159" s="204">
        <v>45567.0</v>
      </c>
      <c r="B159" s="39" t="s">
        <v>11</v>
      </c>
      <c r="C159" s="170" t="s">
        <v>77</v>
      </c>
      <c r="D159" s="283">
        <v>9500.0</v>
      </c>
      <c r="E159" s="284">
        <v>250000.0</v>
      </c>
      <c r="F159" s="224" t="s">
        <v>2590</v>
      </c>
      <c r="G159" s="166" t="s">
        <v>2591</v>
      </c>
      <c r="H159" s="112" t="s">
        <v>339</v>
      </c>
    </row>
    <row r="160">
      <c r="A160" s="38">
        <v>45574.0</v>
      </c>
      <c r="B160" s="45" t="s">
        <v>11</v>
      </c>
      <c r="C160" s="170" t="s">
        <v>432</v>
      </c>
      <c r="D160" s="45"/>
      <c r="E160" s="45"/>
      <c r="F160" s="224" t="s">
        <v>2592</v>
      </c>
      <c r="G160" s="166" t="s">
        <v>2593</v>
      </c>
      <c r="H160" s="112" t="s">
        <v>339</v>
      </c>
    </row>
    <row r="161">
      <c r="A161" s="38">
        <v>45574.0</v>
      </c>
      <c r="B161" s="45" t="s">
        <v>11</v>
      </c>
      <c r="C161" s="170" t="s">
        <v>77</v>
      </c>
      <c r="D161" s="283">
        <v>9500.0</v>
      </c>
      <c r="E161" s="284">
        <v>250000.0</v>
      </c>
      <c r="F161" s="62" t="s">
        <v>2592</v>
      </c>
      <c r="G161" s="44" t="s">
        <v>2593</v>
      </c>
      <c r="H161" s="152" t="s">
        <v>339</v>
      </c>
    </row>
    <row r="162">
      <c r="A162" s="38">
        <v>45576.0</v>
      </c>
      <c r="B162" s="45" t="s">
        <v>11</v>
      </c>
      <c r="C162" s="170" t="s">
        <v>77</v>
      </c>
      <c r="D162" s="283">
        <v>9500.0</v>
      </c>
      <c r="E162" s="284">
        <v>250000.0</v>
      </c>
      <c r="F162" s="62" t="s">
        <v>2594</v>
      </c>
      <c r="G162" s="44" t="s">
        <v>2595</v>
      </c>
      <c r="H162" s="152" t="s">
        <v>339</v>
      </c>
    </row>
    <row r="163">
      <c r="A163" s="38">
        <v>45577.0</v>
      </c>
      <c r="B163" s="45" t="s">
        <v>11</v>
      </c>
      <c r="C163" s="40" t="s">
        <v>2596</v>
      </c>
      <c r="D163" s="45"/>
      <c r="E163" s="45"/>
      <c r="F163" s="62" t="s">
        <v>2597</v>
      </c>
      <c r="G163" s="44" t="s">
        <v>2598</v>
      </c>
      <c r="H163" s="152" t="s">
        <v>339</v>
      </c>
    </row>
    <row r="164">
      <c r="A164" s="38">
        <v>45580.0</v>
      </c>
      <c r="B164" s="45" t="s">
        <v>11</v>
      </c>
      <c r="C164" s="170" t="s">
        <v>77</v>
      </c>
      <c r="D164" s="283">
        <v>9500.0</v>
      </c>
      <c r="E164" s="284">
        <v>250000.0</v>
      </c>
      <c r="F164" s="62" t="s">
        <v>2599</v>
      </c>
      <c r="G164" s="44" t="s">
        <v>2600</v>
      </c>
      <c r="H164" s="152" t="s">
        <v>339</v>
      </c>
    </row>
    <row r="165">
      <c r="A165" s="38">
        <v>45580.0</v>
      </c>
      <c r="B165" s="45" t="s">
        <v>11</v>
      </c>
      <c r="C165" s="40" t="s">
        <v>58</v>
      </c>
      <c r="D165" s="41">
        <v>2200.0</v>
      </c>
      <c r="E165" s="42">
        <v>500000.0</v>
      </c>
      <c r="F165" s="62" t="s">
        <v>2601</v>
      </c>
      <c r="G165" s="44" t="s">
        <v>2602</v>
      </c>
      <c r="H165" s="152" t="s">
        <v>339</v>
      </c>
    </row>
    <row r="166">
      <c r="A166" s="38">
        <v>45580.0</v>
      </c>
      <c r="B166" s="45" t="s">
        <v>11</v>
      </c>
      <c r="C166" s="40" t="s">
        <v>71</v>
      </c>
      <c r="D166" s="51">
        <v>1000.0</v>
      </c>
      <c r="E166" s="42">
        <v>100000.0</v>
      </c>
      <c r="F166" s="62" t="s">
        <v>2603</v>
      </c>
      <c r="G166" s="44" t="s">
        <v>2604</v>
      </c>
      <c r="H166" s="152" t="s">
        <v>339</v>
      </c>
    </row>
    <row r="167">
      <c r="A167" s="38">
        <v>45580.0</v>
      </c>
      <c r="B167" s="45" t="s">
        <v>5</v>
      </c>
      <c r="C167" s="40" t="s">
        <v>1573</v>
      </c>
      <c r="D167" s="267">
        <v>10000.0</v>
      </c>
      <c r="E167" s="267">
        <v>1500000.0</v>
      </c>
      <c r="F167" s="62" t="s">
        <v>2605</v>
      </c>
      <c r="G167" s="50" t="s">
        <v>2606</v>
      </c>
      <c r="H167" s="152" t="s">
        <v>339</v>
      </c>
    </row>
    <row r="168">
      <c r="A168" s="38">
        <v>45580.0</v>
      </c>
      <c r="B168" s="45" t="s">
        <v>11</v>
      </c>
      <c r="C168" s="40" t="s">
        <v>58</v>
      </c>
      <c r="D168" s="41">
        <v>2200.0</v>
      </c>
      <c r="E168" s="42">
        <v>500000.0</v>
      </c>
      <c r="F168" s="62" t="s">
        <v>435</v>
      </c>
      <c r="G168" s="50" t="s">
        <v>2602</v>
      </c>
      <c r="H168" s="152" t="s">
        <v>339</v>
      </c>
    </row>
    <row r="169">
      <c r="A169" s="38">
        <v>45580.0</v>
      </c>
      <c r="B169" s="45" t="s">
        <v>11</v>
      </c>
      <c r="C169" s="40" t="s">
        <v>71</v>
      </c>
      <c r="D169" s="51">
        <v>1000.0</v>
      </c>
      <c r="E169" s="42">
        <v>100000.0</v>
      </c>
      <c r="F169" s="62" t="s">
        <v>2607</v>
      </c>
      <c r="G169" s="50" t="s">
        <v>2608</v>
      </c>
      <c r="H169" s="152" t="s">
        <v>339</v>
      </c>
    </row>
    <row r="170">
      <c r="A170" s="38">
        <v>45581.0</v>
      </c>
      <c r="B170" s="45" t="s">
        <v>11</v>
      </c>
      <c r="C170" s="40" t="s">
        <v>2609</v>
      </c>
      <c r="D170" s="45"/>
      <c r="E170" s="45"/>
      <c r="F170" s="229" t="s">
        <v>2607</v>
      </c>
      <c r="G170" s="79" t="s">
        <v>2610</v>
      </c>
      <c r="H170" s="152" t="s">
        <v>339</v>
      </c>
    </row>
    <row r="171">
      <c r="A171" s="38">
        <v>45581.0</v>
      </c>
      <c r="B171" s="45" t="s">
        <v>11</v>
      </c>
      <c r="C171" s="40" t="s">
        <v>77</v>
      </c>
      <c r="D171" s="283">
        <v>9500.0</v>
      </c>
      <c r="E171" s="284">
        <v>250000.0</v>
      </c>
      <c r="F171" s="62" t="s">
        <v>2611</v>
      </c>
      <c r="G171" s="50" t="s">
        <v>2612</v>
      </c>
      <c r="H171" s="152" t="s">
        <v>339</v>
      </c>
    </row>
    <row r="172">
      <c r="A172" s="38">
        <v>45581.0</v>
      </c>
      <c r="B172" s="45" t="s">
        <v>11</v>
      </c>
      <c r="C172" s="40" t="s">
        <v>68</v>
      </c>
      <c r="D172" s="41">
        <v>3000.0</v>
      </c>
      <c r="E172" s="42">
        <v>40000.0</v>
      </c>
      <c r="F172" s="62" t="s">
        <v>2613</v>
      </c>
      <c r="G172" s="50" t="s">
        <v>2614</v>
      </c>
      <c r="H172" s="152" t="s">
        <v>339</v>
      </c>
    </row>
    <row r="173">
      <c r="A173" s="38">
        <v>45581.0</v>
      </c>
      <c r="B173" s="45" t="s">
        <v>11</v>
      </c>
      <c r="C173" s="40" t="s">
        <v>374</v>
      </c>
      <c r="D173" s="41">
        <v>1000.0</v>
      </c>
      <c r="E173" s="42">
        <v>150000.0</v>
      </c>
      <c r="F173" s="62" t="s">
        <v>2615</v>
      </c>
      <c r="G173" s="50" t="s">
        <v>2616</v>
      </c>
      <c r="H173" s="152" t="s">
        <v>339</v>
      </c>
    </row>
    <row r="174" hidden="1">
      <c r="A174" s="38">
        <v>45582.0</v>
      </c>
      <c r="B174" s="45" t="s">
        <v>17</v>
      </c>
      <c r="C174" s="40" t="s">
        <v>2617</v>
      </c>
      <c r="D174" s="40"/>
      <c r="E174" s="40"/>
      <c r="F174" s="62" t="s">
        <v>2618</v>
      </c>
      <c r="G174" s="67" t="s">
        <v>2619</v>
      </c>
      <c r="H174" s="152" t="s">
        <v>339</v>
      </c>
    </row>
    <row r="175" hidden="1">
      <c r="A175" s="38">
        <v>45582.0</v>
      </c>
      <c r="B175" s="45" t="s">
        <v>17</v>
      </c>
      <c r="C175" s="40" t="s">
        <v>145</v>
      </c>
      <c r="D175" s="40"/>
      <c r="E175" s="40"/>
      <c r="F175" s="50" t="s">
        <v>2620</v>
      </c>
      <c r="G175" s="186" t="s">
        <v>2621</v>
      </c>
      <c r="H175" s="152" t="s">
        <v>339</v>
      </c>
    </row>
    <row r="176">
      <c r="A176" s="38">
        <v>45582.0</v>
      </c>
      <c r="B176" s="45" t="s">
        <v>11</v>
      </c>
      <c r="C176" s="40" t="s">
        <v>58</v>
      </c>
      <c r="D176" s="41">
        <v>2200.0</v>
      </c>
      <c r="E176" s="42">
        <v>500000.0</v>
      </c>
      <c r="F176" s="62" t="s">
        <v>2622</v>
      </c>
      <c r="G176" s="44" t="s">
        <v>2623</v>
      </c>
      <c r="H176" s="152" t="s">
        <v>339</v>
      </c>
    </row>
    <row r="177">
      <c r="A177" s="38">
        <v>45583.0</v>
      </c>
      <c r="B177" s="45" t="s">
        <v>11</v>
      </c>
      <c r="C177" s="40" t="s">
        <v>58</v>
      </c>
      <c r="D177" s="41">
        <v>2200.0</v>
      </c>
      <c r="E177" s="42">
        <v>500000.0</v>
      </c>
      <c r="F177" s="62" t="s">
        <v>2622</v>
      </c>
      <c r="G177" s="44" t="s">
        <v>2624</v>
      </c>
      <c r="H177" s="152" t="s">
        <v>339</v>
      </c>
    </row>
    <row r="178" hidden="1">
      <c r="A178" s="38">
        <v>45585.0</v>
      </c>
      <c r="B178" s="45" t="s">
        <v>17</v>
      </c>
      <c r="C178" s="40" t="s">
        <v>137</v>
      </c>
      <c r="D178" s="40"/>
      <c r="E178" s="40"/>
      <c r="F178" s="62" t="s">
        <v>2625</v>
      </c>
      <c r="G178" s="150" t="s">
        <v>2626</v>
      </c>
      <c r="H178" s="152" t="s">
        <v>339</v>
      </c>
    </row>
    <row r="179" hidden="1">
      <c r="A179" s="38">
        <v>45586.0</v>
      </c>
      <c r="B179" s="45" t="s">
        <v>17</v>
      </c>
      <c r="C179" s="40" t="s">
        <v>2627</v>
      </c>
      <c r="D179" s="40"/>
      <c r="E179" s="40"/>
      <c r="F179" s="62" t="s">
        <v>2628</v>
      </c>
      <c r="G179" s="50" t="s">
        <v>2629</v>
      </c>
      <c r="H179" s="152" t="s">
        <v>339</v>
      </c>
    </row>
    <row r="180">
      <c r="A180" s="38">
        <v>45588.0</v>
      </c>
      <c r="B180" s="45" t="s">
        <v>11</v>
      </c>
      <c r="C180" s="242" t="s">
        <v>336</v>
      </c>
      <c r="D180" s="283">
        <v>1000.0</v>
      </c>
      <c r="E180" s="284">
        <v>30000.0</v>
      </c>
      <c r="F180" s="14" t="s">
        <v>2630</v>
      </c>
      <c r="G180" s="67" t="s">
        <v>2631</v>
      </c>
      <c r="H180" s="152" t="s">
        <v>2632</v>
      </c>
    </row>
    <row r="181">
      <c r="A181" s="38">
        <v>45594.0</v>
      </c>
      <c r="B181" s="45" t="s">
        <v>11</v>
      </c>
      <c r="C181" s="242" t="s">
        <v>68</v>
      </c>
      <c r="D181" s="41">
        <v>3000.0</v>
      </c>
      <c r="E181" s="42">
        <v>40000.0</v>
      </c>
      <c r="F181" s="14" t="s">
        <v>2633</v>
      </c>
      <c r="G181" s="188" t="s">
        <v>2634</v>
      </c>
      <c r="H181" s="152" t="s">
        <v>339</v>
      </c>
    </row>
    <row r="182">
      <c r="A182" s="38">
        <v>45594.0</v>
      </c>
      <c r="B182" s="45" t="s">
        <v>11</v>
      </c>
      <c r="C182" s="40" t="s">
        <v>77</v>
      </c>
      <c r="D182" s="283">
        <v>9500.0</v>
      </c>
      <c r="E182" s="284">
        <v>250000.0</v>
      </c>
      <c r="F182" s="62" t="s">
        <v>2635</v>
      </c>
      <c r="G182" s="44" t="s">
        <v>2636</v>
      </c>
      <c r="H182" s="152" t="s">
        <v>339</v>
      </c>
    </row>
    <row r="183" hidden="1">
      <c r="A183" s="63">
        <v>45593.0</v>
      </c>
      <c r="B183" s="47" t="s">
        <v>17</v>
      </c>
      <c r="C183" s="226" t="s">
        <v>2637</v>
      </c>
      <c r="D183" s="40"/>
      <c r="E183" s="40"/>
      <c r="F183" s="278" t="s">
        <v>2638</v>
      </c>
      <c r="G183" s="406" t="s">
        <v>2639</v>
      </c>
      <c r="H183" s="187" t="s">
        <v>339</v>
      </c>
    </row>
    <row r="184" hidden="1">
      <c r="A184" s="232">
        <v>45597.0</v>
      </c>
      <c r="B184" s="237" t="s">
        <v>17</v>
      </c>
      <c r="C184" s="234" t="s">
        <v>2640</v>
      </c>
      <c r="D184" s="40"/>
      <c r="E184" s="40"/>
      <c r="F184" s="236" t="s">
        <v>2641</v>
      </c>
      <c r="G184" s="395" t="s">
        <v>2642</v>
      </c>
      <c r="H184" s="225" t="s">
        <v>339</v>
      </c>
    </row>
    <row r="185">
      <c r="A185" s="38">
        <v>45603.0</v>
      </c>
      <c r="B185" s="45" t="s">
        <v>11</v>
      </c>
      <c r="C185" s="242" t="s">
        <v>68</v>
      </c>
      <c r="D185" s="41">
        <v>3000.0</v>
      </c>
      <c r="E185" s="42">
        <v>40000.0</v>
      </c>
      <c r="F185" s="62" t="s">
        <v>2643</v>
      </c>
      <c r="G185" s="173" t="s">
        <v>2644</v>
      </c>
      <c r="H185" s="45" t="s">
        <v>339</v>
      </c>
    </row>
    <row r="186">
      <c r="A186" s="38">
        <v>45603.0</v>
      </c>
      <c r="B186" s="45" t="s">
        <v>11</v>
      </c>
      <c r="C186" s="40" t="s">
        <v>71</v>
      </c>
      <c r="D186" s="51">
        <v>1000.0</v>
      </c>
      <c r="E186" s="42">
        <v>100000.0</v>
      </c>
      <c r="F186" s="62" t="s">
        <v>2645</v>
      </c>
      <c r="G186" s="44" t="s">
        <v>2646</v>
      </c>
      <c r="H186" s="45" t="s">
        <v>339</v>
      </c>
    </row>
    <row r="187">
      <c r="A187" s="38">
        <v>45603.0</v>
      </c>
      <c r="B187" s="45" t="s">
        <v>11</v>
      </c>
      <c r="C187" s="242" t="s">
        <v>77</v>
      </c>
      <c r="D187" s="283">
        <v>9500.0</v>
      </c>
      <c r="E187" s="284">
        <v>250000.0</v>
      </c>
      <c r="F187" s="3" t="s">
        <v>2647</v>
      </c>
      <c r="G187" s="67" t="s">
        <v>2648</v>
      </c>
      <c r="H187" s="45" t="s">
        <v>339</v>
      </c>
    </row>
    <row r="188" hidden="1">
      <c r="A188" s="38">
        <v>45603.0</v>
      </c>
      <c r="B188" s="45" t="s">
        <v>17</v>
      </c>
      <c r="C188" s="242" t="s">
        <v>101</v>
      </c>
      <c r="D188" s="242"/>
      <c r="E188" s="242"/>
      <c r="F188" s="62" t="s">
        <v>2649</v>
      </c>
      <c r="G188" s="173" t="s">
        <v>2650</v>
      </c>
      <c r="H188" s="45" t="s">
        <v>339</v>
      </c>
    </row>
    <row r="189">
      <c r="A189" s="38">
        <v>45604.0</v>
      </c>
      <c r="B189" s="45" t="s">
        <v>11</v>
      </c>
      <c r="C189" s="40" t="s">
        <v>336</v>
      </c>
      <c r="D189" s="283">
        <v>1000.0</v>
      </c>
      <c r="E189" s="284">
        <v>30000.0</v>
      </c>
      <c r="F189" s="62" t="s">
        <v>2651</v>
      </c>
      <c r="G189" s="44" t="s">
        <v>2652</v>
      </c>
      <c r="H189" s="45" t="s">
        <v>339</v>
      </c>
    </row>
    <row r="190" hidden="1">
      <c r="A190" s="38">
        <v>45605.0</v>
      </c>
      <c r="B190" s="45" t="s">
        <v>17</v>
      </c>
      <c r="C190" s="40" t="s">
        <v>2653</v>
      </c>
      <c r="D190" s="40"/>
      <c r="E190" s="40"/>
      <c r="F190" s="62" t="s">
        <v>2654</v>
      </c>
      <c r="G190" s="44" t="s">
        <v>2655</v>
      </c>
      <c r="H190" s="45" t="s">
        <v>339</v>
      </c>
    </row>
    <row r="191">
      <c r="A191" s="38">
        <v>45607.0</v>
      </c>
      <c r="B191" s="45" t="s">
        <v>11</v>
      </c>
      <c r="C191" s="40" t="s">
        <v>58</v>
      </c>
      <c r="D191" s="41">
        <v>2200.0</v>
      </c>
      <c r="E191" s="42">
        <v>500000.0</v>
      </c>
      <c r="F191" s="62" t="s">
        <v>2656</v>
      </c>
      <c r="G191" s="150" t="s">
        <v>2657</v>
      </c>
      <c r="H191" s="45" t="s">
        <v>339</v>
      </c>
    </row>
    <row r="192" hidden="1">
      <c r="A192" s="38">
        <v>45609.0</v>
      </c>
      <c r="B192" s="45" t="s">
        <v>17</v>
      </c>
      <c r="C192" s="40" t="s">
        <v>473</v>
      </c>
      <c r="D192" s="40"/>
      <c r="E192" s="40"/>
      <c r="F192" s="3" t="s">
        <v>2658</v>
      </c>
      <c r="G192" s="67" t="s">
        <v>2659</v>
      </c>
      <c r="H192" s="45" t="s">
        <v>339</v>
      </c>
    </row>
    <row r="193">
      <c r="A193" s="38">
        <v>45613.0</v>
      </c>
      <c r="B193" s="45" t="s">
        <v>11</v>
      </c>
      <c r="C193" s="40" t="s">
        <v>58</v>
      </c>
      <c r="D193" s="41">
        <v>2200.0</v>
      </c>
      <c r="E193" s="42">
        <v>500000.0</v>
      </c>
      <c r="F193" s="62" t="s">
        <v>2660</v>
      </c>
      <c r="G193" s="150" t="s">
        <v>2661</v>
      </c>
      <c r="H193" s="45" t="s">
        <v>339</v>
      </c>
    </row>
    <row r="194" hidden="1">
      <c r="A194" s="38">
        <v>45613.0</v>
      </c>
      <c r="B194" s="45" t="s">
        <v>17</v>
      </c>
      <c r="C194" s="40" t="s">
        <v>145</v>
      </c>
      <c r="D194" s="40"/>
      <c r="E194" s="40"/>
      <c r="F194" s="62" t="s">
        <v>2662</v>
      </c>
      <c r="G194" s="44" t="s">
        <v>2663</v>
      </c>
      <c r="H194" s="45" t="s">
        <v>339</v>
      </c>
    </row>
    <row r="195" hidden="1">
      <c r="A195" s="38">
        <v>45613.0</v>
      </c>
      <c r="B195" s="45" t="s">
        <v>17</v>
      </c>
      <c r="C195" s="40" t="s">
        <v>2664</v>
      </c>
      <c r="D195" s="40"/>
      <c r="E195" s="40"/>
      <c r="F195" s="241" t="s">
        <v>2665</v>
      </c>
      <c r="G195" s="150" t="s">
        <v>2666</v>
      </c>
      <c r="H195" s="45" t="s">
        <v>339</v>
      </c>
    </row>
    <row r="196">
      <c r="A196" s="38">
        <v>45618.0</v>
      </c>
      <c r="B196" s="45" t="s">
        <v>11</v>
      </c>
      <c r="C196" s="242" t="s">
        <v>77</v>
      </c>
      <c r="D196" s="283">
        <v>9500.0</v>
      </c>
      <c r="E196" s="284">
        <v>250000.0</v>
      </c>
      <c r="F196" s="241" t="s">
        <v>2667</v>
      </c>
      <c r="G196" s="150" t="s">
        <v>2668</v>
      </c>
      <c r="H196" s="45" t="s">
        <v>339</v>
      </c>
    </row>
    <row r="197">
      <c r="A197" s="63">
        <v>45624.0</v>
      </c>
      <c r="B197" s="47" t="s">
        <v>11</v>
      </c>
      <c r="C197" s="499" t="s">
        <v>77</v>
      </c>
      <c r="D197" s="283">
        <v>9500.0</v>
      </c>
      <c r="E197" s="284">
        <v>250000.0</v>
      </c>
      <c r="F197" s="3" t="s">
        <v>2669</v>
      </c>
      <c r="G197" s="188" t="s">
        <v>2670</v>
      </c>
      <c r="H197" s="47" t="s">
        <v>339</v>
      </c>
    </row>
    <row r="198" hidden="1">
      <c r="A198" s="68">
        <v>45628.0</v>
      </c>
      <c r="B198" s="69" t="s">
        <v>17</v>
      </c>
      <c r="C198" s="70" t="s">
        <v>66</v>
      </c>
      <c r="D198" s="40"/>
      <c r="E198" s="40"/>
      <c r="F198" s="500" t="s">
        <v>2671</v>
      </c>
      <c r="G198" s="501" t="s">
        <v>2672</v>
      </c>
      <c r="H198" s="69" t="s">
        <v>339</v>
      </c>
    </row>
    <row r="199">
      <c r="A199" s="38">
        <v>45628.0</v>
      </c>
      <c r="B199" s="45" t="s">
        <v>11</v>
      </c>
      <c r="C199" s="40" t="s">
        <v>58</v>
      </c>
      <c r="D199" s="41">
        <v>2200.0</v>
      </c>
      <c r="E199" s="42">
        <v>500000.0</v>
      </c>
      <c r="F199" s="241" t="s">
        <v>2671</v>
      </c>
      <c r="G199" s="150" t="s">
        <v>2673</v>
      </c>
      <c r="H199" s="45" t="s">
        <v>339</v>
      </c>
    </row>
    <row r="200">
      <c r="A200" s="38">
        <v>45630.0</v>
      </c>
      <c r="B200" s="45" t="s">
        <v>11</v>
      </c>
      <c r="C200" s="40" t="s">
        <v>336</v>
      </c>
      <c r="D200" s="283">
        <v>1000.0</v>
      </c>
      <c r="E200" s="284">
        <v>30000.0</v>
      </c>
      <c r="F200" s="241" t="s">
        <v>2674</v>
      </c>
      <c r="G200" s="150" t="s">
        <v>2675</v>
      </c>
      <c r="H200" s="45" t="s">
        <v>2676</v>
      </c>
    </row>
    <row r="201">
      <c r="A201" s="38">
        <v>45633.0</v>
      </c>
      <c r="B201" s="45" t="s">
        <v>11</v>
      </c>
      <c r="C201" s="107" t="s">
        <v>2677</v>
      </c>
      <c r="D201" s="502"/>
      <c r="E201" s="502"/>
      <c r="F201" s="62" t="s">
        <v>2678</v>
      </c>
      <c r="G201" s="150" t="s">
        <v>2679</v>
      </c>
      <c r="H201" s="45" t="s">
        <v>339</v>
      </c>
    </row>
    <row r="202" hidden="1">
      <c r="A202" s="38">
        <v>45633.0</v>
      </c>
      <c r="B202" s="45" t="s">
        <v>17</v>
      </c>
      <c r="C202" s="433" t="s">
        <v>2680</v>
      </c>
      <c r="D202" s="291"/>
      <c r="E202" s="291"/>
      <c r="F202" s="241" t="s">
        <v>2681</v>
      </c>
      <c r="G202" s="150" t="s">
        <v>2682</v>
      </c>
      <c r="H202" s="45" t="s">
        <v>339</v>
      </c>
    </row>
    <row r="203" hidden="1">
      <c r="A203" s="38">
        <v>45635.0</v>
      </c>
      <c r="B203" s="45" t="s">
        <v>17</v>
      </c>
      <c r="C203" s="40" t="s">
        <v>66</v>
      </c>
      <c r="D203" s="40"/>
      <c r="E203" s="40"/>
      <c r="F203" s="62" t="s">
        <v>2683</v>
      </c>
      <c r="G203" s="44" t="s">
        <v>2684</v>
      </c>
      <c r="H203" s="45" t="s">
        <v>339</v>
      </c>
    </row>
    <row r="204">
      <c r="A204" s="38">
        <v>45635.0</v>
      </c>
      <c r="B204" s="45" t="s">
        <v>11</v>
      </c>
      <c r="C204" s="40" t="s">
        <v>58</v>
      </c>
      <c r="D204" s="41">
        <v>2200.0</v>
      </c>
      <c r="E204" s="42">
        <v>500000.0</v>
      </c>
      <c r="F204" s="241" t="s">
        <v>2685</v>
      </c>
      <c r="G204" s="150" t="s">
        <v>2686</v>
      </c>
      <c r="H204" s="45" t="s">
        <v>339</v>
      </c>
    </row>
    <row r="205">
      <c r="A205" s="38">
        <v>45635.0</v>
      </c>
      <c r="B205" s="45" t="s">
        <v>11</v>
      </c>
      <c r="C205" s="40" t="s">
        <v>58</v>
      </c>
      <c r="D205" s="41">
        <v>2200.0</v>
      </c>
      <c r="E205" s="42">
        <v>500000.0</v>
      </c>
      <c r="F205" s="244" t="s">
        <v>2687</v>
      </c>
      <c r="G205" s="396" t="s">
        <v>2688</v>
      </c>
      <c r="H205" s="45" t="s">
        <v>339</v>
      </c>
    </row>
    <row r="206">
      <c r="A206" s="38">
        <v>45636.0</v>
      </c>
      <c r="B206" s="45" t="s">
        <v>11</v>
      </c>
      <c r="C206" s="242" t="s">
        <v>77</v>
      </c>
      <c r="D206" s="283">
        <v>9500.0</v>
      </c>
      <c r="E206" s="284">
        <v>250000.0</v>
      </c>
      <c r="F206" s="62" t="s">
        <v>2689</v>
      </c>
      <c r="G206" s="44" t="s">
        <v>2690</v>
      </c>
      <c r="H206" s="45" t="s">
        <v>339</v>
      </c>
    </row>
    <row r="207">
      <c r="A207" s="38">
        <v>45641.0</v>
      </c>
      <c r="B207" s="45" t="s">
        <v>11</v>
      </c>
      <c r="C207" s="40" t="s">
        <v>58</v>
      </c>
      <c r="D207" s="41">
        <v>2200.0</v>
      </c>
      <c r="E207" s="42">
        <v>500000.0</v>
      </c>
      <c r="F207" s="62" t="s">
        <v>2691</v>
      </c>
      <c r="G207" s="44" t="s">
        <v>2692</v>
      </c>
      <c r="H207" s="45" t="s">
        <v>339</v>
      </c>
    </row>
    <row r="208">
      <c r="A208" s="38">
        <v>45648.0</v>
      </c>
      <c r="B208" s="45" t="s">
        <v>11</v>
      </c>
      <c r="C208" s="40" t="s">
        <v>58</v>
      </c>
      <c r="D208" s="41">
        <v>2200.0</v>
      </c>
      <c r="E208" s="42">
        <v>500000.0</v>
      </c>
      <c r="F208" s="3" t="s">
        <v>2693</v>
      </c>
      <c r="G208" s="50" t="s">
        <v>2694</v>
      </c>
      <c r="H208" s="45" t="s">
        <v>339</v>
      </c>
    </row>
    <row r="209" hidden="1">
      <c r="A209" s="38">
        <v>45648.0</v>
      </c>
      <c r="B209" s="45" t="s">
        <v>17</v>
      </c>
      <c r="C209" s="291" t="s">
        <v>145</v>
      </c>
      <c r="D209" s="291"/>
      <c r="E209" s="291"/>
      <c r="F209" s="241" t="s">
        <v>2693</v>
      </c>
      <c r="G209" s="150" t="s">
        <v>2695</v>
      </c>
      <c r="H209" s="45" t="s">
        <v>339</v>
      </c>
    </row>
    <row r="210">
      <c r="A210" s="38">
        <v>45652.0</v>
      </c>
      <c r="B210" s="45" t="s">
        <v>11</v>
      </c>
      <c r="C210" s="40" t="s">
        <v>432</v>
      </c>
      <c r="D210" s="45"/>
      <c r="E210" s="45"/>
      <c r="F210" s="62" t="s">
        <v>2696</v>
      </c>
      <c r="G210" s="44" t="s">
        <v>2697</v>
      </c>
      <c r="H210" s="45" t="s">
        <v>339</v>
      </c>
    </row>
    <row r="211">
      <c r="A211" s="38">
        <v>45656.0</v>
      </c>
      <c r="B211" s="45" t="s">
        <v>11</v>
      </c>
      <c r="C211" s="40" t="s">
        <v>58</v>
      </c>
      <c r="D211" s="41">
        <v>2200.0</v>
      </c>
      <c r="E211" s="42">
        <v>500000.0</v>
      </c>
      <c r="F211" s="62" t="s">
        <v>2698</v>
      </c>
      <c r="G211" s="150" t="s">
        <v>2699</v>
      </c>
      <c r="H211" s="45" t="s">
        <v>339</v>
      </c>
    </row>
    <row r="212">
      <c r="C212" s="449"/>
      <c r="D212" s="449"/>
      <c r="E212" s="449"/>
    </row>
    <row r="213">
      <c r="A213" s="38"/>
      <c r="B213" s="39"/>
      <c r="C213" s="242"/>
      <c r="D213" s="242"/>
      <c r="E213" s="242"/>
      <c r="F213" s="62"/>
      <c r="G213" s="43"/>
      <c r="H213" s="152"/>
    </row>
    <row r="214">
      <c r="A214" s="38"/>
      <c r="B214" s="45"/>
      <c r="C214" s="242"/>
      <c r="D214" s="242"/>
      <c r="E214" s="242"/>
      <c r="F214" s="62"/>
      <c r="G214" s="211"/>
      <c r="H214" s="152"/>
    </row>
    <row r="215">
      <c r="A215" s="38"/>
      <c r="B215" s="45"/>
      <c r="C215" s="40"/>
      <c r="D215" s="40"/>
      <c r="E215" s="40"/>
      <c r="F215" s="241"/>
      <c r="G215" s="211"/>
      <c r="H215" s="152"/>
    </row>
    <row r="216">
      <c r="A216" s="38"/>
      <c r="B216" s="39"/>
      <c r="C216" s="40"/>
      <c r="D216" s="40"/>
      <c r="E216" s="40"/>
      <c r="F216" s="241"/>
      <c r="G216" s="211"/>
      <c r="H216" s="152"/>
    </row>
    <row r="217">
      <c r="A217" s="38"/>
      <c r="B217" s="45"/>
      <c r="C217" s="40"/>
      <c r="D217" s="115"/>
      <c r="E217" s="115"/>
      <c r="F217" s="296"/>
      <c r="G217" s="211"/>
      <c r="H217" s="152"/>
    </row>
    <row r="218">
      <c r="A218" s="297"/>
      <c r="B218" s="298"/>
      <c r="C218" s="299"/>
      <c r="D218" s="299"/>
      <c r="E218" s="299"/>
      <c r="F218" s="302"/>
      <c r="G218" s="303"/>
      <c r="H218" s="304"/>
    </row>
    <row r="219">
      <c r="A219" s="204"/>
      <c r="B219" s="39"/>
      <c r="C219" s="170"/>
      <c r="D219" s="115"/>
      <c r="E219" s="115"/>
      <c r="F219" s="295"/>
      <c r="G219" s="216"/>
      <c r="H219" s="112"/>
    </row>
    <row r="220">
      <c r="A220" s="204"/>
      <c r="B220" s="305"/>
      <c r="C220" s="306"/>
      <c r="D220" s="306"/>
      <c r="E220" s="306"/>
      <c r="F220" s="309"/>
      <c r="G220" s="310"/>
      <c r="H220" s="311"/>
    </row>
    <row r="221">
      <c r="A221" s="38"/>
      <c r="B221" s="39"/>
      <c r="C221" s="40"/>
      <c r="D221" s="40"/>
      <c r="E221" s="40"/>
      <c r="F221" s="62"/>
      <c r="G221" s="43"/>
      <c r="H221" s="152"/>
    </row>
    <row r="222">
      <c r="A222" s="38"/>
      <c r="B222" s="45"/>
      <c r="C222" s="40"/>
      <c r="D222" s="40"/>
      <c r="E222" s="40"/>
      <c r="F222" s="62"/>
      <c r="G222" s="43"/>
      <c r="H222" s="152"/>
    </row>
    <row r="223">
      <c r="A223" s="38"/>
      <c r="B223" s="45"/>
      <c r="C223" s="40"/>
      <c r="D223" s="40"/>
      <c r="E223" s="40"/>
      <c r="F223" s="62"/>
      <c r="G223" s="43"/>
      <c r="H223" s="152"/>
    </row>
    <row r="224">
      <c r="A224" s="38"/>
      <c r="B224" s="45"/>
      <c r="C224" s="40"/>
      <c r="D224" s="40"/>
      <c r="E224" s="40"/>
      <c r="F224" s="62"/>
      <c r="G224" s="43"/>
      <c r="H224" s="152"/>
    </row>
    <row r="225">
      <c r="A225" s="38"/>
      <c r="B225" s="45"/>
      <c r="C225" s="40"/>
      <c r="D225" s="40"/>
      <c r="E225" s="40"/>
      <c r="F225" s="62"/>
      <c r="G225" s="43"/>
      <c r="H225" s="152"/>
    </row>
    <row r="226">
      <c r="A226" s="38"/>
      <c r="B226" s="312"/>
      <c r="C226" s="313"/>
      <c r="D226" s="313"/>
      <c r="E226" s="313"/>
      <c r="F226" s="316"/>
      <c r="G226" s="317"/>
      <c r="H226" s="318"/>
    </row>
    <row r="227">
      <c r="A227" s="38"/>
      <c r="B227" s="39"/>
      <c r="C227" s="40"/>
      <c r="D227" s="40"/>
      <c r="E227" s="40"/>
      <c r="F227" s="62"/>
      <c r="G227" s="273"/>
      <c r="H227" s="152"/>
    </row>
    <row r="228">
      <c r="A228" s="38"/>
      <c r="B228" s="39"/>
      <c r="C228" s="40"/>
      <c r="D228" s="40"/>
      <c r="E228" s="40"/>
      <c r="F228" s="62"/>
      <c r="G228" s="273"/>
      <c r="H228" s="152"/>
    </row>
    <row r="229">
      <c r="A229" s="38"/>
      <c r="B229" s="39"/>
      <c r="C229" s="40"/>
      <c r="D229" s="40"/>
      <c r="E229" s="40"/>
      <c r="F229" s="62"/>
      <c r="G229" s="273"/>
      <c r="H229" s="152"/>
    </row>
    <row r="230">
      <c r="A230" s="38"/>
      <c r="B230" s="39"/>
      <c r="C230" s="40"/>
      <c r="D230" s="40"/>
      <c r="E230" s="40"/>
      <c r="F230" s="62"/>
      <c r="G230" s="43"/>
      <c r="H230" s="152"/>
    </row>
    <row r="231">
      <c r="A231" s="38"/>
      <c r="B231" s="312"/>
      <c r="C231" s="313"/>
      <c r="D231" s="313"/>
      <c r="E231" s="313"/>
      <c r="F231" s="316"/>
      <c r="G231" s="317"/>
      <c r="H231" s="318"/>
    </row>
    <row r="232">
      <c r="A232" s="297"/>
      <c r="B232" s="319"/>
      <c r="C232" s="299"/>
      <c r="D232" s="299"/>
      <c r="E232" s="299"/>
      <c r="F232" s="320"/>
      <c r="G232" s="321"/>
      <c r="H232" s="322"/>
    </row>
    <row r="233">
      <c r="A233" s="323"/>
      <c r="B233" s="305"/>
      <c r="C233" s="242"/>
      <c r="D233" s="242"/>
      <c r="E233" s="242"/>
      <c r="F233" s="326"/>
      <c r="G233" s="125"/>
      <c r="H233" s="112"/>
    </row>
    <row r="234">
      <c r="A234" s="327"/>
      <c r="B234" s="305"/>
      <c r="C234" s="242"/>
      <c r="D234" s="242"/>
      <c r="E234" s="242"/>
      <c r="F234" s="326"/>
      <c r="G234" s="125"/>
      <c r="H234" s="45"/>
    </row>
    <row r="235">
      <c r="A235" s="327"/>
      <c r="B235" s="45"/>
      <c r="C235" s="40"/>
      <c r="D235" s="40"/>
      <c r="E235" s="40"/>
      <c r="F235" s="326"/>
      <c r="G235" s="125"/>
      <c r="H235" s="45"/>
    </row>
    <row r="236">
      <c r="A236" s="327"/>
      <c r="B236" s="305"/>
      <c r="C236" s="328"/>
      <c r="D236" s="328"/>
      <c r="E236" s="328"/>
      <c r="F236" s="326"/>
      <c r="G236" s="125"/>
      <c r="H236" s="45"/>
    </row>
    <row r="237">
      <c r="A237" s="327"/>
      <c r="B237" s="45"/>
      <c r="C237" s="40"/>
      <c r="D237" s="40"/>
      <c r="E237" s="40"/>
      <c r="F237" s="326"/>
      <c r="G237" s="125"/>
      <c r="H237" s="45"/>
    </row>
    <row r="238">
      <c r="A238" s="327"/>
      <c r="B238" s="45"/>
      <c r="C238" s="242"/>
      <c r="D238" s="242"/>
      <c r="E238" s="242"/>
      <c r="F238" s="326"/>
      <c r="G238" s="125"/>
      <c r="H238" s="45"/>
    </row>
    <row r="239">
      <c r="A239" s="327"/>
      <c r="B239" s="45"/>
      <c r="C239" s="242"/>
      <c r="D239" s="242"/>
      <c r="E239" s="242"/>
      <c r="F239" s="326"/>
      <c r="G239" s="43"/>
      <c r="H239" s="45"/>
    </row>
    <row r="240">
      <c r="A240" s="327"/>
      <c r="B240" s="45"/>
      <c r="C240" s="242"/>
      <c r="D240" s="242"/>
      <c r="E240" s="242"/>
      <c r="F240" s="326"/>
      <c r="G240" s="125"/>
      <c r="H240" s="45"/>
    </row>
    <row r="241">
      <c r="A241" s="327"/>
      <c r="B241" s="305"/>
      <c r="C241" s="328"/>
      <c r="D241" s="328"/>
      <c r="E241" s="328"/>
      <c r="F241" s="326"/>
      <c r="G241" s="125"/>
      <c r="H241" s="45"/>
    </row>
    <row r="242">
      <c r="A242" s="327"/>
      <c r="B242" s="305"/>
      <c r="C242" s="242"/>
      <c r="D242" s="242"/>
      <c r="E242" s="242"/>
      <c r="F242" s="326"/>
      <c r="G242" s="329"/>
      <c r="H242" s="45"/>
    </row>
    <row r="243">
      <c r="A243" s="327"/>
      <c r="B243" s="305"/>
      <c r="C243" s="242"/>
      <c r="D243" s="242"/>
      <c r="E243" s="242"/>
      <c r="F243" s="326"/>
      <c r="G243" s="125"/>
      <c r="H243" s="45"/>
    </row>
    <row r="244">
      <c r="A244" s="327"/>
      <c r="B244" s="305"/>
      <c r="C244" s="242"/>
      <c r="D244" s="242"/>
      <c r="E244" s="242"/>
      <c r="F244" s="326"/>
      <c r="G244" s="125"/>
      <c r="H244" s="45"/>
    </row>
    <row r="245">
      <c r="A245" s="327"/>
      <c r="B245" s="305"/>
      <c r="C245" s="328"/>
      <c r="D245" s="328"/>
      <c r="E245" s="328"/>
      <c r="F245" s="326"/>
      <c r="G245" s="125"/>
      <c r="H245" s="45"/>
    </row>
    <row r="246">
      <c r="A246" s="327"/>
      <c r="B246" s="45"/>
      <c r="C246" s="40"/>
      <c r="D246" s="40"/>
      <c r="E246" s="40"/>
      <c r="F246" s="326"/>
      <c r="G246" s="125"/>
      <c r="H246" s="22"/>
    </row>
    <row r="247">
      <c r="A247" s="327"/>
      <c r="B247" s="45"/>
      <c r="C247" s="242"/>
      <c r="D247" s="242"/>
      <c r="E247" s="242"/>
      <c r="F247" s="326"/>
      <c r="G247" s="125"/>
      <c r="H247" s="45"/>
    </row>
    <row r="248">
      <c r="A248" s="327"/>
      <c r="B248" s="305"/>
      <c r="C248" s="328"/>
      <c r="D248" s="328"/>
      <c r="E248" s="328"/>
      <c r="F248" s="326"/>
      <c r="G248" s="125"/>
      <c r="H248" s="45"/>
    </row>
    <row r="249">
      <c r="A249" s="327"/>
      <c r="B249" s="305"/>
      <c r="C249" s="242"/>
      <c r="D249" s="242"/>
      <c r="E249" s="242"/>
      <c r="F249" s="326"/>
      <c r="G249" s="326"/>
      <c r="H249" s="45"/>
    </row>
    <row r="250">
      <c r="A250" s="327"/>
      <c r="B250" s="305"/>
      <c r="C250" s="328"/>
      <c r="D250" s="328"/>
      <c r="E250" s="328"/>
      <c r="F250" s="326"/>
      <c r="G250" s="125"/>
      <c r="H250" s="45"/>
    </row>
    <row r="251">
      <c r="A251" s="327"/>
      <c r="B251" s="305"/>
      <c r="C251" s="242"/>
      <c r="D251" s="242"/>
      <c r="E251" s="242"/>
      <c r="F251" s="326"/>
      <c r="G251" s="62"/>
      <c r="H251" s="45"/>
    </row>
    <row r="252">
      <c r="A252" s="327"/>
      <c r="B252" s="305"/>
      <c r="C252" s="242"/>
      <c r="D252" s="242"/>
      <c r="E252" s="242"/>
      <c r="F252" s="326"/>
      <c r="G252" s="125"/>
      <c r="H252" s="45"/>
    </row>
    <row r="253">
      <c r="A253" s="327"/>
      <c r="B253" s="305"/>
      <c r="C253" s="328"/>
      <c r="D253" s="328"/>
      <c r="E253" s="328"/>
      <c r="F253" s="62"/>
      <c r="G253" s="43"/>
      <c r="H253" s="45"/>
    </row>
    <row r="254">
      <c r="A254" s="330"/>
      <c r="B254" s="331"/>
      <c r="C254" s="299"/>
      <c r="D254" s="299"/>
      <c r="E254" s="299"/>
      <c r="F254" s="320"/>
      <c r="G254" s="332"/>
      <c r="H254" s="298"/>
    </row>
    <row r="255">
      <c r="A255" s="323"/>
      <c r="B255" s="305"/>
      <c r="C255" s="170"/>
      <c r="D255" s="170"/>
      <c r="E255" s="170"/>
      <c r="F255" s="224"/>
      <c r="G255" s="169"/>
      <c r="H255" s="45"/>
    </row>
    <row r="256">
      <c r="A256" s="323"/>
      <c r="B256" s="305"/>
      <c r="C256" s="40"/>
      <c r="D256" s="40"/>
      <c r="E256" s="40"/>
      <c r="F256" s="62"/>
      <c r="G256" s="43"/>
      <c r="H256" s="45"/>
    </row>
    <row r="257">
      <c r="A257" s="323"/>
      <c r="B257" s="305"/>
      <c r="C257" s="40"/>
      <c r="D257" s="40"/>
      <c r="E257" s="40"/>
      <c r="F257" s="62"/>
      <c r="G257" s="43"/>
      <c r="H257" s="45"/>
    </row>
    <row r="258">
      <c r="A258" s="323"/>
      <c r="B258" s="305"/>
      <c r="C258" s="40"/>
      <c r="D258" s="40"/>
      <c r="E258" s="40"/>
      <c r="F258" s="62"/>
      <c r="G258" s="43"/>
      <c r="H258" s="45"/>
    </row>
    <row r="259">
      <c r="A259" s="38"/>
      <c r="B259" s="305"/>
      <c r="C259" s="335"/>
      <c r="D259" s="335"/>
      <c r="E259" s="335"/>
      <c r="F259" s="62"/>
      <c r="G259" s="62"/>
      <c r="H259" s="45"/>
    </row>
    <row r="260">
      <c r="A260" s="38"/>
      <c r="B260" s="45"/>
      <c r="C260" s="40"/>
      <c r="D260" s="40"/>
      <c r="E260" s="40"/>
      <c r="F260" s="62"/>
      <c r="G260" s="62"/>
      <c r="H260" s="152"/>
    </row>
    <row r="261">
      <c r="A261" s="38"/>
      <c r="B261" s="45"/>
      <c r="C261" s="40"/>
      <c r="D261" s="40"/>
      <c r="E261" s="40"/>
      <c r="F261" s="62"/>
      <c r="G261" s="62"/>
      <c r="H261" s="152"/>
    </row>
    <row r="262">
      <c r="A262" s="38"/>
      <c r="B262" s="305"/>
      <c r="C262" s="40"/>
      <c r="D262" s="40"/>
      <c r="E262" s="40"/>
      <c r="F262" s="62"/>
      <c r="G262" s="62"/>
      <c r="H262" s="152"/>
    </row>
    <row r="263">
      <c r="A263" s="38"/>
      <c r="B263" s="45"/>
      <c r="C263" s="40"/>
      <c r="D263" s="40"/>
      <c r="E263" s="40"/>
      <c r="F263" s="62"/>
      <c r="G263" s="62"/>
      <c r="H263" s="152"/>
    </row>
    <row r="264">
      <c r="A264" s="38"/>
      <c r="B264" s="305"/>
      <c r="C264" s="40"/>
      <c r="D264" s="40"/>
      <c r="E264" s="40"/>
      <c r="F264" s="62"/>
      <c r="G264" s="62"/>
      <c r="H264" s="152"/>
    </row>
    <row r="265">
      <c r="A265" s="38"/>
      <c r="B265" s="305"/>
      <c r="C265" s="40"/>
      <c r="D265" s="40"/>
      <c r="E265" s="40"/>
      <c r="F265" s="62"/>
      <c r="G265" s="62"/>
      <c r="H265" s="152"/>
    </row>
    <row r="266">
      <c r="A266" s="38"/>
      <c r="B266" s="45"/>
      <c r="C266" s="40"/>
      <c r="D266" s="40"/>
      <c r="E266" s="40"/>
      <c r="F266" s="62"/>
      <c r="G266" s="62"/>
      <c r="H266" s="152"/>
    </row>
    <row r="267">
      <c r="A267" s="38"/>
      <c r="B267" s="45"/>
      <c r="C267" s="242"/>
      <c r="D267" s="242"/>
      <c r="E267" s="242"/>
      <c r="F267" s="326"/>
      <c r="G267" s="326"/>
      <c r="H267" s="152"/>
    </row>
    <row r="268">
      <c r="A268" s="38"/>
      <c r="B268" s="305"/>
      <c r="C268" s="40"/>
      <c r="D268" s="40"/>
      <c r="E268" s="40"/>
      <c r="F268" s="62"/>
      <c r="G268" s="43"/>
      <c r="H268" s="152"/>
    </row>
    <row r="269">
      <c r="A269" s="38"/>
      <c r="B269" s="305"/>
      <c r="C269" s="40"/>
      <c r="D269" s="40"/>
      <c r="E269" s="40"/>
      <c r="F269" s="62"/>
      <c r="G269" s="62"/>
      <c r="H269" s="152"/>
    </row>
    <row r="270">
      <c r="A270" s="38"/>
      <c r="B270" s="305"/>
      <c r="C270" s="40"/>
      <c r="D270" s="40"/>
      <c r="E270" s="40"/>
      <c r="F270" s="62"/>
      <c r="G270" s="62"/>
      <c r="H270" s="152"/>
    </row>
    <row r="271">
      <c r="A271" s="38"/>
      <c r="B271" s="305"/>
      <c r="C271" s="40"/>
      <c r="D271" s="40"/>
      <c r="E271" s="40"/>
      <c r="F271" s="62"/>
      <c r="G271" s="62"/>
      <c r="H271" s="152"/>
    </row>
    <row r="272">
      <c r="A272" s="38"/>
      <c r="B272" s="305"/>
      <c r="C272" s="40"/>
      <c r="D272" s="40"/>
      <c r="E272" s="40"/>
      <c r="F272" s="62"/>
      <c r="G272" s="43"/>
      <c r="H272" s="152"/>
    </row>
    <row r="273">
      <c r="A273" s="38"/>
      <c r="B273" s="305"/>
      <c r="C273" s="40"/>
      <c r="D273" s="40"/>
      <c r="E273" s="40"/>
      <c r="F273" s="62"/>
      <c r="G273" s="62"/>
      <c r="H273" s="152"/>
    </row>
    <row r="274">
      <c r="A274" s="38"/>
      <c r="B274" s="305"/>
      <c r="C274" s="40"/>
      <c r="D274" s="40"/>
      <c r="E274" s="40"/>
      <c r="F274" s="62"/>
      <c r="G274" s="62"/>
      <c r="H274" s="152"/>
    </row>
    <row r="275">
      <c r="A275" s="38"/>
      <c r="B275" s="45"/>
      <c r="C275" s="242"/>
      <c r="D275" s="242"/>
      <c r="E275" s="242"/>
      <c r="F275" s="326"/>
      <c r="G275" s="329"/>
      <c r="H275" s="152"/>
    </row>
    <row r="276">
      <c r="A276" s="38"/>
      <c r="B276" s="305"/>
      <c r="C276" s="40"/>
      <c r="D276" s="40"/>
      <c r="E276" s="40"/>
      <c r="F276" s="62"/>
      <c r="G276" s="296"/>
      <c r="H276" s="152"/>
    </row>
    <row r="277">
      <c r="A277" s="38"/>
      <c r="B277" s="305"/>
      <c r="C277" s="40"/>
      <c r="D277" s="40"/>
      <c r="E277" s="40"/>
      <c r="F277" s="62"/>
      <c r="G277" s="62"/>
      <c r="H277" s="152"/>
    </row>
    <row r="278">
      <c r="A278" s="38"/>
      <c r="B278" s="305"/>
      <c r="C278" s="40"/>
      <c r="D278" s="40"/>
      <c r="E278" s="40"/>
      <c r="F278" s="62"/>
      <c r="G278" s="62"/>
      <c r="H278" s="152"/>
    </row>
    <row r="279">
      <c r="A279" s="38"/>
      <c r="B279" s="305"/>
      <c r="C279" s="40"/>
      <c r="D279" s="40"/>
      <c r="E279" s="40"/>
      <c r="F279" s="62"/>
      <c r="G279" s="43"/>
      <c r="H279" s="152"/>
    </row>
    <row r="280">
      <c r="A280" s="38"/>
      <c r="B280" s="305"/>
      <c r="C280" s="40"/>
      <c r="D280" s="40"/>
      <c r="E280" s="40"/>
      <c r="F280" s="62"/>
      <c r="G280" s="43"/>
      <c r="H280" s="152"/>
    </row>
    <row r="281">
      <c r="A281" s="38"/>
      <c r="B281" s="305"/>
      <c r="C281" s="40"/>
      <c r="D281" s="40"/>
      <c r="E281" s="40"/>
      <c r="F281" s="62"/>
      <c r="G281" s="43"/>
      <c r="H281" s="152"/>
    </row>
    <row r="282">
      <c r="A282" s="38"/>
      <c r="B282" s="305"/>
      <c r="C282" s="40"/>
      <c r="D282" s="40"/>
      <c r="E282" s="40"/>
      <c r="F282" s="62"/>
      <c r="G282" s="43"/>
      <c r="H282" s="152"/>
    </row>
    <row r="283">
      <c r="A283" s="38"/>
      <c r="B283" s="305"/>
      <c r="C283" s="336"/>
      <c r="D283" s="336"/>
      <c r="E283" s="336"/>
      <c r="F283" s="62"/>
      <c r="G283" s="62"/>
      <c r="H283" s="152"/>
    </row>
    <row r="284">
      <c r="A284" s="38"/>
      <c r="B284" s="45"/>
      <c r="C284" s="336"/>
      <c r="D284" s="336"/>
      <c r="E284" s="336"/>
      <c r="F284" s="62"/>
      <c r="G284" s="62"/>
      <c r="H284" s="152"/>
    </row>
    <row r="285">
      <c r="A285" s="38"/>
      <c r="B285" s="45"/>
      <c r="C285" s="40"/>
      <c r="D285" s="40"/>
      <c r="E285" s="40"/>
      <c r="F285" s="62"/>
      <c r="G285" s="62"/>
      <c r="H285" s="152"/>
    </row>
    <row r="286">
      <c r="A286" s="297"/>
      <c r="B286" s="331"/>
      <c r="C286" s="299"/>
      <c r="D286" s="299"/>
      <c r="E286" s="299"/>
      <c r="F286" s="320"/>
      <c r="G286" s="332"/>
      <c r="H286" s="304"/>
    </row>
    <row r="287">
      <c r="A287" s="38"/>
      <c r="B287" s="45"/>
      <c r="C287" s="336"/>
      <c r="D287" s="336"/>
      <c r="E287" s="336"/>
      <c r="F287" s="43"/>
      <c r="G287" s="62"/>
      <c r="H287" s="152"/>
    </row>
    <row r="288">
      <c r="A288" s="38"/>
      <c r="B288" s="45"/>
      <c r="C288" s="40"/>
      <c r="D288" s="40"/>
      <c r="E288" s="40"/>
      <c r="F288" s="43"/>
      <c r="G288" s="43"/>
      <c r="H288" s="152"/>
    </row>
    <row r="289">
      <c r="A289" s="38"/>
      <c r="B289" s="45"/>
      <c r="C289" s="40"/>
      <c r="D289" s="40"/>
      <c r="E289" s="40"/>
      <c r="F289" s="43"/>
      <c r="G289" s="62"/>
      <c r="H289" s="152"/>
    </row>
    <row r="290">
      <c r="A290" s="38"/>
      <c r="B290" s="45"/>
      <c r="C290" s="40"/>
      <c r="D290" s="40"/>
      <c r="E290" s="40"/>
      <c r="F290" s="43"/>
      <c r="G290" s="62"/>
      <c r="H290" s="152"/>
    </row>
    <row r="291">
      <c r="A291" s="38"/>
      <c r="B291" s="45"/>
      <c r="C291" s="40"/>
      <c r="D291" s="40"/>
      <c r="E291" s="40"/>
      <c r="F291" s="43"/>
      <c r="G291" s="43"/>
      <c r="H291" s="152"/>
    </row>
    <row r="292">
      <c r="A292" s="38"/>
      <c r="B292" s="45"/>
      <c r="C292" s="40"/>
      <c r="D292" s="40"/>
      <c r="E292" s="40"/>
      <c r="F292" s="43"/>
      <c r="G292" s="43"/>
      <c r="H292" s="152"/>
    </row>
    <row r="293">
      <c r="A293" s="38"/>
      <c r="B293" s="45"/>
      <c r="C293" s="40"/>
      <c r="D293" s="40"/>
      <c r="E293" s="40"/>
      <c r="F293" s="43"/>
      <c r="G293" s="43"/>
      <c r="H293" s="152"/>
    </row>
    <row r="294">
      <c r="A294" s="38"/>
      <c r="B294" s="45"/>
      <c r="C294" s="40"/>
      <c r="D294" s="40"/>
      <c r="E294" s="40"/>
      <c r="F294" s="43"/>
      <c r="G294" s="43"/>
      <c r="H294" s="152"/>
    </row>
    <row r="295">
      <c r="A295" s="38"/>
      <c r="B295" s="45"/>
      <c r="C295" s="40"/>
      <c r="D295" s="40"/>
      <c r="E295" s="40"/>
      <c r="F295" s="43"/>
      <c r="G295" s="62"/>
      <c r="H295" s="152"/>
    </row>
    <row r="296">
      <c r="A296" s="38"/>
      <c r="B296" s="45"/>
      <c r="C296" s="40"/>
      <c r="D296" s="40"/>
      <c r="E296" s="40"/>
      <c r="F296" s="43"/>
      <c r="G296" s="62"/>
      <c r="H296" s="152"/>
    </row>
    <row r="297">
      <c r="A297" s="38"/>
      <c r="B297" s="45"/>
      <c r="C297" s="40"/>
      <c r="D297" s="40"/>
      <c r="E297" s="40"/>
      <c r="F297" s="62"/>
      <c r="G297" s="43"/>
      <c r="H297" s="152"/>
    </row>
    <row r="298">
      <c r="A298" s="38"/>
      <c r="B298" s="45"/>
      <c r="C298" s="40"/>
      <c r="D298" s="40"/>
      <c r="E298" s="40"/>
      <c r="F298" s="43"/>
      <c r="G298" s="43"/>
      <c r="H298" s="152"/>
    </row>
    <row r="299">
      <c r="A299" s="38"/>
      <c r="B299" s="45"/>
      <c r="C299" s="40"/>
      <c r="D299" s="40"/>
      <c r="E299" s="40"/>
      <c r="F299" s="43"/>
      <c r="G299" s="62"/>
      <c r="H299" s="152"/>
    </row>
    <row r="300">
      <c r="A300" s="38"/>
      <c r="B300" s="45"/>
      <c r="C300" s="54"/>
      <c r="D300" s="54"/>
      <c r="E300" s="54"/>
      <c r="F300" s="43"/>
      <c r="G300" s="43"/>
      <c r="H300" s="152"/>
    </row>
    <row r="301">
      <c r="A301" s="38"/>
      <c r="B301" s="45"/>
      <c r="C301" s="40"/>
      <c r="D301" s="40"/>
      <c r="E301" s="40"/>
      <c r="F301" s="43"/>
      <c r="G301" s="43"/>
      <c r="H301" s="152"/>
    </row>
    <row r="302">
      <c r="A302" s="38"/>
      <c r="B302" s="45"/>
      <c r="C302" s="40"/>
      <c r="D302" s="40"/>
      <c r="E302" s="40"/>
      <c r="F302" s="43"/>
      <c r="G302" s="62"/>
      <c r="H302" s="152"/>
    </row>
    <row r="303">
      <c r="A303" s="38"/>
      <c r="B303" s="45"/>
      <c r="C303" s="40"/>
      <c r="D303" s="40"/>
      <c r="E303" s="40"/>
      <c r="F303" s="43"/>
      <c r="G303" s="43"/>
      <c r="H303" s="152"/>
    </row>
    <row r="304">
      <c r="A304" s="38"/>
      <c r="B304" s="45"/>
      <c r="C304" s="40"/>
      <c r="D304" s="40"/>
      <c r="E304" s="40"/>
      <c r="F304" s="43"/>
      <c r="G304" s="43"/>
      <c r="H304" s="152"/>
    </row>
    <row r="305">
      <c r="A305" s="38"/>
      <c r="B305" s="337"/>
      <c r="C305" s="54"/>
      <c r="D305" s="54"/>
      <c r="E305" s="54"/>
      <c r="F305" s="43"/>
      <c r="G305" s="43"/>
      <c r="H305" s="152"/>
    </row>
    <row r="306">
      <c r="A306" s="38"/>
      <c r="B306" s="45"/>
      <c r="C306" s="54"/>
      <c r="D306" s="54"/>
      <c r="E306" s="54"/>
      <c r="F306" s="43"/>
      <c r="G306" s="62"/>
      <c r="H306" s="152"/>
    </row>
    <row r="307">
      <c r="A307" s="38"/>
      <c r="B307" s="45"/>
      <c r="C307" s="40"/>
      <c r="D307" s="40"/>
      <c r="E307" s="40"/>
      <c r="F307" s="43"/>
      <c r="G307" s="43"/>
      <c r="H307" s="152"/>
    </row>
    <row r="308">
      <c r="A308" s="337"/>
      <c r="B308" s="337"/>
      <c r="C308" s="338"/>
      <c r="D308" s="338"/>
      <c r="E308" s="338"/>
      <c r="F308" s="341"/>
      <c r="G308" s="341"/>
      <c r="H308" s="342"/>
    </row>
    <row r="309">
      <c r="A309" s="337"/>
      <c r="B309" s="337"/>
      <c r="C309" s="338"/>
      <c r="D309" s="338"/>
      <c r="E309" s="338"/>
      <c r="F309" s="341"/>
      <c r="G309" s="341"/>
      <c r="H309" s="342"/>
    </row>
    <row r="310">
      <c r="A310" s="337"/>
      <c r="B310" s="337"/>
      <c r="C310" s="338"/>
      <c r="D310" s="338"/>
      <c r="E310" s="338"/>
      <c r="F310" s="341"/>
      <c r="G310" s="341"/>
      <c r="H310" s="342"/>
    </row>
    <row r="311">
      <c r="A311" s="337"/>
      <c r="B311" s="337"/>
      <c r="C311" s="338"/>
      <c r="D311" s="338"/>
      <c r="E311" s="338"/>
      <c r="F311" s="341"/>
      <c r="G311" s="341"/>
      <c r="H311" s="342"/>
    </row>
    <row r="312">
      <c r="A312" s="337"/>
      <c r="B312" s="337"/>
      <c r="C312" s="338"/>
      <c r="D312" s="338"/>
      <c r="E312" s="338"/>
      <c r="F312" s="341"/>
      <c r="G312" s="341"/>
      <c r="H312" s="342"/>
    </row>
    <row r="313">
      <c r="A313" s="337"/>
      <c r="B313" s="337"/>
      <c r="C313" s="338"/>
      <c r="D313" s="338"/>
      <c r="E313" s="338"/>
      <c r="F313" s="341"/>
      <c r="G313" s="341"/>
      <c r="H313" s="342"/>
    </row>
    <row r="314">
      <c r="A314" s="337"/>
      <c r="B314" s="337"/>
      <c r="C314" s="338"/>
      <c r="D314" s="338"/>
      <c r="E314" s="338"/>
      <c r="F314" s="341"/>
      <c r="G314" s="341"/>
      <c r="H314" s="342"/>
    </row>
    <row r="315">
      <c r="A315" s="337"/>
      <c r="B315" s="337"/>
      <c r="C315" s="338"/>
      <c r="D315" s="338"/>
      <c r="E315" s="338"/>
      <c r="F315" s="341"/>
      <c r="G315" s="341"/>
      <c r="H315" s="342"/>
    </row>
    <row r="316">
      <c r="A316" s="337"/>
      <c r="B316" s="337"/>
      <c r="C316" s="338"/>
      <c r="D316" s="338"/>
      <c r="E316" s="338"/>
      <c r="F316" s="341"/>
      <c r="G316" s="341"/>
      <c r="H316" s="342"/>
    </row>
    <row r="317">
      <c r="A317" s="337"/>
      <c r="B317" s="337"/>
      <c r="C317" s="338"/>
      <c r="D317" s="338"/>
      <c r="E317" s="338"/>
      <c r="F317" s="341"/>
      <c r="G317" s="341"/>
      <c r="H317" s="342"/>
    </row>
    <row r="318">
      <c r="A318" s="337"/>
      <c r="B318" s="337"/>
      <c r="C318" s="338"/>
      <c r="D318" s="338"/>
      <c r="E318" s="338"/>
      <c r="F318" s="341"/>
      <c r="G318" s="341"/>
      <c r="H318" s="342"/>
    </row>
    <row r="319">
      <c r="A319" s="337"/>
      <c r="B319" s="337"/>
      <c r="C319" s="338"/>
      <c r="D319" s="338"/>
      <c r="E319" s="338"/>
      <c r="F319" s="341"/>
      <c r="G319" s="341"/>
      <c r="H319" s="342"/>
    </row>
    <row r="320">
      <c r="A320" s="337"/>
      <c r="B320" s="337"/>
      <c r="C320" s="338"/>
      <c r="D320" s="338"/>
      <c r="E320" s="338"/>
      <c r="F320" s="341"/>
      <c r="G320" s="341"/>
      <c r="H320" s="342"/>
    </row>
    <row r="321">
      <c r="A321" s="337"/>
      <c r="B321" s="337"/>
      <c r="C321" s="338"/>
      <c r="D321" s="338"/>
      <c r="E321" s="338"/>
      <c r="F321" s="341"/>
      <c r="G321" s="341"/>
      <c r="H321" s="342"/>
    </row>
    <row r="322">
      <c r="A322" s="337"/>
      <c r="B322" s="337"/>
      <c r="C322" s="338"/>
      <c r="D322" s="338"/>
      <c r="E322" s="338"/>
      <c r="F322" s="341"/>
      <c r="G322" s="341"/>
      <c r="H322" s="342"/>
    </row>
    <row r="323">
      <c r="A323" s="337"/>
      <c r="B323" s="337"/>
      <c r="C323" s="338"/>
      <c r="D323" s="338"/>
      <c r="E323" s="338"/>
      <c r="F323" s="341"/>
      <c r="G323" s="341"/>
      <c r="H323" s="342"/>
    </row>
    <row r="324">
      <c r="A324" s="337"/>
      <c r="B324" s="337"/>
      <c r="C324" s="338"/>
      <c r="D324" s="338"/>
      <c r="E324" s="338"/>
      <c r="F324" s="341"/>
      <c r="G324" s="341"/>
      <c r="H324" s="342"/>
    </row>
    <row r="325">
      <c r="A325" s="337"/>
      <c r="B325" s="337"/>
      <c r="C325" s="338"/>
      <c r="D325" s="338"/>
      <c r="E325" s="338"/>
      <c r="F325" s="341"/>
      <c r="G325" s="341"/>
      <c r="H325" s="342"/>
    </row>
    <row r="326">
      <c r="A326" s="337"/>
      <c r="B326" s="337"/>
      <c r="C326" s="338"/>
      <c r="D326" s="338"/>
      <c r="E326" s="338"/>
      <c r="F326" s="341"/>
      <c r="G326" s="341"/>
      <c r="H326" s="342"/>
    </row>
    <row r="327">
      <c r="A327" s="337"/>
      <c r="B327" s="337"/>
      <c r="C327" s="338"/>
      <c r="D327" s="338"/>
      <c r="E327" s="338"/>
      <c r="F327" s="341"/>
      <c r="G327" s="341"/>
      <c r="H327" s="342"/>
    </row>
    <row r="328">
      <c r="A328" s="337"/>
      <c r="B328" s="337"/>
      <c r="C328" s="338"/>
      <c r="D328" s="338"/>
      <c r="E328" s="338"/>
      <c r="F328" s="341"/>
      <c r="G328" s="341"/>
      <c r="H328" s="342"/>
    </row>
    <row r="329">
      <c r="A329" s="337"/>
      <c r="B329" s="337"/>
      <c r="C329" s="338"/>
      <c r="D329" s="338"/>
      <c r="E329" s="338"/>
      <c r="F329" s="341"/>
      <c r="G329" s="341"/>
      <c r="H329" s="342"/>
    </row>
    <row r="330">
      <c r="A330" s="337"/>
      <c r="B330" s="337"/>
      <c r="C330" s="338"/>
      <c r="D330" s="338"/>
      <c r="E330" s="338"/>
      <c r="F330" s="341"/>
      <c r="G330" s="341"/>
      <c r="H330" s="342"/>
    </row>
    <row r="331">
      <c r="A331" s="337"/>
      <c r="B331" s="337"/>
      <c r="C331" s="338"/>
      <c r="D331" s="338"/>
      <c r="E331" s="338"/>
      <c r="F331" s="341"/>
      <c r="G331" s="341"/>
      <c r="H331" s="342"/>
    </row>
    <row r="332">
      <c r="A332" s="337"/>
      <c r="B332" s="337"/>
      <c r="C332" s="338"/>
      <c r="D332" s="338"/>
      <c r="E332" s="338"/>
      <c r="F332" s="341"/>
      <c r="G332" s="341"/>
      <c r="H332" s="342"/>
    </row>
    <row r="333">
      <c r="A333" s="337"/>
      <c r="B333" s="337"/>
      <c r="C333" s="338"/>
      <c r="D333" s="338"/>
      <c r="E333" s="338"/>
      <c r="F333" s="341"/>
      <c r="G333" s="341"/>
      <c r="H333" s="342"/>
    </row>
    <row r="334">
      <c r="A334" s="337"/>
      <c r="B334" s="337"/>
      <c r="C334" s="338"/>
      <c r="D334" s="338"/>
      <c r="E334" s="338"/>
      <c r="F334" s="341"/>
      <c r="G334" s="341"/>
      <c r="H334" s="342"/>
    </row>
    <row r="335">
      <c r="A335" s="337"/>
      <c r="B335" s="337"/>
      <c r="C335" s="338"/>
      <c r="D335" s="338"/>
      <c r="E335" s="338"/>
      <c r="F335" s="341"/>
      <c r="G335" s="341"/>
      <c r="H335" s="342"/>
    </row>
    <row r="336">
      <c r="A336" s="337"/>
      <c r="B336" s="337"/>
      <c r="C336" s="338"/>
      <c r="D336" s="338"/>
      <c r="E336" s="338"/>
      <c r="F336" s="341"/>
      <c r="G336" s="341"/>
      <c r="H336" s="342"/>
    </row>
    <row r="337">
      <c r="A337" s="337"/>
      <c r="B337" s="337"/>
      <c r="C337" s="338"/>
      <c r="D337" s="338"/>
      <c r="E337" s="338"/>
      <c r="F337" s="341"/>
      <c r="G337" s="341"/>
      <c r="H337" s="342"/>
    </row>
    <row r="338">
      <c r="A338" s="337"/>
      <c r="B338" s="337"/>
      <c r="C338" s="338"/>
      <c r="D338" s="338"/>
      <c r="E338" s="338"/>
      <c r="F338" s="341"/>
      <c r="G338" s="341"/>
      <c r="H338" s="342"/>
    </row>
    <row r="339">
      <c r="A339" s="337"/>
      <c r="B339" s="337"/>
      <c r="C339" s="338"/>
      <c r="D339" s="338"/>
      <c r="E339" s="338"/>
      <c r="F339" s="341"/>
      <c r="G339" s="341"/>
      <c r="H339" s="342"/>
    </row>
    <row r="340">
      <c r="A340" s="337"/>
      <c r="B340" s="337"/>
      <c r="C340" s="338"/>
      <c r="D340" s="338"/>
      <c r="E340" s="338"/>
      <c r="F340" s="341"/>
      <c r="G340" s="341"/>
      <c r="H340" s="342"/>
    </row>
    <row r="341">
      <c r="A341" s="337"/>
      <c r="B341" s="337"/>
      <c r="C341" s="338"/>
      <c r="D341" s="338"/>
      <c r="E341" s="338"/>
      <c r="F341" s="341"/>
      <c r="G341" s="341"/>
      <c r="H341" s="342"/>
    </row>
    <row r="342">
      <c r="A342" s="337"/>
      <c r="B342" s="337"/>
      <c r="C342" s="338"/>
      <c r="D342" s="338"/>
      <c r="E342" s="338"/>
      <c r="F342" s="341"/>
      <c r="G342" s="341"/>
      <c r="H342" s="342"/>
    </row>
    <row r="343">
      <c r="A343" s="337"/>
      <c r="B343" s="337"/>
      <c r="C343" s="338"/>
      <c r="D343" s="338"/>
      <c r="E343" s="338"/>
      <c r="F343" s="341"/>
      <c r="G343" s="341"/>
      <c r="H343" s="342"/>
    </row>
    <row r="344">
      <c r="A344" s="337"/>
      <c r="B344" s="337"/>
      <c r="C344" s="338"/>
      <c r="D344" s="338"/>
      <c r="E344" s="338"/>
      <c r="F344" s="341"/>
      <c r="G344" s="341"/>
      <c r="H344" s="342"/>
    </row>
    <row r="345">
      <c r="A345" s="337"/>
      <c r="B345" s="337"/>
      <c r="C345" s="338"/>
      <c r="D345" s="338"/>
      <c r="E345" s="338"/>
      <c r="F345" s="341"/>
      <c r="G345" s="341"/>
      <c r="H345" s="342"/>
    </row>
    <row r="346">
      <c r="A346" s="337"/>
      <c r="B346" s="337"/>
      <c r="C346" s="338"/>
      <c r="D346" s="338"/>
      <c r="E346" s="338"/>
      <c r="F346" s="341"/>
      <c r="G346" s="341"/>
      <c r="H346" s="342"/>
    </row>
    <row r="347">
      <c r="A347" s="337"/>
      <c r="B347" s="337"/>
      <c r="C347" s="338"/>
      <c r="D347" s="338"/>
      <c r="E347" s="338"/>
      <c r="F347" s="341"/>
      <c r="G347" s="341"/>
      <c r="H347" s="342"/>
    </row>
    <row r="348">
      <c r="A348" s="337"/>
      <c r="B348" s="337"/>
      <c r="C348" s="338"/>
      <c r="D348" s="338"/>
      <c r="E348" s="338"/>
      <c r="F348" s="341"/>
      <c r="G348" s="341"/>
      <c r="H348" s="342"/>
    </row>
    <row r="349">
      <c r="A349" s="337"/>
      <c r="B349" s="337"/>
      <c r="C349" s="338"/>
      <c r="D349" s="338"/>
      <c r="E349" s="338"/>
      <c r="F349" s="341"/>
      <c r="G349" s="341"/>
      <c r="H349" s="342"/>
    </row>
    <row r="350">
      <c r="A350" s="337"/>
      <c r="B350" s="337"/>
      <c r="C350" s="338"/>
      <c r="D350" s="338"/>
      <c r="E350" s="338"/>
      <c r="F350" s="341"/>
      <c r="G350" s="341"/>
      <c r="H350" s="342"/>
    </row>
    <row r="351">
      <c r="A351" s="337"/>
      <c r="B351" s="337"/>
      <c r="C351" s="338"/>
      <c r="D351" s="338"/>
      <c r="E351" s="338"/>
      <c r="F351" s="341"/>
      <c r="G351" s="341"/>
      <c r="H351" s="342"/>
    </row>
    <row r="352">
      <c r="A352" s="337"/>
      <c r="B352" s="337"/>
      <c r="C352" s="338"/>
      <c r="D352" s="338"/>
      <c r="E352" s="338"/>
      <c r="F352" s="341"/>
      <c r="G352" s="341"/>
      <c r="H352" s="342"/>
    </row>
    <row r="353">
      <c r="A353" s="337"/>
      <c r="B353" s="337"/>
      <c r="C353" s="338"/>
      <c r="D353" s="338"/>
      <c r="E353" s="338"/>
      <c r="F353" s="341"/>
      <c r="G353" s="341"/>
      <c r="H353" s="342"/>
    </row>
    <row r="354">
      <c r="A354" s="337"/>
      <c r="B354" s="337"/>
      <c r="C354" s="338"/>
      <c r="D354" s="338"/>
      <c r="E354" s="338"/>
      <c r="F354" s="341"/>
      <c r="G354" s="341"/>
      <c r="H354" s="342"/>
    </row>
    <row r="355">
      <c r="A355" s="337"/>
      <c r="B355" s="337"/>
      <c r="C355" s="338"/>
      <c r="D355" s="338"/>
      <c r="E355" s="338"/>
      <c r="F355" s="341"/>
      <c r="G355" s="341"/>
      <c r="H355" s="342"/>
    </row>
    <row r="356">
      <c r="A356" s="337"/>
      <c r="B356" s="337"/>
      <c r="C356" s="338"/>
      <c r="D356" s="338"/>
      <c r="E356" s="338"/>
      <c r="F356" s="341"/>
      <c r="G356" s="341"/>
      <c r="H356" s="342"/>
    </row>
    <row r="357">
      <c r="A357" s="337"/>
      <c r="B357" s="337"/>
      <c r="C357" s="338"/>
      <c r="D357" s="338"/>
      <c r="E357" s="338"/>
      <c r="F357" s="341"/>
      <c r="G357" s="341"/>
      <c r="H357" s="342"/>
    </row>
    <row r="358">
      <c r="A358" s="337"/>
      <c r="B358" s="337"/>
      <c r="C358" s="338"/>
      <c r="D358" s="338"/>
      <c r="E358" s="338"/>
      <c r="F358" s="341"/>
      <c r="G358" s="341"/>
      <c r="H358" s="342"/>
    </row>
    <row r="359">
      <c r="A359" s="337"/>
      <c r="B359" s="337"/>
      <c r="C359" s="338"/>
      <c r="D359" s="338"/>
      <c r="E359" s="338"/>
      <c r="F359" s="341"/>
      <c r="G359" s="341"/>
      <c r="H359" s="342"/>
    </row>
    <row r="360">
      <c r="A360" s="337"/>
      <c r="B360" s="337"/>
      <c r="C360" s="338"/>
      <c r="D360" s="338"/>
      <c r="E360" s="338"/>
      <c r="F360" s="341"/>
      <c r="G360" s="341"/>
      <c r="H360" s="342"/>
    </row>
    <row r="361">
      <c r="A361" s="337"/>
      <c r="B361" s="337"/>
      <c r="C361" s="338"/>
      <c r="D361" s="338"/>
      <c r="E361" s="338"/>
      <c r="F361" s="341"/>
      <c r="G361" s="341"/>
      <c r="H361" s="342"/>
    </row>
    <row r="362">
      <c r="A362" s="337"/>
      <c r="B362" s="337"/>
      <c r="C362" s="338"/>
      <c r="D362" s="338"/>
      <c r="E362" s="338"/>
      <c r="F362" s="341"/>
      <c r="G362" s="341"/>
      <c r="H362" s="342"/>
    </row>
    <row r="363">
      <c r="A363" s="337"/>
      <c r="B363" s="337"/>
      <c r="C363" s="338"/>
      <c r="D363" s="338"/>
      <c r="E363" s="338"/>
      <c r="F363" s="341"/>
      <c r="G363" s="341"/>
      <c r="H363" s="342"/>
    </row>
    <row r="364">
      <c r="A364" s="337"/>
      <c r="B364" s="337"/>
      <c r="C364" s="338"/>
      <c r="D364" s="338"/>
      <c r="E364" s="338"/>
      <c r="F364" s="341"/>
      <c r="G364" s="341"/>
      <c r="H364" s="342"/>
    </row>
    <row r="365">
      <c r="A365" s="337"/>
      <c r="B365" s="337"/>
      <c r="C365" s="338"/>
      <c r="D365" s="338"/>
      <c r="E365" s="338"/>
      <c r="F365" s="341"/>
      <c r="G365" s="341"/>
      <c r="H365" s="342"/>
    </row>
    <row r="366">
      <c r="A366" s="337"/>
      <c r="B366" s="337"/>
      <c r="C366" s="338"/>
      <c r="D366" s="338"/>
      <c r="E366" s="338"/>
      <c r="F366" s="341"/>
      <c r="G366" s="341"/>
      <c r="H366" s="342"/>
    </row>
    <row r="367">
      <c r="A367" s="337"/>
      <c r="B367" s="337"/>
      <c r="C367" s="338"/>
      <c r="D367" s="338"/>
      <c r="E367" s="338"/>
      <c r="F367" s="341"/>
      <c r="G367" s="341"/>
      <c r="H367" s="342"/>
    </row>
    <row r="368">
      <c r="A368" s="337"/>
      <c r="B368" s="337"/>
      <c r="C368" s="338"/>
      <c r="D368" s="338"/>
      <c r="E368" s="338"/>
      <c r="F368" s="341"/>
      <c r="G368" s="341"/>
      <c r="H368" s="342"/>
    </row>
    <row r="369">
      <c r="A369" s="337"/>
      <c r="B369" s="337"/>
      <c r="C369" s="338"/>
      <c r="D369" s="338"/>
      <c r="E369" s="338"/>
      <c r="F369" s="341"/>
      <c r="G369" s="341"/>
      <c r="H369" s="342"/>
    </row>
    <row r="370">
      <c r="A370" s="337"/>
      <c r="B370" s="337"/>
      <c r="C370" s="338"/>
      <c r="D370" s="338"/>
      <c r="E370" s="338"/>
      <c r="F370" s="341"/>
      <c r="G370" s="341"/>
      <c r="H370" s="342"/>
    </row>
    <row r="371">
      <c r="A371" s="337"/>
      <c r="B371" s="337"/>
      <c r="C371" s="338"/>
      <c r="D371" s="338"/>
      <c r="E371" s="338"/>
      <c r="F371" s="341"/>
      <c r="G371" s="341"/>
      <c r="H371" s="342"/>
    </row>
    <row r="372">
      <c r="A372" s="337"/>
      <c r="B372" s="337"/>
      <c r="C372" s="338"/>
      <c r="D372" s="338"/>
      <c r="E372" s="338"/>
      <c r="F372" s="341"/>
      <c r="G372" s="341"/>
      <c r="H372" s="342"/>
    </row>
    <row r="373">
      <c r="A373" s="337"/>
      <c r="B373" s="337"/>
      <c r="C373" s="338"/>
      <c r="D373" s="338"/>
      <c r="E373" s="338"/>
      <c r="F373" s="341"/>
      <c r="G373" s="341"/>
      <c r="H373" s="342"/>
    </row>
    <row r="374">
      <c r="A374" s="337"/>
      <c r="B374" s="337"/>
      <c r="C374" s="338"/>
      <c r="D374" s="338"/>
      <c r="E374" s="338"/>
      <c r="F374" s="341"/>
      <c r="G374" s="341"/>
      <c r="H374" s="342"/>
    </row>
    <row r="375">
      <c r="A375" s="337"/>
      <c r="B375" s="337"/>
      <c r="C375" s="338"/>
      <c r="D375" s="338"/>
      <c r="E375" s="338"/>
      <c r="F375" s="341"/>
      <c r="G375" s="341"/>
      <c r="H375" s="342"/>
    </row>
    <row r="376">
      <c r="A376" s="337"/>
      <c r="B376" s="337"/>
      <c r="C376" s="338"/>
      <c r="D376" s="338"/>
      <c r="E376" s="338"/>
      <c r="F376" s="341"/>
      <c r="G376" s="341"/>
      <c r="H376" s="342"/>
    </row>
    <row r="377">
      <c r="A377" s="337"/>
      <c r="B377" s="337"/>
      <c r="C377" s="338"/>
      <c r="D377" s="338"/>
      <c r="E377" s="338"/>
      <c r="F377" s="341"/>
      <c r="G377" s="341"/>
      <c r="H377" s="342"/>
    </row>
    <row r="378">
      <c r="A378" s="337"/>
      <c r="B378" s="337"/>
      <c r="C378" s="338"/>
      <c r="D378" s="338"/>
      <c r="E378" s="338"/>
      <c r="F378" s="341"/>
      <c r="G378" s="341"/>
      <c r="H378" s="342"/>
    </row>
    <row r="379">
      <c r="A379" s="337"/>
      <c r="B379" s="337"/>
      <c r="C379" s="338"/>
      <c r="D379" s="338"/>
      <c r="E379" s="338"/>
      <c r="F379" s="341"/>
      <c r="G379" s="341"/>
      <c r="H379" s="342"/>
    </row>
    <row r="380">
      <c r="A380" s="337"/>
      <c r="B380" s="337"/>
      <c r="C380" s="338"/>
      <c r="D380" s="338"/>
      <c r="E380" s="338"/>
      <c r="F380" s="341"/>
      <c r="G380" s="341"/>
      <c r="H380" s="342"/>
    </row>
    <row r="381">
      <c r="A381" s="337"/>
      <c r="B381" s="337"/>
      <c r="C381" s="338"/>
      <c r="D381" s="338"/>
      <c r="E381" s="338"/>
      <c r="F381" s="341"/>
      <c r="G381" s="341"/>
      <c r="H381" s="342"/>
    </row>
    <row r="382">
      <c r="A382" s="337"/>
      <c r="B382" s="337"/>
      <c r="C382" s="338"/>
      <c r="D382" s="338"/>
      <c r="E382" s="338"/>
      <c r="F382" s="341"/>
      <c r="G382" s="341"/>
      <c r="H382" s="342"/>
    </row>
    <row r="383">
      <c r="A383" s="337"/>
      <c r="B383" s="337"/>
      <c r="C383" s="338"/>
      <c r="D383" s="338"/>
      <c r="E383" s="338"/>
      <c r="F383" s="341"/>
      <c r="G383" s="341"/>
      <c r="H383" s="342"/>
    </row>
    <row r="384">
      <c r="A384" s="337"/>
      <c r="B384" s="337"/>
      <c r="C384" s="338"/>
      <c r="D384" s="338"/>
      <c r="E384" s="338"/>
      <c r="F384" s="341"/>
      <c r="G384" s="341"/>
      <c r="H384" s="342"/>
    </row>
    <row r="385">
      <c r="A385" s="337"/>
      <c r="B385" s="337"/>
      <c r="C385" s="338"/>
      <c r="D385" s="338"/>
      <c r="E385" s="338"/>
      <c r="F385" s="341"/>
      <c r="G385" s="341"/>
      <c r="H385" s="342"/>
    </row>
    <row r="386">
      <c r="A386" s="337"/>
      <c r="B386" s="337"/>
      <c r="C386" s="338"/>
      <c r="D386" s="338"/>
      <c r="E386" s="338"/>
      <c r="F386" s="341"/>
      <c r="G386" s="341"/>
      <c r="H386" s="342"/>
    </row>
    <row r="387">
      <c r="A387" s="337"/>
      <c r="B387" s="337"/>
      <c r="C387" s="338"/>
      <c r="D387" s="338"/>
      <c r="E387" s="338"/>
      <c r="F387" s="341"/>
      <c r="G387" s="341"/>
      <c r="H387" s="342"/>
    </row>
    <row r="388">
      <c r="A388" s="337"/>
      <c r="B388" s="337"/>
      <c r="C388" s="338"/>
      <c r="D388" s="338"/>
      <c r="E388" s="338"/>
      <c r="F388" s="341"/>
      <c r="G388" s="341"/>
      <c r="H388" s="342"/>
    </row>
    <row r="389">
      <c r="A389" s="337"/>
      <c r="B389" s="337"/>
      <c r="C389" s="338"/>
      <c r="D389" s="338"/>
      <c r="E389" s="338"/>
      <c r="F389" s="341"/>
      <c r="G389" s="341"/>
      <c r="H389" s="342"/>
    </row>
    <row r="390">
      <c r="A390" s="337"/>
      <c r="B390" s="337"/>
      <c r="C390" s="338"/>
      <c r="D390" s="338"/>
      <c r="E390" s="338"/>
      <c r="F390" s="341"/>
      <c r="G390" s="341"/>
      <c r="H390" s="342"/>
    </row>
    <row r="391">
      <c r="A391" s="337"/>
      <c r="B391" s="337"/>
      <c r="C391" s="338"/>
      <c r="D391" s="338"/>
      <c r="E391" s="338"/>
      <c r="F391" s="341"/>
      <c r="G391" s="341"/>
      <c r="H391" s="342"/>
    </row>
    <row r="392">
      <c r="A392" s="337"/>
      <c r="B392" s="337"/>
      <c r="C392" s="338"/>
      <c r="D392" s="338"/>
      <c r="E392" s="338"/>
      <c r="F392" s="341"/>
      <c r="G392" s="341"/>
      <c r="H392" s="342"/>
    </row>
    <row r="393">
      <c r="A393" s="337"/>
      <c r="B393" s="337"/>
      <c r="C393" s="338"/>
      <c r="D393" s="338"/>
      <c r="E393" s="338"/>
      <c r="F393" s="341"/>
      <c r="G393" s="341"/>
      <c r="H393" s="342"/>
    </row>
    <row r="394">
      <c r="A394" s="337"/>
      <c r="B394" s="337"/>
      <c r="C394" s="338"/>
      <c r="D394" s="338"/>
      <c r="E394" s="338"/>
      <c r="F394" s="341"/>
      <c r="G394" s="341"/>
      <c r="H394" s="342"/>
    </row>
    <row r="395">
      <c r="A395" s="337"/>
      <c r="B395" s="337"/>
      <c r="C395" s="338"/>
      <c r="D395" s="338"/>
      <c r="E395" s="338"/>
      <c r="F395" s="341"/>
      <c r="G395" s="341"/>
      <c r="H395" s="342"/>
    </row>
    <row r="396">
      <c r="A396" s="337"/>
      <c r="B396" s="337"/>
      <c r="C396" s="338"/>
      <c r="D396" s="338"/>
      <c r="E396" s="338"/>
      <c r="F396" s="341"/>
      <c r="G396" s="341"/>
      <c r="H396" s="342"/>
    </row>
    <row r="397">
      <c r="A397" s="337"/>
      <c r="B397" s="337"/>
      <c r="C397" s="338"/>
      <c r="D397" s="338"/>
      <c r="E397" s="338"/>
      <c r="F397" s="341"/>
      <c r="G397" s="341"/>
      <c r="H397" s="342"/>
    </row>
    <row r="398">
      <c r="A398" s="337"/>
      <c r="B398" s="337"/>
      <c r="C398" s="338"/>
      <c r="D398" s="338"/>
      <c r="E398" s="338"/>
      <c r="F398" s="341"/>
      <c r="G398" s="341"/>
      <c r="H398" s="342"/>
    </row>
    <row r="399">
      <c r="A399" s="337"/>
      <c r="B399" s="337"/>
      <c r="C399" s="338"/>
      <c r="D399" s="338"/>
      <c r="E399" s="338"/>
      <c r="F399" s="341"/>
      <c r="G399" s="341"/>
      <c r="H399" s="342"/>
    </row>
    <row r="400">
      <c r="A400" s="337"/>
      <c r="B400" s="337"/>
      <c r="C400" s="338"/>
      <c r="D400" s="338"/>
      <c r="E400" s="338"/>
      <c r="F400" s="341"/>
      <c r="G400" s="341"/>
      <c r="H400" s="342"/>
    </row>
    <row r="401">
      <c r="A401" s="337"/>
      <c r="B401" s="337"/>
      <c r="C401" s="338"/>
      <c r="D401" s="338"/>
      <c r="E401" s="338"/>
      <c r="F401" s="341"/>
      <c r="G401" s="341"/>
      <c r="H401" s="342"/>
    </row>
    <row r="402">
      <c r="A402" s="337"/>
      <c r="B402" s="337"/>
      <c r="C402" s="338"/>
      <c r="D402" s="338"/>
      <c r="E402" s="338"/>
      <c r="F402" s="341"/>
      <c r="G402" s="341"/>
      <c r="H402" s="342"/>
    </row>
    <row r="403">
      <c r="A403" s="337"/>
      <c r="B403" s="337"/>
      <c r="C403" s="338"/>
      <c r="D403" s="338"/>
      <c r="E403" s="338"/>
      <c r="F403" s="341"/>
      <c r="G403" s="341"/>
      <c r="H403" s="342"/>
    </row>
    <row r="404">
      <c r="A404" s="337"/>
      <c r="B404" s="337"/>
      <c r="C404" s="338"/>
      <c r="D404" s="338"/>
      <c r="E404" s="338"/>
      <c r="F404" s="341"/>
      <c r="G404" s="341"/>
      <c r="H404" s="342"/>
    </row>
    <row r="405">
      <c r="A405" s="337"/>
      <c r="B405" s="337"/>
      <c r="C405" s="338"/>
      <c r="D405" s="338"/>
      <c r="E405" s="338"/>
      <c r="F405" s="341"/>
      <c r="G405" s="341"/>
      <c r="H405" s="342"/>
    </row>
    <row r="406">
      <c r="A406" s="337"/>
      <c r="B406" s="337"/>
      <c r="C406" s="338"/>
      <c r="D406" s="338"/>
      <c r="E406" s="338"/>
      <c r="F406" s="341"/>
      <c r="G406" s="341"/>
      <c r="H406" s="342"/>
    </row>
    <row r="407">
      <c r="A407" s="337"/>
      <c r="B407" s="337"/>
      <c r="C407" s="338"/>
      <c r="D407" s="338"/>
      <c r="E407" s="338"/>
      <c r="F407" s="341"/>
      <c r="G407" s="341"/>
      <c r="H407" s="342"/>
    </row>
    <row r="408">
      <c r="A408" s="337"/>
      <c r="B408" s="337"/>
      <c r="C408" s="338"/>
      <c r="D408" s="338"/>
      <c r="E408" s="338"/>
      <c r="F408" s="341"/>
      <c r="G408" s="341"/>
      <c r="H408" s="342"/>
    </row>
    <row r="409">
      <c r="A409" s="337"/>
      <c r="B409" s="337"/>
      <c r="C409" s="338"/>
      <c r="D409" s="338"/>
      <c r="E409" s="338"/>
      <c r="F409" s="341"/>
      <c r="G409" s="341"/>
      <c r="H409" s="342"/>
    </row>
    <row r="410">
      <c r="A410" s="337"/>
      <c r="B410" s="337"/>
      <c r="C410" s="338"/>
      <c r="D410" s="338"/>
      <c r="E410" s="338"/>
      <c r="F410" s="341"/>
      <c r="G410" s="341"/>
      <c r="H410" s="342"/>
    </row>
    <row r="411">
      <c r="A411" s="337"/>
      <c r="B411" s="337"/>
      <c r="C411" s="338"/>
      <c r="D411" s="338"/>
      <c r="E411" s="338"/>
      <c r="F411" s="341"/>
      <c r="G411" s="341"/>
      <c r="H411" s="342"/>
    </row>
    <row r="412">
      <c r="A412" s="337"/>
      <c r="B412" s="337"/>
      <c r="C412" s="338"/>
      <c r="D412" s="338"/>
      <c r="E412" s="338"/>
      <c r="F412" s="341"/>
      <c r="G412" s="341"/>
      <c r="H412" s="342"/>
    </row>
    <row r="413">
      <c r="A413" s="337"/>
      <c r="B413" s="337"/>
      <c r="C413" s="338"/>
      <c r="D413" s="338"/>
      <c r="E413" s="338"/>
      <c r="F413" s="341"/>
      <c r="G413" s="341"/>
      <c r="H413" s="342"/>
    </row>
    <row r="414">
      <c r="A414" s="337"/>
      <c r="B414" s="337"/>
      <c r="C414" s="338"/>
      <c r="D414" s="338"/>
      <c r="E414" s="338"/>
      <c r="F414" s="341"/>
      <c r="G414" s="341"/>
      <c r="H414" s="342"/>
    </row>
    <row r="415">
      <c r="A415" s="337"/>
      <c r="B415" s="337"/>
      <c r="C415" s="338"/>
      <c r="D415" s="338"/>
      <c r="E415" s="338"/>
      <c r="F415" s="341"/>
      <c r="G415" s="341"/>
      <c r="H415" s="342"/>
    </row>
    <row r="416">
      <c r="A416" s="337"/>
      <c r="B416" s="337"/>
      <c r="C416" s="338"/>
      <c r="D416" s="338"/>
      <c r="E416" s="338"/>
      <c r="F416" s="341"/>
      <c r="G416" s="341"/>
      <c r="H416" s="342"/>
    </row>
    <row r="417">
      <c r="A417" s="337"/>
      <c r="B417" s="337"/>
      <c r="C417" s="338"/>
      <c r="D417" s="338"/>
      <c r="E417" s="338"/>
      <c r="F417" s="341"/>
      <c r="G417" s="341"/>
      <c r="H417" s="342"/>
    </row>
    <row r="418">
      <c r="A418" s="337"/>
      <c r="B418" s="337"/>
      <c r="C418" s="338"/>
      <c r="D418" s="338"/>
      <c r="E418" s="338"/>
      <c r="F418" s="341"/>
      <c r="G418" s="341"/>
      <c r="H418" s="342"/>
    </row>
    <row r="419">
      <c r="A419" s="337"/>
      <c r="B419" s="337"/>
      <c r="C419" s="338"/>
      <c r="D419" s="338"/>
      <c r="E419" s="338"/>
      <c r="F419" s="341"/>
      <c r="G419" s="341"/>
      <c r="H419" s="342"/>
    </row>
    <row r="420">
      <c r="A420" s="337"/>
      <c r="B420" s="337"/>
      <c r="C420" s="338"/>
      <c r="D420" s="338"/>
      <c r="E420" s="338"/>
      <c r="F420" s="341"/>
      <c r="G420" s="341"/>
      <c r="H420" s="342"/>
    </row>
    <row r="421">
      <c r="A421" s="337"/>
      <c r="B421" s="337"/>
      <c r="C421" s="338"/>
      <c r="D421" s="338"/>
      <c r="E421" s="338"/>
      <c r="F421" s="341"/>
      <c r="G421" s="341"/>
      <c r="H421" s="342"/>
    </row>
    <row r="422">
      <c r="A422" s="337"/>
      <c r="B422" s="337"/>
      <c r="C422" s="338"/>
      <c r="D422" s="338"/>
      <c r="E422" s="338"/>
      <c r="F422" s="341"/>
      <c r="G422" s="341"/>
      <c r="H422" s="342"/>
    </row>
    <row r="423">
      <c r="A423" s="337"/>
      <c r="B423" s="337"/>
      <c r="C423" s="338"/>
      <c r="D423" s="338"/>
      <c r="E423" s="338"/>
      <c r="F423" s="341"/>
      <c r="G423" s="341"/>
      <c r="H423" s="342"/>
    </row>
    <row r="424">
      <c r="A424" s="337"/>
      <c r="B424" s="337"/>
      <c r="C424" s="338"/>
      <c r="D424" s="338"/>
      <c r="E424" s="338"/>
      <c r="F424" s="341"/>
      <c r="G424" s="341"/>
      <c r="H424" s="342"/>
    </row>
    <row r="425">
      <c r="A425" s="337"/>
      <c r="B425" s="337"/>
      <c r="C425" s="338"/>
      <c r="D425" s="338"/>
      <c r="E425" s="338"/>
      <c r="F425" s="341"/>
      <c r="G425" s="341"/>
      <c r="H425" s="342"/>
    </row>
    <row r="426">
      <c r="A426" s="337"/>
      <c r="B426" s="337"/>
      <c r="C426" s="338"/>
      <c r="D426" s="338"/>
      <c r="E426" s="338"/>
      <c r="F426" s="341"/>
      <c r="G426" s="341"/>
      <c r="H426" s="342"/>
    </row>
    <row r="427">
      <c r="A427" s="337"/>
      <c r="B427" s="337"/>
      <c r="C427" s="338"/>
      <c r="D427" s="338"/>
      <c r="E427" s="338"/>
      <c r="F427" s="341"/>
      <c r="G427" s="341"/>
      <c r="H427" s="342"/>
    </row>
    <row r="428">
      <c r="A428" s="337"/>
      <c r="B428" s="337"/>
      <c r="C428" s="338"/>
      <c r="D428" s="338"/>
      <c r="E428" s="338"/>
      <c r="F428" s="341"/>
      <c r="G428" s="341"/>
      <c r="H428" s="342"/>
    </row>
    <row r="429">
      <c r="A429" s="337"/>
      <c r="B429" s="337"/>
      <c r="C429" s="338"/>
      <c r="D429" s="338"/>
      <c r="E429" s="338"/>
      <c r="F429" s="341"/>
      <c r="G429" s="341"/>
      <c r="H429" s="342"/>
    </row>
    <row r="430">
      <c r="A430" s="337"/>
      <c r="B430" s="337"/>
      <c r="C430" s="338"/>
      <c r="D430" s="338"/>
      <c r="E430" s="338"/>
      <c r="F430" s="341"/>
      <c r="G430" s="341"/>
      <c r="H430" s="342"/>
    </row>
    <row r="431">
      <c r="A431" s="337"/>
      <c r="B431" s="337"/>
      <c r="C431" s="338"/>
      <c r="D431" s="338"/>
      <c r="E431" s="338"/>
      <c r="F431" s="341"/>
      <c r="G431" s="341"/>
      <c r="H431" s="342"/>
    </row>
    <row r="432">
      <c r="A432" s="337"/>
      <c r="B432" s="337"/>
      <c r="C432" s="338"/>
      <c r="D432" s="338"/>
      <c r="E432" s="338"/>
      <c r="F432" s="341"/>
      <c r="G432" s="341"/>
      <c r="H432" s="342"/>
    </row>
    <row r="433">
      <c r="A433" s="337"/>
      <c r="B433" s="337"/>
      <c r="C433" s="338"/>
      <c r="D433" s="338"/>
      <c r="E433" s="338"/>
      <c r="F433" s="341"/>
      <c r="G433" s="341"/>
      <c r="H433" s="342"/>
    </row>
    <row r="434">
      <c r="A434" s="337"/>
      <c r="B434" s="337"/>
      <c r="C434" s="338"/>
      <c r="D434" s="338"/>
      <c r="E434" s="338"/>
      <c r="F434" s="341"/>
      <c r="G434" s="341"/>
      <c r="H434" s="342"/>
    </row>
    <row r="435">
      <c r="A435" s="337"/>
      <c r="B435" s="337"/>
      <c r="C435" s="338"/>
      <c r="D435" s="338"/>
      <c r="E435" s="338"/>
      <c r="F435" s="341"/>
      <c r="G435" s="341"/>
      <c r="H435" s="342"/>
    </row>
    <row r="436">
      <c r="A436" s="337"/>
      <c r="B436" s="337"/>
      <c r="C436" s="338"/>
      <c r="D436" s="338"/>
      <c r="E436" s="338"/>
      <c r="F436" s="341"/>
      <c r="G436" s="341"/>
      <c r="H436" s="342"/>
    </row>
    <row r="437">
      <c r="A437" s="337"/>
      <c r="B437" s="337"/>
      <c r="C437" s="338"/>
      <c r="D437" s="338"/>
      <c r="E437" s="338"/>
      <c r="F437" s="341"/>
      <c r="G437" s="341"/>
      <c r="H437" s="342"/>
    </row>
    <row r="438">
      <c r="A438" s="337"/>
      <c r="B438" s="337"/>
      <c r="C438" s="338"/>
      <c r="D438" s="338"/>
      <c r="E438" s="338"/>
      <c r="F438" s="341"/>
      <c r="G438" s="341"/>
      <c r="H438" s="342"/>
    </row>
    <row r="439">
      <c r="A439" s="337"/>
      <c r="B439" s="337"/>
      <c r="C439" s="338"/>
      <c r="D439" s="338"/>
      <c r="E439" s="338"/>
      <c r="F439" s="341"/>
      <c r="G439" s="341"/>
      <c r="H439" s="342"/>
    </row>
    <row r="440">
      <c r="A440" s="337"/>
      <c r="B440" s="337"/>
      <c r="C440" s="338"/>
      <c r="D440" s="338"/>
      <c r="E440" s="338"/>
      <c r="F440" s="341"/>
      <c r="G440" s="341"/>
      <c r="H440" s="342"/>
    </row>
    <row r="441">
      <c r="A441" s="337"/>
      <c r="B441" s="337"/>
      <c r="C441" s="338"/>
      <c r="D441" s="338"/>
      <c r="E441" s="338"/>
      <c r="F441" s="341"/>
      <c r="G441" s="341"/>
      <c r="H441" s="342"/>
    </row>
    <row r="442">
      <c r="A442" s="337"/>
      <c r="B442" s="337"/>
      <c r="C442" s="338"/>
      <c r="D442" s="338"/>
      <c r="E442" s="338"/>
      <c r="F442" s="341"/>
      <c r="G442" s="341"/>
      <c r="H442" s="342"/>
    </row>
    <row r="443">
      <c r="A443" s="337"/>
      <c r="B443" s="337"/>
      <c r="C443" s="338"/>
      <c r="D443" s="338"/>
      <c r="E443" s="338"/>
      <c r="F443" s="341"/>
      <c r="G443" s="341"/>
      <c r="H443" s="342"/>
    </row>
    <row r="444">
      <c r="A444" s="337"/>
      <c r="B444" s="337"/>
      <c r="C444" s="338"/>
      <c r="D444" s="338"/>
      <c r="E444" s="338"/>
      <c r="F444" s="341"/>
      <c r="G444" s="341"/>
      <c r="H444" s="342"/>
    </row>
    <row r="445">
      <c r="A445" s="337"/>
      <c r="B445" s="337"/>
      <c r="C445" s="338"/>
      <c r="D445" s="338"/>
      <c r="E445" s="338"/>
      <c r="F445" s="341"/>
      <c r="G445" s="341"/>
      <c r="H445" s="342"/>
    </row>
    <row r="446">
      <c r="A446" s="337"/>
      <c r="B446" s="337"/>
      <c r="C446" s="338"/>
      <c r="D446" s="338"/>
      <c r="E446" s="338"/>
      <c r="F446" s="341"/>
      <c r="G446" s="341"/>
      <c r="H446" s="342"/>
    </row>
    <row r="447">
      <c r="A447" s="337"/>
      <c r="B447" s="337"/>
      <c r="C447" s="338"/>
      <c r="D447" s="338"/>
      <c r="E447" s="338"/>
      <c r="F447" s="341"/>
      <c r="G447" s="341"/>
      <c r="H447" s="342"/>
    </row>
    <row r="448">
      <c r="A448" s="337"/>
      <c r="B448" s="337"/>
      <c r="C448" s="338"/>
      <c r="D448" s="338"/>
      <c r="E448" s="338"/>
      <c r="F448" s="341"/>
      <c r="G448" s="341"/>
      <c r="H448" s="342"/>
    </row>
    <row r="449">
      <c r="A449" s="337"/>
      <c r="B449" s="337"/>
      <c r="C449" s="338"/>
      <c r="D449" s="338"/>
      <c r="E449" s="338"/>
      <c r="F449" s="341"/>
      <c r="G449" s="341"/>
      <c r="H449" s="342"/>
    </row>
    <row r="450">
      <c r="A450" s="337"/>
      <c r="B450" s="337"/>
      <c r="C450" s="338"/>
      <c r="D450" s="338"/>
      <c r="E450" s="338"/>
      <c r="F450" s="341"/>
      <c r="G450" s="341"/>
      <c r="H450" s="342"/>
    </row>
    <row r="451">
      <c r="A451" s="337"/>
      <c r="B451" s="337"/>
      <c r="C451" s="338"/>
      <c r="D451" s="338"/>
      <c r="E451" s="338"/>
      <c r="F451" s="341"/>
      <c r="G451" s="341"/>
      <c r="H451" s="342"/>
    </row>
    <row r="452">
      <c r="A452" s="337"/>
      <c r="B452" s="337"/>
      <c r="C452" s="338"/>
      <c r="D452" s="338"/>
      <c r="E452" s="338"/>
      <c r="F452" s="341"/>
      <c r="G452" s="341"/>
      <c r="H452" s="342"/>
    </row>
    <row r="453">
      <c r="A453" s="337"/>
      <c r="B453" s="337"/>
      <c r="C453" s="338"/>
      <c r="D453" s="338"/>
      <c r="E453" s="338"/>
      <c r="F453" s="341"/>
      <c r="G453" s="341"/>
      <c r="H453" s="342"/>
    </row>
    <row r="454">
      <c r="A454" s="337"/>
      <c r="B454" s="337"/>
      <c r="C454" s="338"/>
      <c r="D454" s="338"/>
      <c r="E454" s="338"/>
      <c r="F454" s="341"/>
      <c r="G454" s="341"/>
      <c r="H454" s="342"/>
    </row>
    <row r="455">
      <c r="A455" s="337"/>
      <c r="B455" s="337"/>
      <c r="C455" s="338"/>
      <c r="D455" s="338"/>
      <c r="E455" s="338"/>
      <c r="F455" s="341"/>
      <c r="G455" s="341"/>
      <c r="H455" s="342"/>
    </row>
    <row r="456">
      <c r="A456" s="337"/>
      <c r="B456" s="337"/>
      <c r="C456" s="338"/>
      <c r="D456" s="338"/>
      <c r="E456" s="338"/>
      <c r="F456" s="341"/>
      <c r="G456" s="341"/>
      <c r="H456" s="342"/>
    </row>
    <row r="457">
      <c r="A457" s="337"/>
      <c r="B457" s="337"/>
      <c r="C457" s="338"/>
      <c r="D457" s="338"/>
      <c r="E457" s="338"/>
      <c r="F457" s="341"/>
      <c r="G457" s="341"/>
      <c r="H457" s="342"/>
    </row>
    <row r="458">
      <c r="A458" s="337"/>
      <c r="B458" s="337"/>
      <c r="C458" s="338"/>
      <c r="D458" s="338"/>
      <c r="E458" s="338"/>
      <c r="F458" s="341"/>
      <c r="G458" s="341"/>
      <c r="H458" s="342"/>
    </row>
    <row r="459">
      <c r="A459" s="337"/>
      <c r="B459" s="337"/>
      <c r="C459" s="338"/>
      <c r="D459" s="338"/>
      <c r="E459" s="338"/>
      <c r="F459" s="341"/>
      <c r="G459" s="341"/>
      <c r="H459" s="342"/>
    </row>
    <row r="460">
      <c r="A460" s="337"/>
      <c r="B460" s="337"/>
      <c r="C460" s="338"/>
      <c r="D460" s="338"/>
      <c r="E460" s="338"/>
      <c r="F460" s="341"/>
      <c r="G460" s="341"/>
      <c r="H460" s="342"/>
    </row>
    <row r="461">
      <c r="A461" s="337"/>
      <c r="B461" s="337"/>
      <c r="C461" s="338"/>
      <c r="D461" s="338"/>
      <c r="E461" s="338"/>
      <c r="F461" s="341"/>
      <c r="G461" s="341"/>
      <c r="H461" s="342"/>
    </row>
    <row r="462">
      <c r="A462" s="337"/>
      <c r="B462" s="337"/>
      <c r="C462" s="338"/>
      <c r="D462" s="338"/>
      <c r="E462" s="338"/>
      <c r="F462" s="341"/>
      <c r="G462" s="341"/>
      <c r="H462" s="342"/>
    </row>
    <row r="463">
      <c r="A463" s="337"/>
      <c r="B463" s="337"/>
      <c r="C463" s="338"/>
      <c r="D463" s="338"/>
      <c r="E463" s="338"/>
      <c r="F463" s="341"/>
      <c r="G463" s="341"/>
      <c r="H463" s="342"/>
    </row>
    <row r="464">
      <c r="A464" s="337"/>
      <c r="B464" s="337"/>
      <c r="C464" s="338"/>
      <c r="D464" s="338"/>
      <c r="E464" s="338"/>
      <c r="F464" s="341"/>
      <c r="G464" s="341"/>
      <c r="H464" s="342"/>
    </row>
    <row r="465">
      <c r="A465" s="337"/>
      <c r="B465" s="337"/>
      <c r="C465" s="338"/>
      <c r="D465" s="338"/>
      <c r="E465" s="338"/>
      <c r="F465" s="341"/>
      <c r="G465" s="341"/>
      <c r="H465" s="342"/>
    </row>
    <row r="466">
      <c r="A466" s="337"/>
      <c r="B466" s="337"/>
      <c r="C466" s="338"/>
      <c r="D466" s="338"/>
      <c r="E466" s="338"/>
      <c r="F466" s="341"/>
      <c r="G466" s="341"/>
      <c r="H466" s="342"/>
    </row>
    <row r="467">
      <c r="A467" s="337"/>
      <c r="B467" s="337"/>
      <c r="C467" s="338"/>
      <c r="D467" s="338"/>
      <c r="E467" s="338"/>
      <c r="F467" s="341"/>
      <c r="G467" s="341"/>
      <c r="H467" s="342"/>
    </row>
    <row r="468">
      <c r="A468" s="337"/>
      <c r="B468" s="337"/>
      <c r="C468" s="338"/>
      <c r="D468" s="338"/>
      <c r="E468" s="338"/>
      <c r="F468" s="341"/>
      <c r="G468" s="341"/>
      <c r="H468" s="342"/>
    </row>
    <row r="469">
      <c r="A469" s="337"/>
      <c r="B469" s="337"/>
      <c r="C469" s="338"/>
      <c r="D469" s="338"/>
      <c r="E469" s="338"/>
      <c r="F469" s="341"/>
      <c r="G469" s="341"/>
      <c r="H469" s="342"/>
    </row>
    <row r="470">
      <c r="A470" s="337"/>
      <c r="B470" s="337"/>
      <c r="C470" s="338"/>
      <c r="D470" s="338"/>
      <c r="E470" s="338"/>
      <c r="F470" s="341"/>
      <c r="G470" s="341"/>
      <c r="H470" s="342"/>
    </row>
    <row r="471">
      <c r="A471" s="337"/>
      <c r="B471" s="337"/>
      <c r="C471" s="338"/>
      <c r="D471" s="338"/>
      <c r="E471" s="338"/>
      <c r="F471" s="341"/>
      <c r="G471" s="341"/>
      <c r="H471" s="342"/>
    </row>
    <row r="472">
      <c r="A472" s="337"/>
      <c r="B472" s="337"/>
      <c r="C472" s="338"/>
      <c r="D472" s="338"/>
      <c r="E472" s="338"/>
      <c r="F472" s="341"/>
      <c r="G472" s="341"/>
      <c r="H472" s="342"/>
    </row>
    <row r="473">
      <c r="A473" s="337"/>
      <c r="B473" s="337"/>
      <c r="C473" s="338"/>
      <c r="D473" s="338"/>
      <c r="E473" s="338"/>
      <c r="F473" s="341"/>
      <c r="G473" s="341"/>
      <c r="H473" s="342"/>
    </row>
    <row r="474">
      <c r="A474" s="337"/>
      <c r="B474" s="337"/>
      <c r="C474" s="338"/>
      <c r="D474" s="338"/>
      <c r="E474" s="338"/>
      <c r="F474" s="341"/>
      <c r="G474" s="341"/>
      <c r="H474" s="342"/>
    </row>
    <row r="475">
      <c r="A475" s="337"/>
      <c r="B475" s="337"/>
      <c r="C475" s="338"/>
      <c r="D475" s="338"/>
      <c r="E475" s="338"/>
      <c r="F475" s="341"/>
      <c r="G475" s="341"/>
      <c r="H475" s="342"/>
    </row>
    <row r="476">
      <c r="A476" s="337"/>
      <c r="B476" s="337"/>
      <c r="C476" s="338"/>
      <c r="D476" s="338"/>
      <c r="E476" s="338"/>
      <c r="F476" s="341"/>
      <c r="G476" s="341"/>
      <c r="H476" s="342"/>
    </row>
    <row r="477">
      <c r="A477" s="337"/>
      <c r="B477" s="337"/>
      <c r="C477" s="338"/>
      <c r="D477" s="338"/>
      <c r="E477" s="338"/>
      <c r="F477" s="341"/>
      <c r="G477" s="341"/>
      <c r="H477" s="342"/>
    </row>
    <row r="478">
      <c r="A478" s="337"/>
      <c r="B478" s="337"/>
      <c r="C478" s="338"/>
      <c r="D478" s="338"/>
      <c r="E478" s="338"/>
      <c r="F478" s="341"/>
      <c r="G478" s="341"/>
      <c r="H478" s="342"/>
    </row>
    <row r="479">
      <c r="A479" s="337"/>
      <c r="B479" s="337"/>
      <c r="C479" s="338"/>
      <c r="D479" s="338"/>
      <c r="E479" s="338"/>
      <c r="F479" s="341"/>
      <c r="G479" s="341"/>
      <c r="H479" s="342"/>
    </row>
    <row r="480">
      <c r="A480" s="337"/>
      <c r="B480" s="337"/>
      <c r="C480" s="338"/>
      <c r="D480" s="338"/>
      <c r="E480" s="338"/>
      <c r="F480" s="341"/>
      <c r="G480" s="341"/>
      <c r="H480" s="342"/>
    </row>
    <row r="481">
      <c r="A481" s="337"/>
      <c r="B481" s="337"/>
      <c r="C481" s="338"/>
      <c r="D481" s="338"/>
      <c r="E481" s="338"/>
      <c r="F481" s="341"/>
      <c r="G481" s="341"/>
      <c r="H481" s="342"/>
    </row>
    <row r="482">
      <c r="A482" s="337"/>
      <c r="B482" s="337"/>
      <c r="C482" s="338"/>
      <c r="D482" s="338"/>
      <c r="E482" s="338"/>
      <c r="F482" s="341"/>
      <c r="G482" s="341"/>
      <c r="H482" s="342"/>
    </row>
    <row r="483">
      <c r="A483" s="337"/>
      <c r="B483" s="337"/>
      <c r="C483" s="338"/>
      <c r="D483" s="338"/>
      <c r="E483" s="338"/>
      <c r="F483" s="341"/>
      <c r="G483" s="341"/>
      <c r="H483" s="342"/>
    </row>
    <row r="484">
      <c r="A484" s="337"/>
      <c r="B484" s="337"/>
      <c r="C484" s="338"/>
      <c r="D484" s="338"/>
      <c r="E484" s="338"/>
      <c r="F484" s="341"/>
      <c r="G484" s="341"/>
      <c r="H484" s="342"/>
    </row>
    <row r="485">
      <c r="A485" s="337"/>
      <c r="B485" s="337"/>
      <c r="C485" s="338"/>
      <c r="D485" s="338"/>
      <c r="E485" s="338"/>
      <c r="F485" s="341"/>
      <c r="G485" s="341"/>
      <c r="H485" s="342"/>
    </row>
    <row r="486">
      <c r="A486" s="337"/>
      <c r="B486" s="337"/>
      <c r="C486" s="338"/>
      <c r="D486" s="338"/>
      <c r="E486" s="338"/>
      <c r="F486" s="341"/>
      <c r="G486" s="341"/>
      <c r="H486" s="342"/>
    </row>
    <row r="487">
      <c r="A487" s="337"/>
      <c r="B487" s="337"/>
      <c r="C487" s="338"/>
      <c r="D487" s="338"/>
      <c r="E487" s="338"/>
      <c r="F487" s="341"/>
      <c r="G487" s="341"/>
      <c r="H487" s="342"/>
    </row>
    <row r="488">
      <c r="A488" s="337"/>
      <c r="B488" s="337"/>
      <c r="C488" s="338"/>
      <c r="D488" s="338"/>
      <c r="E488" s="338"/>
      <c r="F488" s="341"/>
      <c r="G488" s="341"/>
      <c r="H488" s="342"/>
    </row>
    <row r="489">
      <c r="A489" s="337"/>
      <c r="B489" s="337"/>
      <c r="C489" s="338"/>
      <c r="D489" s="338"/>
      <c r="E489" s="338"/>
      <c r="F489" s="341"/>
      <c r="G489" s="341"/>
      <c r="H489" s="342"/>
    </row>
    <row r="490">
      <c r="A490" s="337"/>
      <c r="B490" s="337"/>
      <c r="C490" s="338"/>
      <c r="D490" s="338"/>
      <c r="E490" s="338"/>
      <c r="F490" s="341"/>
      <c r="G490" s="341"/>
      <c r="H490" s="342"/>
    </row>
    <row r="491">
      <c r="A491" s="337"/>
      <c r="B491" s="337"/>
      <c r="C491" s="338"/>
      <c r="D491" s="338"/>
      <c r="E491" s="338"/>
      <c r="F491" s="341"/>
      <c r="G491" s="341"/>
      <c r="H491" s="342"/>
    </row>
    <row r="492">
      <c r="A492" s="337"/>
      <c r="B492" s="337"/>
      <c r="C492" s="338"/>
      <c r="D492" s="338"/>
      <c r="E492" s="338"/>
      <c r="F492" s="341"/>
      <c r="G492" s="341"/>
      <c r="H492" s="342"/>
    </row>
    <row r="493">
      <c r="A493" s="337"/>
      <c r="B493" s="337"/>
      <c r="C493" s="338"/>
      <c r="D493" s="338"/>
      <c r="E493" s="338"/>
      <c r="F493" s="341"/>
      <c r="G493" s="341"/>
      <c r="H493" s="342"/>
    </row>
    <row r="494">
      <c r="A494" s="337"/>
      <c r="B494" s="337"/>
      <c r="C494" s="338"/>
      <c r="D494" s="338"/>
      <c r="E494" s="338"/>
      <c r="F494" s="341"/>
      <c r="G494" s="341"/>
      <c r="H494" s="342"/>
    </row>
    <row r="495">
      <c r="A495" s="337"/>
      <c r="B495" s="337"/>
      <c r="C495" s="338"/>
      <c r="D495" s="338"/>
      <c r="E495" s="338"/>
      <c r="F495" s="341"/>
      <c r="G495" s="341"/>
      <c r="H495" s="342"/>
    </row>
    <row r="496">
      <c r="A496" s="337"/>
      <c r="B496" s="337"/>
      <c r="C496" s="338"/>
      <c r="D496" s="338"/>
      <c r="E496" s="338"/>
      <c r="F496" s="341"/>
      <c r="G496" s="341"/>
      <c r="H496" s="342"/>
    </row>
    <row r="497">
      <c r="A497" s="337"/>
      <c r="B497" s="337"/>
      <c r="C497" s="338"/>
      <c r="D497" s="338"/>
      <c r="E497" s="338"/>
      <c r="F497" s="341"/>
      <c r="G497" s="341"/>
      <c r="H497" s="342"/>
    </row>
    <row r="498">
      <c r="A498" s="337"/>
      <c r="B498" s="337"/>
      <c r="C498" s="338"/>
      <c r="D498" s="338"/>
      <c r="E498" s="338"/>
      <c r="F498" s="341"/>
      <c r="G498" s="341"/>
      <c r="H498" s="342"/>
    </row>
    <row r="499">
      <c r="A499" s="337"/>
      <c r="B499" s="337"/>
      <c r="C499" s="338"/>
      <c r="D499" s="338"/>
      <c r="E499" s="338"/>
      <c r="F499" s="341"/>
      <c r="G499" s="341"/>
      <c r="H499" s="342"/>
    </row>
    <row r="500">
      <c r="A500" s="337"/>
      <c r="B500" s="337"/>
      <c r="C500" s="338"/>
      <c r="D500" s="338"/>
      <c r="E500" s="338"/>
      <c r="F500" s="341"/>
      <c r="G500" s="341"/>
      <c r="H500" s="342"/>
    </row>
    <row r="501">
      <c r="A501" s="337"/>
      <c r="B501" s="337"/>
      <c r="C501" s="338"/>
      <c r="D501" s="338"/>
      <c r="E501" s="338"/>
      <c r="F501" s="341"/>
      <c r="G501" s="341"/>
      <c r="H501" s="342"/>
    </row>
    <row r="502">
      <c r="A502" s="337"/>
      <c r="B502" s="337"/>
      <c r="C502" s="338"/>
      <c r="D502" s="338"/>
      <c r="E502" s="338"/>
      <c r="F502" s="341"/>
      <c r="G502" s="341"/>
      <c r="H502" s="342"/>
    </row>
    <row r="503">
      <c r="A503" s="337"/>
      <c r="B503" s="337"/>
      <c r="C503" s="338"/>
      <c r="D503" s="338"/>
      <c r="E503" s="338"/>
      <c r="F503" s="341"/>
      <c r="G503" s="341"/>
      <c r="H503" s="342"/>
    </row>
    <row r="504">
      <c r="A504" s="337"/>
      <c r="B504" s="337"/>
      <c r="C504" s="338"/>
      <c r="D504" s="338"/>
      <c r="E504" s="338"/>
      <c r="F504" s="341"/>
      <c r="G504" s="341"/>
      <c r="H504" s="342"/>
    </row>
    <row r="505">
      <c r="A505" s="337"/>
      <c r="B505" s="337"/>
      <c r="C505" s="338"/>
      <c r="D505" s="338"/>
      <c r="E505" s="338"/>
      <c r="F505" s="341"/>
      <c r="G505" s="341"/>
      <c r="H505" s="342"/>
    </row>
    <row r="506">
      <c r="A506" s="337"/>
      <c r="B506" s="337"/>
      <c r="C506" s="338"/>
      <c r="D506" s="338"/>
      <c r="E506" s="338"/>
      <c r="F506" s="341"/>
      <c r="G506" s="341"/>
      <c r="H506" s="342"/>
    </row>
    <row r="507">
      <c r="A507" s="337"/>
      <c r="B507" s="337"/>
      <c r="C507" s="338"/>
      <c r="D507" s="338"/>
      <c r="E507" s="338"/>
      <c r="F507" s="341"/>
      <c r="G507" s="341"/>
      <c r="H507" s="342"/>
    </row>
    <row r="508">
      <c r="A508" s="337"/>
      <c r="B508" s="337"/>
      <c r="C508" s="338"/>
      <c r="D508" s="338"/>
      <c r="E508" s="338"/>
      <c r="F508" s="341"/>
      <c r="G508" s="341"/>
      <c r="H508" s="342"/>
    </row>
    <row r="509">
      <c r="A509" s="337"/>
      <c r="B509" s="337"/>
      <c r="C509" s="338"/>
      <c r="D509" s="338"/>
      <c r="E509" s="338"/>
      <c r="F509" s="341"/>
      <c r="G509" s="341"/>
      <c r="H509" s="342"/>
    </row>
    <row r="510">
      <c r="A510" s="337"/>
      <c r="B510" s="337"/>
      <c r="C510" s="338"/>
      <c r="D510" s="338"/>
      <c r="E510" s="338"/>
      <c r="F510" s="341"/>
      <c r="G510" s="341"/>
      <c r="H510" s="342"/>
    </row>
    <row r="511">
      <c r="A511" s="337"/>
      <c r="B511" s="337"/>
      <c r="C511" s="338"/>
      <c r="D511" s="338"/>
      <c r="E511" s="338"/>
      <c r="F511" s="341"/>
      <c r="G511" s="341"/>
      <c r="H511" s="342"/>
    </row>
    <row r="512">
      <c r="A512" s="337"/>
      <c r="B512" s="337"/>
      <c r="C512" s="338"/>
      <c r="D512" s="338"/>
      <c r="E512" s="338"/>
      <c r="F512" s="341"/>
      <c r="G512" s="341"/>
      <c r="H512" s="342"/>
    </row>
    <row r="513">
      <c r="A513" s="337"/>
      <c r="B513" s="337"/>
      <c r="C513" s="338"/>
      <c r="D513" s="338"/>
      <c r="E513" s="338"/>
      <c r="F513" s="341"/>
      <c r="G513" s="341"/>
      <c r="H513" s="342"/>
    </row>
    <row r="514">
      <c r="A514" s="337"/>
      <c r="B514" s="337"/>
      <c r="C514" s="338"/>
      <c r="D514" s="338"/>
      <c r="E514" s="338"/>
      <c r="F514" s="341"/>
      <c r="G514" s="341"/>
      <c r="H514" s="342"/>
    </row>
    <row r="515">
      <c r="A515" s="337"/>
      <c r="B515" s="337"/>
      <c r="C515" s="338"/>
      <c r="D515" s="338"/>
      <c r="E515" s="338"/>
      <c r="F515" s="341"/>
      <c r="G515" s="341"/>
      <c r="H515" s="342"/>
    </row>
    <row r="516">
      <c r="A516" s="337"/>
      <c r="B516" s="337"/>
      <c r="C516" s="338"/>
      <c r="D516" s="338"/>
      <c r="E516" s="338"/>
      <c r="F516" s="341"/>
      <c r="G516" s="341"/>
      <c r="H516" s="342"/>
    </row>
    <row r="517">
      <c r="A517" s="337"/>
      <c r="B517" s="337"/>
      <c r="C517" s="338"/>
      <c r="D517" s="338"/>
      <c r="E517" s="338"/>
      <c r="F517" s="341"/>
      <c r="G517" s="341"/>
      <c r="H517" s="342"/>
    </row>
    <row r="518">
      <c r="A518" s="337"/>
      <c r="B518" s="337"/>
      <c r="C518" s="338"/>
      <c r="D518" s="338"/>
      <c r="E518" s="338"/>
      <c r="F518" s="341"/>
      <c r="G518" s="341"/>
      <c r="H518" s="342"/>
    </row>
    <row r="519">
      <c r="A519" s="337"/>
      <c r="B519" s="337"/>
      <c r="C519" s="338"/>
      <c r="D519" s="338"/>
      <c r="E519" s="338"/>
      <c r="F519" s="341"/>
      <c r="G519" s="341"/>
      <c r="H519" s="342"/>
    </row>
    <row r="520">
      <c r="A520" s="337"/>
      <c r="B520" s="337"/>
      <c r="C520" s="338"/>
      <c r="D520" s="338"/>
      <c r="E520" s="338"/>
      <c r="F520" s="341"/>
      <c r="G520" s="341"/>
      <c r="H520" s="342"/>
    </row>
    <row r="521">
      <c r="A521" s="337"/>
      <c r="B521" s="337"/>
      <c r="C521" s="338"/>
      <c r="D521" s="338"/>
      <c r="E521" s="338"/>
      <c r="F521" s="341"/>
      <c r="G521" s="341"/>
      <c r="H521" s="342"/>
    </row>
    <row r="522">
      <c r="A522" s="337"/>
      <c r="B522" s="337"/>
      <c r="C522" s="338"/>
      <c r="D522" s="338"/>
      <c r="E522" s="338"/>
      <c r="F522" s="341"/>
      <c r="G522" s="341"/>
      <c r="H522" s="342"/>
    </row>
    <row r="523">
      <c r="A523" s="337"/>
      <c r="B523" s="337"/>
      <c r="C523" s="338"/>
      <c r="D523" s="338"/>
      <c r="E523" s="338"/>
      <c r="F523" s="341"/>
      <c r="G523" s="341"/>
      <c r="H523" s="342"/>
    </row>
    <row r="524">
      <c r="A524" s="337"/>
      <c r="B524" s="337"/>
      <c r="C524" s="338"/>
      <c r="D524" s="338"/>
      <c r="E524" s="338"/>
      <c r="F524" s="341"/>
      <c r="G524" s="341"/>
      <c r="H524" s="342"/>
    </row>
    <row r="525">
      <c r="A525" s="337"/>
      <c r="B525" s="337"/>
      <c r="C525" s="338"/>
      <c r="D525" s="338"/>
      <c r="E525" s="338"/>
      <c r="F525" s="341"/>
      <c r="G525" s="341"/>
      <c r="H525" s="342"/>
    </row>
    <row r="526">
      <c r="A526" s="337"/>
      <c r="B526" s="337"/>
      <c r="C526" s="338"/>
      <c r="D526" s="338"/>
      <c r="E526" s="338"/>
      <c r="F526" s="341"/>
      <c r="G526" s="341"/>
      <c r="H526" s="342"/>
    </row>
    <row r="527">
      <c r="A527" s="337"/>
      <c r="B527" s="337"/>
      <c r="C527" s="338"/>
      <c r="D527" s="338"/>
      <c r="E527" s="338"/>
      <c r="F527" s="341"/>
      <c r="G527" s="341"/>
      <c r="H527" s="342"/>
    </row>
    <row r="528">
      <c r="A528" s="337"/>
      <c r="B528" s="337"/>
      <c r="C528" s="338"/>
      <c r="D528" s="338"/>
      <c r="E528" s="338"/>
      <c r="F528" s="341"/>
      <c r="G528" s="341"/>
      <c r="H528" s="342"/>
    </row>
    <row r="529">
      <c r="A529" s="337"/>
      <c r="B529" s="337"/>
      <c r="C529" s="338"/>
      <c r="D529" s="338"/>
      <c r="E529" s="338"/>
      <c r="F529" s="341"/>
      <c r="G529" s="341"/>
      <c r="H529" s="342"/>
    </row>
    <row r="530">
      <c r="A530" s="337"/>
      <c r="B530" s="337"/>
      <c r="C530" s="338"/>
      <c r="D530" s="338"/>
      <c r="E530" s="338"/>
      <c r="F530" s="341"/>
      <c r="G530" s="341"/>
      <c r="H530" s="342"/>
    </row>
    <row r="531">
      <c r="A531" s="337"/>
      <c r="B531" s="337"/>
      <c r="C531" s="338"/>
      <c r="D531" s="338"/>
      <c r="E531" s="338"/>
      <c r="F531" s="341"/>
      <c r="G531" s="341"/>
      <c r="H531" s="342"/>
    </row>
    <row r="532">
      <c r="A532" s="337"/>
      <c r="B532" s="337"/>
      <c r="C532" s="338"/>
      <c r="D532" s="338"/>
      <c r="E532" s="338"/>
      <c r="F532" s="341"/>
      <c r="G532" s="341"/>
      <c r="H532" s="342"/>
    </row>
    <row r="533">
      <c r="A533" s="337"/>
      <c r="B533" s="337"/>
      <c r="C533" s="338"/>
      <c r="D533" s="338"/>
      <c r="E533" s="338"/>
      <c r="F533" s="341"/>
      <c r="G533" s="341"/>
      <c r="H533" s="342"/>
    </row>
    <row r="534">
      <c r="A534" s="337"/>
      <c r="B534" s="337"/>
      <c r="C534" s="338"/>
      <c r="D534" s="338"/>
      <c r="E534" s="338"/>
      <c r="F534" s="341"/>
      <c r="G534" s="341"/>
      <c r="H534" s="342"/>
    </row>
    <row r="535">
      <c r="A535" s="337"/>
      <c r="B535" s="337"/>
      <c r="C535" s="338"/>
      <c r="D535" s="338"/>
      <c r="E535" s="338"/>
      <c r="F535" s="341"/>
      <c r="G535" s="341"/>
      <c r="H535" s="342"/>
    </row>
    <row r="536">
      <c r="A536" s="337"/>
      <c r="B536" s="337"/>
      <c r="C536" s="338"/>
      <c r="D536" s="338"/>
      <c r="E536" s="338"/>
      <c r="F536" s="341"/>
      <c r="G536" s="341"/>
      <c r="H536" s="342"/>
    </row>
    <row r="537">
      <c r="A537" s="337"/>
      <c r="B537" s="337"/>
      <c r="C537" s="338"/>
      <c r="D537" s="338"/>
      <c r="E537" s="338"/>
      <c r="F537" s="341"/>
      <c r="G537" s="341"/>
      <c r="H537" s="342"/>
    </row>
    <row r="538">
      <c r="A538" s="337"/>
      <c r="B538" s="337"/>
      <c r="C538" s="338"/>
      <c r="D538" s="338"/>
      <c r="E538" s="338"/>
      <c r="F538" s="341"/>
      <c r="G538" s="341"/>
      <c r="H538" s="342"/>
    </row>
    <row r="539">
      <c r="A539" s="337"/>
      <c r="B539" s="337"/>
      <c r="C539" s="338"/>
      <c r="D539" s="338"/>
      <c r="E539" s="338"/>
      <c r="F539" s="341"/>
      <c r="G539" s="341"/>
      <c r="H539" s="342"/>
    </row>
    <row r="540">
      <c r="A540" s="337"/>
      <c r="B540" s="337"/>
      <c r="C540" s="338"/>
      <c r="D540" s="338"/>
      <c r="E540" s="338"/>
      <c r="F540" s="341"/>
      <c r="G540" s="341"/>
      <c r="H540" s="342"/>
    </row>
    <row r="541">
      <c r="A541" s="337"/>
      <c r="B541" s="337"/>
      <c r="C541" s="338"/>
      <c r="D541" s="338"/>
      <c r="E541" s="338"/>
      <c r="F541" s="341"/>
      <c r="G541" s="341"/>
      <c r="H541" s="342"/>
    </row>
    <row r="542">
      <c r="A542" s="337"/>
      <c r="B542" s="337"/>
      <c r="C542" s="338"/>
      <c r="D542" s="338"/>
      <c r="E542" s="338"/>
      <c r="F542" s="341"/>
      <c r="G542" s="341"/>
      <c r="H542" s="342"/>
    </row>
    <row r="543">
      <c r="A543" s="337"/>
      <c r="B543" s="337"/>
      <c r="C543" s="338"/>
      <c r="D543" s="338"/>
      <c r="E543" s="338"/>
      <c r="F543" s="341"/>
      <c r="G543" s="341"/>
      <c r="H543" s="342"/>
    </row>
    <row r="544">
      <c r="A544" s="337"/>
      <c r="B544" s="337"/>
      <c r="C544" s="338"/>
      <c r="D544" s="338"/>
      <c r="E544" s="338"/>
      <c r="F544" s="341"/>
      <c r="G544" s="341"/>
      <c r="H544" s="342"/>
    </row>
    <row r="545">
      <c r="A545" s="337"/>
      <c r="B545" s="337"/>
      <c r="C545" s="338"/>
      <c r="D545" s="338"/>
      <c r="E545" s="338"/>
      <c r="F545" s="341"/>
      <c r="G545" s="341"/>
      <c r="H545" s="342"/>
    </row>
    <row r="546">
      <c r="A546" s="337"/>
      <c r="B546" s="337"/>
      <c r="C546" s="338"/>
      <c r="D546" s="338"/>
      <c r="E546" s="338"/>
      <c r="F546" s="341"/>
      <c r="G546" s="341"/>
      <c r="H546" s="342"/>
    </row>
    <row r="547">
      <c r="A547" s="337"/>
      <c r="B547" s="337"/>
      <c r="C547" s="338"/>
      <c r="D547" s="338"/>
      <c r="E547" s="338"/>
      <c r="F547" s="341"/>
      <c r="G547" s="341"/>
      <c r="H547" s="342"/>
    </row>
    <row r="548">
      <c r="A548" s="337"/>
      <c r="B548" s="337"/>
      <c r="C548" s="338"/>
      <c r="D548" s="338"/>
      <c r="E548" s="338"/>
      <c r="F548" s="341"/>
      <c r="G548" s="341"/>
      <c r="H548" s="342"/>
    </row>
    <row r="549">
      <c r="A549" s="337"/>
      <c r="B549" s="337"/>
      <c r="C549" s="338"/>
      <c r="D549" s="338"/>
      <c r="E549" s="338"/>
      <c r="F549" s="341"/>
      <c r="G549" s="341"/>
      <c r="H549" s="342"/>
    </row>
    <row r="550">
      <c r="A550" s="337"/>
      <c r="B550" s="337"/>
      <c r="C550" s="338"/>
      <c r="D550" s="338"/>
      <c r="E550" s="338"/>
      <c r="F550" s="341"/>
      <c r="G550" s="341"/>
      <c r="H550" s="342"/>
    </row>
    <row r="551">
      <c r="A551" s="337"/>
      <c r="B551" s="337"/>
      <c r="C551" s="338"/>
      <c r="D551" s="338"/>
      <c r="E551" s="338"/>
      <c r="F551" s="341"/>
      <c r="G551" s="341"/>
      <c r="H551" s="342"/>
    </row>
    <row r="552">
      <c r="A552" s="337"/>
      <c r="B552" s="337"/>
      <c r="C552" s="338"/>
      <c r="D552" s="338"/>
      <c r="E552" s="338"/>
      <c r="F552" s="341"/>
      <c r="G552" s="341"/>
      <c r="H552" s="342"/>
    </row>
    <row r="553">
      <c r="A553" s="337"/>
      <c r="B553" s="337"/>
      <c r="C553" s="338"/>
      <c r="D553" s="338"/>
      <c r="E553" s="338"/>
      <c r="F553" s="341"/>
      <c r="G553" s="341"/>
      <c r="H553" s="342"/>
    </row>
    <row r="554">
      <c r="A554" s="337"/>
      <c r="B554" s="337"/>
      <c r="C554" s="338"/>
      <c r="D554" s="338"/>
      <c r="E554" s="338"/>
      <c r="F554" s="341"/>
      <c r="G554" s="341"/>
      <c r="H554" s="342"/>
    </row>
    <row r="555">
      <c r="A555" s="337"/>
      <c r="B555" s="337"/>
      <c r="C555" s="338"/>
      <c r="D555" s="338"/>
      <c r="E555" s="338"/>
      <c r="F555" s="341"/>
      <c r="G555" s="341"/>
      <c r="H555" s="342"/>
    </row>
    <row r="556">
      <c r="A556" s="337"/>
      <c r="B556" s="337"/>
      <c r="C556" s="338"/>
      <c r="D556" s="338"/>
      <c r="E556" s="338"/>
      <c r="F556" s="341"/>
      <c r="G556" s="341"/>
      <c r="H556" s="342"/>
    </row>
    <row r="557">
      <c r="A557" s="337"/>
      <c r="B557" s="337"/>
      <c r="C557" s="338"/>
      <c r="D557" s="338"/>
      <c r="E557" s="338"/>
      <c r="F557" s="341"/>
      <c r="G557" s="341"/>
      <c r="H557" s="342"/>
    </row>
    <row r="558">
      <c r="A558" s="337"/>
      <c r="B558" s="337"/>
      <c r="C558" s="338"/>
      <c r="D558" s="338"/>
      <c r="E558" s="338"/>
      <c r="F558" s="341"/>
      <c r="G558" s="341"/>
      <c r="H558" s="342"/>
    </row>
    <row r="559">
      <c r="A559" s="337"/>
      <c r="B559" s="337"/>
      <c r="C559" s="338"/>
      <c r="D559" s="338"/>
      <c r="E559" s="338"/>
      <c r="F559" s="341"/>
      <c r="G559" s="341"/>
      <c r="H559" s="342"/>
    </row>
    <row r="560">
      <c r="A560" s="337"/>
      <c r="B560" s="337"/>
      <c r="C560" s="338"/>
      <c r="D560" s="338"/>
      <c r="E560" s="338"/>
      <c r="F560" s="341"/>
      <c r="G560" s="341"/>
      <c r="H560" s="342"/>
    </row>
    <row r="561">
      <c r="A561" s="337"/>
      <c r="B561" s="337"/>
      <c r="C561" s="338"/>
      <c r="D561" s="338"/>
      <c r="E561" s="338"/>
      <c r="F561" s="341"/>
      <c r="G561" s="341"/>
      <c r="H561" s="342"/>
    </row>
    <row r="562">
      <c r="A562" s="337"/>
      <c r="B562" s="337"/>
      <c r="C562" s="338"/>
      <c r="D562" s="338"/>
      <c r="E562" s="338"/>
      <c r="F562" s="341"/>
      <c r="G562" s="341"/>
      <c r="H562" s="342"/>
    </row>
    <row r="563">
      <c r="A563" s="337"/>
      <c r="B563" s="337"/>
      <c r="C563" s="338"/>
      <c r="D563" s="338"/>
      <c r="E563" s="338"/>
      <c r="F563" s="341"/>
      <c r="G563" s="341"/>
      <c r="H563" s="342"/>
    </row>
    <row r="564">
      <c r="A564" s="337"/>
      <c r="B564" s="337"/>
      <c r="C564" s="338"/>
      <c r="D564" s="338"/>
      <c r="E564" s="338"/>
      <c r="F564" s="341"/>
      <c r="G564" s="341"/>
      <c r="H564" s="342"/>
    </row>
    <row r="565">
      <c r="A565" s="337"/>
      <c r="B565" s="337"/>
      <c r="C565" s="338"/>
      <c r="D565" s="338"/>
      <c r="E565" s="338"/>
      <c r="F565" s="341"/>
      <c r="G565" s="341"/>
      <c r="H565" s="342"/>
    </row>
    <row r="566">
      <c r="A566" s="337"/>
      <c r="B566" s="337"/>
      <c r="C566" s="338"/>
      <c r="D566" s="338"/>
      <c r="E566" s="338"/>
      <c r="F566" s="341"/>
      <c r="G566" s="341"/>
      <c r="H566" s="342"/>
    </row>
    <row r="567">
      <c r="A567" s="337"/>
      <c r="B567" s="337"/>
      <c r="C567" s="338"/>
      <c r="D567" s="338"/>
      <c r="E567" s="338"/>
      <c r="F567" s="341"/>
      <c r="G567" s="341"/>
      <c r="H567" s="342"/>
    </row>
    <row r="568">
      <c r="A568" s="337"/>
      <c r="B568" s="337"/>
      <c r="C568" s="338"/>
      <c r="D568" s="338"/>
      <c r="E568" s="338"/>
      <c r="F568" s="341"/>
      <c r="G568" s="341"/>
      <c r="H568" s="342"/>
    </row>
    <row r="569">
      <c r="A569" s="337"/>
      <c r="B569" s="337"/>
      <c r="C569" s="338"/>
      <c r="D569" s="338"/>
      <c r="E569" s="338"/>
      <c r="F569" s="341"/>
      <c r="G569" s="341"/>
      <c r="H569" s="342"/>
    </row>
    <row r="570">
      <c r="A570" s="337"/>
      <c r="B570" s="337"/>
      <c r="C570" s="338"/>
      <c r="D570" s="338"/>
      <c r="E570" s="338"/>
      <c r="F570" s="341"/>
      <c r="G570" s="341"/>
      <c r="H570" s="342"/>
    </row>
    <row r="571">
      <c r="A571" s="337"/>
      <c r="B571" s="337"/>
      <c r="C571" s="338"/>
      <c r="D571" s="338"/>
      <c r="E571" s="338"/>
      <c r="F571" s="341"/>
      <c r="G571" s="341"/>
      <c r="H571" s="342"/>
    </row>
    <row r="572">
      <c r="A572" s="337"/>
      <c r="B572" s="337"/>
      <c r="C572" s="338"/>
      <c r="D572" s="338"/>
      <c r="E572" s="338"/>
      <c r="F572" s="341"/>
      <c r="G572" s="341"/>
      <c r="H572" s="342"/>
    </row>
    <row r="573">
      <c r="A573" s="337"/>
      <c r="B573" s="337"/>
      <c r="C573" s="338"/>
      <c r="D573" s="338"/>
      <c r="E573" s="338"/>
      <c r="F573" s="341"/>
      <c r="G573" s="341"/>
      <c r="H573" s="342"/>
    </row>
    <row r="574">
      <c r="A574" s="337"/>
      <c r="B574" s="337"/>
      <c r="C574" s="338"/>
      <c r="D574" s="338"/>
      <c r="E574" s="338"/>
      <c r="F574" s="341"/>
      <c r="G574" s="341"/>
      <c r="H574" s="342"/>
    </row>
    <row r="575">
      <c r="A575" s="337"/>
      <c r="B575" s="337"/>
      <c r="C575" s="338"/>
      <c r="D575" s="338"/>
      <c r="E575" s="338"/>
      <c r="F575" s="341"/>
      <c r="G575" s="341"/>
      <c r="H575" s="342"/>
    </row>
    <row r="576">
      <c r="A576" s="337"/>
      <c r="B576" s="337"/>
      <c r="C576" s="338"/>
      <c r="D576" s="338"/>
      <c r="E576" s="338"/>
      <c r="F576" s="341"/>
      <c r="G576" s="341"/>
      <c r="H576" s="342"/>
    </row>
    <row r="577">
      <c r="A577" s="337"/>
      <c r="B577" s="337"/>
      <c r="C577" s="338"/>
      <c r="D577" s="338"/>
      <c r="E577" s="338"/>
      <c r="F577" s="341"/>
      <c r="G577" s="341"/>
      <c r="H577" s="342"/>
    </row>
    <row r="578">
      <c r="A578" s="337"/>
      <c r="B578" s="337"/>
      <c r="C578" s="338"/>
      <c r="D578" s="338"/>
      <c r="E578" s="338"/>
      <c r="F578" s="341"/>
      <c r="G578" s="341"/>
      <c r="H578" s="342"/>
    </row>
    <row r="579">
      <c r="A579" s="337"/>
      <c r="B579" s="337"/>
      <c r="C579" s="338"/>
      <c r="D579" s="338"/>
      <c r="E579" s="338"/>
      <c r="F579" s="341"/>
      <c r="G579" s="341"/>
      <c r="H579" s="342"/>
    </row>
    <row r="580">
      <c r="A580" s="337"/>
      <c r="B580" s="337"/>
      <c r="C580" s="338"/>
      <c r="D580" s="338"/>
      <c r="E580" s="338"/>
      <c r="F580" s="341"/>
      <c r="G580" s="341"/>
      <c r="H580" s="342"/>
    </row>
    <row r="581">
      <c r="A581" s="337"/>
      <c r="B581" s="337"/>
      <c r="C581" s="338"/>
      <c r="D581" s="338"/>
      <c r="E581" s="338"/>
      <c r="F581" s="341"/>
      <c r="G581" s="341"/>
      <c r="H581" s="342"/>
    </row>
    <row r="582">
      <c r="A582" s="337"/>
      <c r="B582" s="337"/>
      <c r="C582" s="338"/>
      <c r="D582" s="338"/>
      <c r="E582" s="338"/>
      <c r="F582" s="341"/>
      <c r="G582" s="341"/>
      <c r="H582" s="342"/>
    </row>
    <row r="583">
      <c r="A583" s="337"/>
      <c r="B583" s="337"/>
      <c r="C583" s="338"/>
      <c r="D583" s="338"/>
      <c r="E583" s="338"/>
      <c r="F583" s="341"/>
      <c r="G583" s="341"/>
      <c r="H583" s="342"/>
    </row>
    <row r="584">
      <c r="A584" s="337"/>
      <c r="B584" s="337"/>
      <c r="C584" s="338"/>
      <c r="D584" s="338"/>
      <c r="E584" s="338"/>
      <c r="F584" s="341"/>
      <c r="G584" s="341"/>
      <c r="H584" s="342"/>
    </row>
    <row r="585">
      <c r="A585" s="337"/>
      <c r="B585" s="337"/>
      <c r="C585" s="338"/>
      <c r="D585" s="338"/>
      <c r="E585" s="338"/>
      <c r="F585" s="341"/>
      <c r="G585" s="341"/>
      <c r="H585" s="342"/>
    </row>
    <row r="586">
      <c r="A586" s="337"/>
      <c r="B586" s="337"/>
      <c r="C586" s="338"/>
      <c r="D586" s="338"/>
      <c r="E586" s="338"/>
      <c r="F586" s="341"/>
      <c r="G586" s="341"/>
      <c r="H586" s="342"/>
    </row>
    <row r="587">
      <c r="A587" s="337"/>
      <c r="B587" s="337"/>
      <c r="C587" s="338"/>
      <c r="D587" s="338"/>
      <c r="E587" s="338"/>
      <c r="F587" s="341"/>
      <c r="G587" s="341"/>
      <c r="H587" s="342"/>
    </row>
    <row r="588">
      <c r="A588" s="337"/>
      <c r="B588" s="337"/>
      <c r="C588" s="338"/>
      <c r="D588" s="338"/>
      <c r="E588" s="338"/>
      <c r="F588" s="341"/>
      <c r="G588" s="341"/>
      <c r="H588" s="342"/>
    </row>
    <row r="589">
      <c r="A589" s="337"/>
      <c r="B589" s="337"/>
      <c r="C589" s="338"/>
      <c r="D589" s="338"/>
      <c r="E589" s="338"/>
      <c r="F589" s="341"/>
      <c r="G589" s="341"/>
      <c r="H589" s="342"/>
    </row>
    <row r="590">
      <c r="A590" s="337"/>
      <c r="B590" s="337"/>
      <c r="C590" s="338"/>
      <c r="D590" s="338"/>
      <c r="E590" s="338"/>
      <c r="F590" s="341"/>
      <c r="G590" s="341"/>
      <c r="H590" s="342"/>
    </row>
    <row r="591">
      <c r="A591" s="337"/>
      <c r="B591" s="337"/>
      <c r="C591" s="338"/>
      <c r="D591" s="338"/>
      <c r="E591" s="338"/>
      <c r="F591" s="341"/>
      <c r="G591" s="341"/>
      <c r="H591" s="342"/>
    </row>
    <row r="592">
      <c r="A592" s="337"/>
      <c r="B592" s="337"/>
      <c r="C592" s="338"/>
      <c r="D592" s="338"/>
      <c r="E592" s="338"/>
      <c r="F592" s="341"/>
      <c r="G592" s="341"/>
      <c r="H592" s="342"/>
    </row>
    <row r="593">
      <c r="A593" s="337"/>
      <c r="B593" s="337"/>
      <c r="C593" s="338"/>
      <c r="D593" s="338"/>
      <c r="E593" s="338"/>
      <c r="F593" s="341"/>
      <c r="G593" s="341"/>
      <c r="H593" s="342"/>
    </row>
    <row r="594">
      <c r="A594" s="337"/>
      <c r="B594" s="337"/>
      <c r="C594" s="338"/>
      <c r="D594" s="338"/>
      <c r="E594" s="338"/>
      <c r="F594" s="341"/>
      <c r="G594" s="341"/>
      <c r="H594" s="342"/>
    </row>
    <row r="595">
      <c r="A595" s="337"/>
      <c r="B595" s="337"/>
      <c r="C595" s="338"/>
      <c r="D595" s="338"/>
      <c r="E595" s="338"/>
      <c r="F595" s="341"/>
      <c r="G595" s="341"/>
      <c r="H595" s="342"/>
    </row>
    <row r="596">
      <c r="A596" s="337"/>
      <c r="B596" s="337"/>
      <c r="C596" s="338"/>
      <c r="D596" s="338"/>
      <c r="E596" s="338"/>
      <c r="F596" s="341"/>
      <c r="G596" s="341"/>
      <c r="H596" s="342"/>
    </row>
    <row r="597">
      <c r="A597" s="337"/>
      <c r="B597" s="337"/>
      <c r="C597" s="338"/>
      <c r="D597" s="338"/>
      <c r="E597" s="338"/>
      <c r="F597" s="341"/>
      <c r="G597" s="341"/>
      <c r="H597" s="342"/>
    </row>
    <row r="598">
      <c r="A598" s="337"/>
      <c r="B598" s="337"/>
      <c r="C598" s="338"/>
      <c r="D598" s="338"/>
      <c r="E598" s="338"/>
      <c r="F598" s="341"/>
      <c r="G598" s="341"/>
      <c r="H598" s="342"/>
    </row>
    <row r="599">
      <c r="A599" s="337"/>
      <c r="B599" s="337"/>
      <c r="C599" s="338"/>
      <c r="D599" s="338"/>
      <c r="E599" s="338"/>
      <c r="F599" s="341"/>
      <c r="G599" s="341"/>
      <c r="H599" s="342"/>
    </row>
    <row r="600">
      <c r="A600" s="337"/>
      <c r="B600" s="337"/>
      <c r="C600" s="338"/>
      <c r="D600" s="338"/>
      <c r="E600" s="338"/>
      <c r="F600" s="341"/>
      <c r="G600" s="341"/>
      <c r="H600" s="342"/>
    </row>
    <row r="601">
      <c r="A601" s="337"/>
      <c r="B601" s="337"/>
      <c r="C601" s="338"/>
      <c r="D601" s="338"/>
      <c r="E601" s="338"/>
      <c r="F601" s="341"/>
      <c r="G601" s="341"/>
      <c r="H601" s="342"/>
    </row>
    <row r="602">
      <c r="A602" s="337"/>
      <c r="B602" s="337"/>
      <c r="C602" s="338"/>
      <c r="D602" s="338"/>
      <c r="E602" s="338"/>
      <c r="F602" s="341"/>
      <c r="G602" s="341"/>
      <c r="H602" s="342"/>
    </row>
    <row r="603">
      <c r="A603" s="337"/>
      <c r="B603" s="337"/>
      <c r="C603" s="338"/>
      <c r="D603" s="338"/>
      <c r="E603" s="338"/>
      <c r="F603" s="341"/>
      <c r="G603" s="341"/>
      <c r="H603" s="342"/>
    </row>
    <row r="604">
      <c r="A604" s="337"/>
      <c r="B604" s="337"/>
      <c r="C604" s="338"/>
      <c r="D604" s="338"/>
      <c r="E604" s="338"/>
      <c r="F604" s="341"/>
      <c r="G604" s="341"/>
      <c r="H604" s="342"/>
    </row>
    <row r="605">
      <c r="A605" s="337"/>
      <c r="B605" s="337"/>
      <c r="C605" s="338"/>
      <c r="D605" s="338"/>
      <c r="E605" s="338"/>
      <c r="F605" s="341"/>
      <c r="G605" s="341"/>
      <c r="H605" s="342"/>
    </row>
    <row r="606">
      <c r="A606" s="337"/>
      <c r="B606" s="337"/>
      <c r="C606" s="338"/>
      <c r="D606" s="338"/>
      <c r="E606" s="338"/>
      <c r="F606" s="341"/>
      <c r="G606" s="341"/>
      <c r="H606" s="342"/>
    </row>
    <row r="607">
      <c r="A607" s="337"/>
      <c r="B607" s="337"/>
      <c r="C607" s="338"/>
      <c r="D607" s="338"/>
      <c r="E607" s="338"/>
      <c r="F607" s="341"/>
      <c r="G607" s="341"/>
      <c r="H607" s="342"/>
    </row>
    <row r="608">
      <c r="A608" s="337"/>
      <c r="B608" s="337"/>
      <c r="C608" s="338"/>
      <c r="D608" s="338"/>
      <c r="E608" s="338"/>
      <c r="F608" s="341"/>
      <c r="G608" s="341"/>
      <c r="H608" s="342"/>
    </row>
    <row r="609">
      <c r="A609" s="337"/>
      <c r="B609" s="337"/>
      <c r="C609" s="338"/>
      <c r="D609" s="338"/>
      <c r="E609" s="338"/>
      <c r="F609" s="341"/>
      <c r="G609" s="341"/>
      <c r="H609" s="342"/>
    </row>
    <row r="610">
      <c r="A610" s="337"/>
      <c r="B610" s="337"/>
      <c r="C610" s="338"/>
      <c r="D610" s="338"/>
      <c r="E610" s="338"/>
      <c r="F610" s="341"/>
      <c r="G610" s="341"/>
      <c r="H610" s="342"/>
    </row>
    <row r="611">
      <c r="A611" s="337"/>
      <c r="B611" s="337"/>
      <c r="C611" s="338"/>
      <c r="D611" s="338"/>
      <c r="E611" s="338"/>
      <c r="F611" s="341"/>
      <c r="G611" s="341"/>
      <c r="H611" s="342"/>
    </row>
    <row r="612">
      <c r="A612" s="337"/>
      <c r="B612" s="337"/>
      <c r="C612" s="338"/>
      <c r="D612" s="338"/>
      <c r="E612" s="338"/>
      <c r="F612" s="341"/>
      <c r="G612" s="341"/>
      <c r="H612" s="342"/>
    </row>
    <row r="613">
      <c r="A613" s="337"/>
      <c r="B613" s="337"/>
      <c r="C613" s="338"/>
      <c r="D613" s="338"/>
      <c r="E613" s="338"/>
      <c r="F613" s="341"/>
      <c r="G613" s="341"/>
      <c r="H613" s="342"/>
    </row>
    <row r="614">
      <c r="A614" s="337"/>
      <c r="B614" s="337"/>
      <c r="C614" s="338"/>
      <c r="D614" s="338"/>
      <c r="E614" s="338"/>
      <c r="F614" s="341"/>
      <c r="G614" s="341"/>
      <c r="H614" s="342"/>
    </row>
    <row r="615">
      <c r="A615" s="337"/>
      <c r="B615" s="337"/>
      <c r="C615" s="338"/>
      <c r="D615" s="338"/>
      <c r="E615" s="338"/>
      <c r="F615" s="341"/>
      <c r="G615" s="341"/>
      <c r="H615" s="342"/>
    </row>
    <row r="616">
      <c r="A616" s="337"/>
      <c r="B616" s="337"/>
      <c r="C616" s="338"/>
      <c r="D616" s="338"/>
      <c r="E616" s="338"/>
      <c r="F616" s="341"/>
      <c r="G616" s="341"/>
      <c r="H616" s="342"/>
    </row>
    <row r="617">
      <c r="A617" s="337"/>
      <c r="B617" s="337"/>
      <c r="C617" s="338"/>
      <c r="D617" s="338"/>
      <c r="E617" s="338"/>
      <c r="F617" s="341"/>
      <c r="G617" s="341"/>
      <c r="H617" s="342"/>
    </row>
    <row r="618">
      <c r="A618" s="337"/>
      <c r="B618" s="337"/>
      <c r="C618" s="338"/>
      <c r="D618" s="338"/>
      <c r="E618" s="338"/>
      <c r="F618" s="341"/>
      <c r="G618" s="341"/>
      <c r="H618" s="342"/>
    </row>
    <row r="619">
      <c r="A619" s="337"/>
      <c r="B619" s="337"/>
      <c r="C619" s="338"/>
      <c r="D619" s="338"/>
      <c r="E619" s="338"/>
      <c r="F619" s="341"/>
      <c r="G619" s="341"/>
      <c r="H619" s="342"/>
    </row>
    <row r="620">
      <c r="A620" s="337"/>
      <c r="B620" s="337"/>
      <c r="C620" s="338"/>
      <c r="D620" s="338"/>
      <c r="E620" s="338"/>
      <c r="F620" s="341"/>
      <c r="G620" s="341"/>
      <c r="H620" s="342"/>
    </row>
    <row r="621">
      <c r="A621" s="337"/>
      <c r="B621" s="337"/>
      <c r="C621" s="338"/>
      <c r="D621" s="338"/>
      <c r="E621" s="338"/>
      <c r="F621" s="341"/>
      <c r="G621" s="341"/>
      <c r="H621" s="342"/>
    </row>
    <row r="622">
      <c r="A622" s="337"/>
      <c r="B622" s="337"/>
      <c r="C622" s="338"/>
      <c r="D622" s="338"/>
      <c r="E622" s="338"/>
      <c r="F622" s="341"/>
      <c r="G622" s="341"/>
      <c r="H622" s="342"/>
    </row>
    <row r="623">
      <c r="A623" s="337"/>
      <c r="B623" s="337"/>
      <c r="C623" s="338"/>
      <c r="D623" s="338"/>
      <c r="E623" s="338"/>
      <c r="F623" s="341"/>
      <c r="G623" s="341"/>
      <c r="H623" s="342"/>
    </row>
    <row r="624">
      <c r="A624" s="337"/>
      <c r="B624" s="337"/>
      <c r="C624" s="338"/>
      <c r="D624" s="338"/>
      <c r="E624" s="338"/>
      <c r="F624" s="341"/>
      <c r="G624" s="341"/>
      <c r="H624" s="342"/>
    </row>
    <row r="625">
      <c r="A625" s="337"/>
      <c r="B625" s="337"/>
      <c r="C625" s="338"/>
      <c r="D625" s="338"/>
      <c r="E625" s="338"/>
      <c r="F625" s="341"/>
      <c r="G625" s="341"/>
      <c r="H625" s="342"/>
    </row>
    <row r="626">
      <c r="A626" s="337"/>
      <c r="B626" s="337"/>
      <c r="C626" s="338"/>
      <c r="D626" s="338"/>
      <c r="E626" s="338"/>
      <c r="F626" s="341"/>
      <c r="G626" s="341"/>
      <c r="H626" s="342"/>
    </row>
    <row r="627">
      <c r="A627" s="337"/>
      <c r="B627" s="337"/>
      <c r="C627" s="338"/>
      <c r="D627" s="338"/>
      <c r="E627" s="338"/>
      <c r="F627" s="341"/>
      <c r="G627" s="341"/>
      <c r="H627" s="342"/>
    </row>
    <row r="628">
      <c r="A628" s="337"/>
      <c r="B628" s="337"/>
      <c r="C628" s="338"/>
      <c r="D628" s="338"/>
      <c r="E628" s="338"/>
      <c r="F628" s="341"/>
      <c r="G628" s="341"/>
      <c r="H628" s="342"/>
    </row>
    <row r="629">
      <c r="A629" s="337"/>
      <c r="B629" s="337"/>
      <c r="C629" s="338"/>
      <c r="D629" s="338"/>
      <c r="E629" s="338"/>
      <c r="F629" s="341"/>
      <c r="G629" s="341"/>
      <c r="H629" s="342"/>
    </row>
    <row r="630">
      <c r="A630" s="337"/>
      <c r="B630" s="337"/>
      <c r="C630" s="338"/>
      <c r="D630" s="338"/>
      <c r="E630" s="338"/>
      <c r="F630" s="341"/>
      <c r="G630" s="341"/>
      <c r="H630" s="342"/>
    </row>
    <row r="631">
      <c r="A631" s="337"/>
      <c r="B631" s="337"/>
      <c r="C631" s="338"/>
      <c r="D631" s="338"/>
      <c r="E631" s="338"/>
      <c r="F631" s="341"/>
      <c r="G631" s="341"/>
      <c r="H631" s="342"/>
    </row>
    <row r="632">
      <c r="A632" s="337"/>
      <c r="B632" s="337"/>
      <c r="C632" s="338"/>
      <c r="D632" s="338"/>
      <c r="E632" s="338"/>
      <c r="F632" s="341"/>
      <c r="G632" s="341"/>
      <c r="H632" s="342"/>
    </row>
    <row r="633">
      <c r="A633" s="337"/>
      <c r="B633" s="337"/>
      <c r="C633" s="338"/>
      <c r="D633" s="338"/>
      <c r="E633" s="338"/>
      <c r="F633" s="341"/>
      <c r="G633" s="341"/>
      <c r="H633" s="342"/>
    </row>
    <row r="634">
      <c r="A634" s="337"/>
      <c r="B634" s="337"/>
      <c r="C634" s="338"/>
      <c r="D634" s="338"/>
      <c r="E634" s="338"/>
      <c r="F634" s="341"/>
      <c r="G634" s="341"/>
      <c r="H634" s="342"/>
    </row>
    <row r="635">
      <c r="A635" s="337"/>
      <c r="B635" s="337"/>
      <c r="C635" s="338"/>
      <c r="D635" s="338"/>
      <c r="E635" s="338"/>
      <c r="F635" s="341"/>
      <c r="G635" s="341"/>
      <c r="H635" s="342"/>
    </row>
    <row r="636">
      <c r="A636" s="337"/>
      <c r="B636" s="337"/>
      <c r="C636" s="338"/>
      <c r="D636" s="338"/>
      <c r="E636" s="338"/>
      <c r="F636" s="341"/>
      <c r="G636" s="341"/>
      <c r="H636" s="342"/>
    </row>
    <row r="637">
      <c r="A637" s="337"/>
      <c r="B637" s="337"/>
      <c r="C637" s="338"/>
      <c r="D637" s="338"/>
      <c r="E637" s="338"/>
      <c r="F637" s="341"/>
      <c r="G637" s="341"/>
      <c r="H637" s="342"/>
    </row>
    <row r="638">
      <c r="A638" s="337"/>
      <c r="B638" s="337"/>
      <c r="C638" s="338"/>
      <c r="D638" s="338"/>
      <c r="E638" s="338"/>
      <c r="F638" s="341"/>
      <c r="G638" s="341"/>
      <c r="H638" s="342"/>
    </row>
    <row r="639">
      <c r="A639" s="337"/>
      <c r="B639" s="337"/>
      <c r="C639" s="338"/>
      <c r="D639" s="338"/>
      <c r="E639" s="338"/>
      <c r="F639" s="341"/>
      <c r="G639" s="341"/>
      <c r="H639" s="342"/>
    </row>
    <row r="640">
      <c r="A640" s="337"/>
      <c r="B640" s="337"/>
      <c r="C640" s="338"/>
      <c r="D640" s="338"/>
      <c r="E640" s="338"/>
      <c r="F640" s="341"/>
      <c r="G640" s="341"/>
      <c r="H640" s="342"/>
    </row>
    <row r="641">
      <c r="A641" s="337"/>
      <c r="B641" s="337"/>
      <c r="C641" s="338"/>
      <c r="D641" s="338"/>
      <c r="E641" s="338"/>
      <c r="F641" s="341"/>
      <c r="G641" s="341"/>
      <c r="H641" s="342"/>
    </row>
    <row r="642">
      <c r="A642" s="337"/>
      <c r="B642" s="337"/>
      <c r="C642" s="338"/>
      <c r="D642" s="338"/>
      <c r="E642" s="338"/>
      <c r="F642" s="341"/>
      <c r="G642" s="341"/>
      <c r="H642" s="342"/>
    </row>
    <row r="643">
      <c r="A643" s="337"/>
      <c r="B643" s="337"/>
      <c r="C643" s="338"/>
      <c r="D643" s="338"/>
      <c r="E643" s="338"/>
      <c r="F643" s="341"/>
      <c r="G643" s="341"/>
      <c r="H643" s="342"/>
    </row>
    <row r="644">
      <c r="A644" s="337"/>
      <c r="B644" s="337"/>
      <c r="C644" s="338"/>
      <c r="D644" s="338"/>
      <c r="E644" s="338"/>
      <c r="F644" s="341"/>
      <c r="G644" s="341"/>
      <c r="H644" s="342"/>
    </row>
    <row r="645">
      <c r="A645" s="337"/>
      <c r="B645" s="337"/>
      <c r="C645" s="338"/>
      <c r="D645" s="338"/>
      <c r="E645" s="338"/>
      <c r="F645" s="341"/>
      <c r="G645" s="341"/>
      <c r="H645" s="342"/>
    </row>
    <row r="646">
      <c r="A646" s="337"/>
      <c r="B646" s="337"/>
      <c r="C646" s="338"/>
      <c r="D646" s="338"/>
      <c r="E646" s="338"/>
      <c r="F646" s="341"/>
      <c r="G646" s="341"/>
      <c r="H646" s="342"/>
    </row>
    <row r="647">
      <c r="A647" s="337"/>
      <c r="B647" s="337"/>
      <c r="C647" s="338"/>
      <c r="D647" s="338"/>
      <c r="E647" s="338"/>
      <c r="F647" s="341"/>
      <c r="G647" s="341"/>
      <c r="H647" s="342"/>
    </row>
    <row r="648">
      <c r="A648" s="337"/>
      <c r="B648" s="337"/>
      <c r="C648" s="338"/>
      <c r="D648" s="338"/>
      <c r="E648" s="338"/>
      <c r="F648" s="341"/>
      <c r="G648" s="341"/>
      <c r="H648" s="342"/>
    </row>
    <row r="649">
      <c r="A649" s="337"/>
      <c r="B649" s="337"/>
      <c r="C649" s="338"/>
      <c r="D649" s="338"/>
      <c r="E649" s="338"/>
      <c r="F649" s="341"/>
      <c r="G649" s="341"/>
      <c r="H649" s="342"/>
    </row>
    <row r="650">
      <c r="A650" s="337"/>
      <c r="B650" s="337"/>
      <c r="C650" s="338"/>
      <c r="D650" s="338"/>
      <c r="E650" s="338"/>
      <c r="F650" s="341"/>
      <c r="G650" s="341"/>
      <c r="H650" s="342"/>
    </row>
    <row r="651">
      <c r="A651" s="337"/>
      <c r="B651" s="337"/>
      <c r="C651" s="338"/>
      <c r="D651" s="338"/>
      <c r="E651" s="338"/>
      <c r="F651" s="341"/>
      <c r="G651" s="341"/>
      <c r="H651" s="342"/>
    </row>
    <row r="652">
      <c r="A652" s="337"/>
      <c r="B652" s="337"/>
      <c r="C652" s="338"/>
      <c r="D652" s="338"/>
      <c r="E652" s="338"/>
      <c r="F652" s="341"/>
      <c r="G652" s="341"/>
      <c r="H652" s="342"/>
    </row>
    <row r="653">
      <c r="A653" s="337"/>
      <c r="B653" s="337"/>
      <c r="C653" s="338"/>
      <c r="D653" s="338"/>
      <c r="E653" s="338"/>
      <c r="F653" s="341"/>
      <c r="G653" s="341"/>
      <c r="H653" s="342"/>
    </row>
    <row r="654">
      <c r="A654" s="337"/>
      <c r="B654" s="337"/>
      <c r="C654" s="338"/>
      <c r="D654" s="338"/>
      <c r="E654" s="338"/>
      <c r="F654" s="341"/>
      <c r="G654" s="341"/>
      <c r="H654" s="342"/>
    </row>
    <row r="655">
      <c r="A655" s="337"/>
      <c r="B655" s="337"/>
      <c r="C655" s="338"/>
      <c r="D655" s="338"/>
      <c r="E655" s="338"/>
      <c r="F655" s="341"/>
      <c r="G655" s="341"/>
      <c r="H655" s="342"/>
    </row>
    <row r="656">
      <c r="A656" s="337"/>
      <c r="B656" s="337"/>
      <c r="C656" s="338"/>
      <c r="D656" s="338"/>
      <c r="E656" s="338"/>
      <c r="F656" s="341"/>
      <c r="G656" s="341"/>
      <c r="H656" s="342"/>
    </row>
    <row r="657">
      <c r="A657" s="337"/>
      <c r="B657" s="337"/>
      <c r="C657" s="338"/>
      <c r="D657" s="338"/>
      <c r="E657" s="338"/>
      <c r="F657" s="341"/>
      <c r="G657" s="341"/>
      <c r="H657" s="342"/>
    </row>
    <row r="658">
      <c r="A658" s="337"/>
      <c r="B658" s="337"/>
      <c r="C658" s="338"/>
      <c r="D658" s="338"/>
      <c r="E658" s="338"/>
      <c r="F658" s="341"/>
      <c r="G658" s="341"/>
      <c r="H658" s="342"/>
    </row>
    <row r="659">
      <c r="A659" s="337"/>
      <c r="B659" s="337"/>
      <c r="C659" s="338"/>
      <c r="D659" s="338"/>
      <c r="E659" s="338"/>
      <c r="F659" s="341"/>
      <c r="G659" s="341"/>
      <c r="H659" s="342"/>
    </row>
    <row r="660">
      <c r="A660" s="337"/>
      <c r="B660" s="337"/>
      <c r="C660" s="338"/>
      <c r="D660" s="338"/>
      <c r="E660" s="338"/>
      <c r="F660" s="341"/>
      <c r="G660" s="341"/>
      <c r="H660" s="342"/>
    </row>
    <row r="661">
      <c r="A661" s="337"/>
      <c r="B661" s="337"/>
      <c r="C661" s="338"/>
      <c r="D661" s="338"/>
      <c r="E661" s="338"/>
      <c r="F661" s="341"/>
      <c r="G661" s="341"/>
      <c r="H661" s="342"/>
    </row>
    <row r="662">
      <c r="A662" s="337"/>
      <c r="B662" s="337"/>
      <c r="C662" s="338"/>
      <c r="D662" s="338"/>
      <c r="E662" s="338"/>
      <c r="F662" s="341"/>
      <c r="G662" s="341"/>
      <c r="H662" s="342"/>
    </row>
    <row r="663">
      <c r="A663" s="337"/>
      <c r="B663" s="337"/>
      <c r="C663" s="338"/>
      <c r="D663" s="338"/>
      <c r="E663" s="338"/>
      <c r="F663" s="341"/>
      <c r="G663" s="341"/>
      <c r="H663" s="342"/>
    </row>
    <row r="664">
      <c r="A664" s="337"/>
      <c r="B664" s="337"/>
      <c r="C664" s="338"/>
      <c r="D664" s="338"/>
      <c r="E664" s="338"/>
      <c r="F664" s="341"/>
      <c r="G664" s="341"/>
      <c r="H664" s="342"/>
    </row>
    <row r="665">
      <c r="A665" s="337"/>
      <c r="B665" s="337"/>
      <c r="C665" s="338"/>
      <c r="D665" s="338"/>
      <c r="E665" s="338"/>
      <c r="F665" s="341"/>
      <c r="G665" s="341"/>
      <c r="H665" s="342"/>
    </row>
    <row r="666">
      <c r="A666" s="337"/>
      <c r="B666" s="337"/>
      <c r="C666" s="338"/>
      <c r="D666" s="338"/>
      <c r="E666" s="338"/>
      <c r="F666" s="341"/>
      <c r="G666" s="341"/>
      <c r="H666" s="342"/>
    </row>
    <row r="667">
      <c r="A667" s="337"/>
      <c r="B667" s="337"/>
      <c r="C667" s="338"/>
      <c r="D667" s="338"/>
      <c r="E667" s="338"/>
      <c r="F667" s="341"/>
      <c r="G667" s="341"/>
      <c r="H667" s="342"/>
    </row>
    <row r="668">
      <c r="A668" s="337"/>
      <c r="B668" s="337"/>
      <c r="C668" s="338"/>
      <c r="D668" s="338"/>
      <c r="E668" s="338"/>
      <c r="F668" s="341"/>
      <c r="G668" s="341"/>
      <c r="H668" s="342"/>
    </row>
    <row r="669">
      <c r="A669" s="337"/>
      <c r="B669" s="337"/>
      <c r="C669" s="338"/>
      <c r="D669" s="338"/>
      <c r="E669" s="338"/>
      <c r="F669" s="341"/>
      <c r="G669" s="341"/>
      <c r="H669" s="342"/>
    </row>
    <row r="670">
      <c r="A670" s="337"/>
      <c r="B670" s="337"/>
      <c r="C670" s="338"/>
      <c r="D670" s="338"/>
      <c r="E670" s="338"/>
      <c r="F670" s="341"/>
      <c r="G670" s="341"/>
      <c r="H670" s="342"/>
    </row>
    <row r="671">
      <c r="A671" s="337"/>
      <c r="B671" s="337"/>
      <c r="C671" s="338"/>
      <c r="D671" s="338"/>
      <c r="E671" s="338"/>
      <c r="F671" s="341"/>
      <c r="G671" s="341"/>
      <c r="H671" s="342"/>
    </row>
    <row r="672">
      <c r="A672" s="337"/>
      <c r="B672" s="337"/>
      <c r="C672" s="338"/>
      <c r="D672" s="338"/>
      <c r="E672" s="338"/>
      <c r="F672" s="341"/>
      <c r="G672" s="341"/>
      <c r="H672" s="342"/>
    </row>
    <row r="673">
      <c r="A673" s="337"/>
      <c r="B673" s="337"/>
      <c r="C673" s="338"/>
      <c r="D673" s="338"/>
      <c r="E673" s="338"/>
      <c r="F673" s="341"/>
      <c r="G673" s="341"/>
      <c r="H673" s="342"/>
    </row>
    <row r="674">
      <c r="A674" s="337"/>
      <c r="B674" s="337"/>
      <c r="C674" s="338"/>
      <c r="D674" s="338"/>
      <c r="E674" s="338"/>
      <c r="F674" s="341"/>
      <c r="G674" s="341"/>
      <c r="H674" s="342"/>
    </row>
    <row r="675">
      <c r="A675" s="337"/>
      <c r="B675" s="337"/>
      <c r="C675" s="338"/>
      <c r="D675" s="338"/>
      <c r="E675" s="338"/>
      <c r="F675" s="341"/>
      <c r="G675" s="341"/>
      <c r="H675" s="342"/>
    </row>
    <row r="676">
      <c r="A676" s="337"/>
      <c r="B676" s="337"/>
      <c r="C676" s="338"/>
      <c r="D676" s="338"/>
      <c r="E676" s="338"/>
      <c r="F676" s="341"/>
      <c r="G676" s="341"/>
      <c r="H676" s="342"/>
    </row>
    <row r="677">
      <c r="A677" s="337"/>
      <c r="B677" s="337"/>
      <c r="C677" s="338"/>
      <c r="D677" s="338"/>
      <c r="E677" s="338"/>
      <c r="F677" s="341"/>
      <c r="G677" s="341"/>
      <c r="H677" s="342"/>
    </row>
    <row r="678">
      <c r="A678" s="337"/>
      <c r="B678" s="337"/>
      <c r="C678" s="338"/>
      <c r="D678" s="338"/>
      <c r="E678" s="338"/>
      <c r="F678" s="341"/>
      <c r="G678" s="341"/>
      <c r="H678" s="342"/>
    </row>
    <row r="679">
      <c r="A679" s="337"/>
      <c r="B679" s="337"/>
      <c r="C679" s="338"/>
      <c r="D679" s="338"/>
      <c r="E679" s="338"/>
      <c r="F679" s="341"/>
      <c r="G679" s="341"/>
      <c r="H679" s="342"/>
    </row>
    <row r="680">
      <c r="A680" s="337"/>
      <c r="B680" s="337"/>
      <c r="C680" s="338"/>
      <c r="D680" s="338"/>
      <c r="E680" s="338"/>
      <c r="F680" s="341"/>
      <c r="G680" s="341"/>
      <c r="H680" s="342"/>
    </row>
    <row r="681">
      <c r="A681" s="337"/>
      <c r="B681" s="337"/>
      <c r="C681" s="338"/>
      <c r="D681" s="338"/>
      <c r="E681" s="338"/>
      <c r="F681" s="341"/>
      <c r="G681" s="341"/>
      <c r="H681" s="342"/>
    </row>
    <row r="682">
      <c r="A682" s="337"/>
      <c r="B682" s="337"/>
      <c r="C682" s="338"/>
      <c r="D682" s="338"/>
      <c r="E682" s="338"/>
      <c r="F682" s="341"/>
      <c r="G682" s="341"/>
      <c r="H682" s="342"/>
    </row>
    <row r="683">
      <c r="A683" s="337"/>
      <c r="B683" s="337"/>
      <c r="C683" s="338"/>
      <c r="D683" s="338"/>
      <c r="E683" s="338"/>
      <c r="F683" s="341"/>
      <c r="G683" s="341"/>
      <c r="H683" s="342"/>
    </row>
    <row r="684">
      <c r="A684" s="337"/>
      <c r="B684" s="337"/>
      <c r="C684" s="338"/>
      <c r="D684" s="338"/>
      <c r="E684" s="338"/>
      <c r="F684" s="341"/>
      <c r="G684" s="341"/>
      <c r="H684" s="342"/>
    </row>
    <row r="685">
      <c r="A685" s="337"/>
      <c r="B685" s="337"/>
      <c r="C685" s="338"/>
      <c r="D685" s="338"/>
      <c r="E685" s="338"/>
      <c r="F685" s="341"/>
      <c r="G685" s="341"/>
      <c r="H685" s="342"/>
    </row>
    <row r="686">
      <c r="A686" s="337"/>
      <c r="B686" s="337"/>
      <c r="C686" s="338"/>
      <c r="D686" s="338"/>
      <c r="E686" s="338"/>
      <c r="F686" s="341"/>
      <c r="G686" s="341"/>
      <c r="H686" s="342"/>
    </row>
    <row r="687">
      <c r="A687" s="337"/>
      <c r="B687" s="337"/>
      <c r="C687" s="338"/>
      <c r="D687" s="338"/>
      <c r="E687" s="338"/>
      <c r="F687" s="341"/>
      <c r="G687" s="341"/>
      <c r="H687" s="342"/>
    </row>
    <row r="688">
      <c r="A688" s="337"/>
      <c r="B688" s="337"/>
      <c r="C688" s="338"/>
      <c r="D688" s="338"/>
      <c r="E688" s="338"/>
      <c r="F688" s="341"/>
      <c r="G688" s="341"/>
      <c r="H688" s="342"/>
    </row>
    <row r="689">
      <c r="A689" s="337"/>
      <c r="B689" s="337"/>
      <c r="C689" s="338"/>
      <c r="D689" s="338"/>
      <c r="E689" s="338"/>
      <c r="F689" s="341"/>
      <c r="G689" s="341"/>
      <c r="H689" s="342"/>
    </row>
    <row r="690">
      <c r="A690" s="337"/>
      <c r="B690" s="337"/>
      <c r="C690" s="338"/>
      <c r="D690" s="338"/>
      <c r="E690" s="338"/>
      <c r="F690" s="341"/>
      <c r="G690" s="341"/>
      <c r="H690" s="342"/>
    </row>
    <row r="691">
      <c r="A691" s="337"/>
      <c r="B691" s="337"/>
      <c r="C691" s="338"/>
      <c r="D691" s="338"/>
      <c r="E691" s="338"/>
      <c r="F691" s="341"/>
      <c r="G691" s="341"/>
      <c r="H691" s="342"/>
    </row>
    <row r="692">
      <c r="A692" s="337"/>
      <c r="B692" s="337"/>
      <c r="C692" s="338"/>
      <c r="D692" s="338"/>
      <c r="E692" s="338"/>
      <c r="F692" s="341"/>
      <c r="G692" s="341"/>
      <c r="H692" s="342"/>
    </row>
    <row r="693">
      <c r="A693" s="337"/>
      <c r="B693" s="337"/>
      <c r="C693" s="338"/>
      <c r="D693" s="338"/>
      <c r="E693" s="338"/>
      <c r="F693" s="341"/>
      <c r="G693" s="341"/>
      <c r="H693" s="342"/>
    </row>
    <row r="694">
      <c r="A694" s="337"/>
      <c r="B694" s="337"/>
      <c r="C694" s="338"/>
      <c r="D694" s="338"/>
      <c r="E694" s="338"/>
      <c r="F694" s="341"/>
      <c r="G694" s="341"/>
      <c r="H694" s="342"/>
    </row>
    <row r="695">
      <c r="A695" s="337"/>
      <c r="B695" s="337"/>
      <c r="C695" s="338"/>
      <c r="D695" s="338"/>
      <c r="E695" s="338"/>
      <c r="F695" s="341"/>
      <c r="G695" s="341"/>
      <c r="H695" s="342"/>
    </row>
    <row r="696">
      <c r="A696" s="337"/>
      <c r="B696" s="337"/>
      <c r="C696" s="338"/>
      <c r="D696" s="338"/>
      <c r="E696" s="338"/>
      <c r="F696" s="341"/>
      <c r="G696" s="341"/>
      <c r="H696" s="342"/>
    </row>
    <row r="697">
      <c r="A697" s="337"/>
      <c r="B697" s="337"/>
      <c r="C697" s="338"/>
      <c r="D697" s="338"/>
      <c r="E697" s="338"/>
      <c r="F697" s="341"/>
      <c r="G697" s="341"/>
      <c r="H697" s="342"/>
    </row>
    <row r="698">
      <c r="A698" s="337"/>
      <c r="B698" s="337"/>
      <c r="C698" s="338"/>
      <c r="D698" s="338"/>
      <c r="E698" s="338"/>
      <c r="F698" s="341"/>
      <c r="G698" s="341"/>
      <c r="H698" s="342"/>
    </row>
    <row r="699">
      <c r="A699" s="337"/>
      <c r="B699" s="337"/>
      <c r="C699" s="338"/>
      <c r="D699" s="338"/>
      <c r="E699" s="338"/>
      <c r="F699" s="341"/>
      <c r="G699" s="341"/>
      <c r="H699" s="342"/>
    </row>
    <row r="700">
      <c r="A700" s="337"/>
      <c r="B700" s="337"/>
      <c r="C700" s="338"/>
      <c r="D700" s="338"/>
      <c r="E700" s="338"/>
      <c r="F700" s="341"/>
      <c r="G700" s="341"/>
      <c r="H700" s="342"/>
    </row>
    <row r="701">
      <c r="A701" s="337"/>
      <c r="B701" s="337"/>
      <c r="C701" s="338"/>
      <c r="D701" s="338"/>
      <c r="E701" s="338"/>
      <c r="F701" s="341"/>
      <c r="G701" s="341"/>
      <c r="H701" s="342"/>
    </row>
    <row r="702">
      <c r="A702" s="337"/>
      <c r="B702" s="337"/>
      <c r="C702" s="338"/>
      <c r="D702" s="338"/>
      <c r="E702" s="338"/>
      <c r="F702" s="341"/>
      <c r="G702" s="341"/>
      <c r="H702" s="342"/>
    </row>
    <row r="703">
      <c r="A703" s="337"/>
      <c r="B703" s="337"/>
      <c r="C703" s="338"/>
      <c r="D703" s="338"/>
      <c r="E703" s="338"/>
      <c r="F703" s="341"/>
      <c r="G703" s="341"/>
      <c r="H703" s="342"/>
    </row>
    <row r="704">
      <c r="A704" s="337"/>
      <c r="B704" s="337"/>
      <c r="C704" s="338"/>
      <c r="D704" s="338"/>
      <c r="E704" s="338"/>
      <c r="F704" s="341"/>
      <c r="G704" s="341"/>
      <c r="H704" s="342"/>
    </row>
    <row r="705">
      <c r="A705" s="337"/>
      <c r="B705" s="337"/>
      <c r="C705" s="338"/>
      <c r="D705" s="338"/>
      <c r="E705" s="338"/>
      <c r="F705" s="341"/>
      <c r="G705" s="341"/>
      <c r="H705" s="342"/>
    </row>
    <row r="706">
      <c r="A706" s="337"/>
      <c r="B706" s="337"/>
      <c r="C706" s="338"/>
      <c r="D706" s="338"/>
      <c r="E706" s="338"/>
      <c r="F706" s="341"/>
      <c r="G706" s="341"/>
      <c r="H706" s="342"/>
    </row>
    <row r="707">
      <c r="A707" s="337"/>
      <c r="B707" s="337"/>
      <c r="C707" s="338"/>
      <c r="D707" s="338"/>
      <c r="E707" s="338"/>
      <c r="F707" s="341"/>
      <c r="G707" s="341"/>
      <c r="H707" s="342"/>
    </row>
    <row r="708">
      <c r="A708" s="337"/>
      <c r="B708" s="337"/>
      <c r="C708" s="338"/>
      <c r="D708" s="338"/>
      <c r="E708" s="338"/>
      <c r="F708" s="341"/>
      <c r="G708" s="341"/>
      <c r="H708" s="342"/>
    </row>
    <row r="709">
      <c r="A709" s="337"/>
      <c r="B709" s="337"/>
      <c r="C709" s="338"/>
      <c r="D709" s="338"/>
      <c r="E709" s="338"/>
      <c r="F709" s="341"/>
      <c r="G709" s="341"/>
      <c r="H709" s="342"/>
    </row>
    <row r="710">
      <c r="A710" s="337"/>
      <c r="B710" s="337"/>
      <c r="C710" s="338"/>
      <c r="D710" s="338"/>
      <c r="E710" s="338"/>
      <c r="F710" s="341"/>
      <c r="G710" s="341"/>
      <c r="H710" s="342"/>
    </row>
    <row r="711">
      <c r="A711" s="337"/>
      <c r="B711" s="337"/>
      <c r="C711" s="338"/>
      <c r="D711" s="338"/>
      <c r="E711" s="338"/>
      <c r="F711" s="341"/>
      <c r="G711" s="341"/>
      <c r="H711" s="342"/>
    </row>
    <row r="712">
      <c r="A712" s="337"/>
      <c r="B712" s="337"/>
      <c r="C712" s="338"/>
      <c r="D712" s="338"/>
      <c r="E712" s="338"/>
      <c r="F712" s="341"/>
      <c r="G712" s="341"/>
      <c r="H712" s="342"/>
    </row>
    <row r="713">
      <c r="A713" s="337"/>
      <c r="B713" s="337"/>
      <c r="C713" s="338"/>
      <c r="D713" s="338"/>
      <c r="E713" s="338"/>
      <c r="F713" s="341"/>
      <c r="G713" s="341"/>
      <c r="H713" s="342"/>
    </row>
    <row r="714">
      <c r="A714" s="337"/>
      <c r="B714" s="337"/>
      <c r="C714" s="338"/>
      <c r="D714" s="338"/>
      <c r="E714" s="338"/>
      <c r="F714" s="341"/>
      <c r="G714" s="341"/>
      <c r="H714" s="342"/>
    </row>
    <row r="715">
      <c r="A715" s="337"/>
      <c r="B715" s="337"/>
      <c r="C715" s="338"/>
      <c r="D715" s="338"/>
      <c r="E715" s="338"/>
      <c r="F715" s="341"/>
      <c r="G715" s="341"/>
      <c r="H715" s="342"/>
    </row>
    <row r="716">
      <c r="A716" s="337"/>
      <c r="B716" s="337"/>
      <c r="C716" s="338"/>
      <c r="D716" s="338"/>
      <c r="E716" s="338"/>
      <c r="F716" s="341"/>
      <c r="G716" s="341"/>
      <c r="H716" s="342"/>
    </row>
    <row r="717">
      <c r="A717" s="337"/>
      <c r="B717" s="337"/>
      <c r="C717" s="338"/>
      <c r="D717" s="338"/>
      <c r="E717" s="338"/>
      <c r="F717" s="341"/>
      <c r="G717" s="341"/>
      <c r="H717" s="342"/>
    </row>
    <row r="718">
      <c r="A718" s="337"/>
      <c r="B718" s="337"/>
      <c r="C718" s="338"/>
      <c r="D718" s="338"/>
      <c r="E718" s="338"/>
      <c r="F718" s="341"/>
      <c r="G718" s="341"/>
      <c r="H718" s="342"/>
    </row>
    <row r="719">
      <c r="A719" s="337"/>
      <c r="B719" s="337"/>
      <c r="C719" s="338"/>
      <c r="D719" s="338"/>
      <c r="E719" s="338"/>
      <c r="F719" s="341"/>
      <c r="G719" s="341"/>
      <c r="H719" s="342"/>
    </row>
    <row r="720">
      <c r="A720" s="337"/>
      <c r="B720" s="337"/>
      <c r="C720" s="338"/>
      <c r="D720" s="338"/>
      <c r="E720" s="338"/>
      <c r="F720" s="341"/>
      <c r="G720" s="341"/>
      <c r="H720" s="342"/>
    </row>
    <row r="721">
      <c r="A721" s="337"/>
      <c r="B721" s="337"/>
      <c r="C721" s="338"/>
      <c r="D721" s="338"/>
      <c r="E721" s="338"/>
      <c r="F721" s="341"/>
      <c r="G721" s="341"/>
      <c r="H721" s="342"/>
    </row>
    <row r="722">
      <c r="A722" s="337"/>
      <c r="B722" s="337"/>
      <c r="C722" s="338"/>
      <c r="D722" s="338"/>
      <c r="E722" s="338"/>
      <c r="F722" s="341"/>
      <c r="G722" s="341"/>
      <c r="H722" s="342"/>
    </row>
    <row r="723">
      <c r="A723" s="337"/>
      <c r="B723" s="337"/>
      <c r="C723" s="338"/>
      <c r="D723" s="338"/>
      <c r="E723" s="338"/>
      <c r="F723" s="341"/>
      <c r="G723" s="341"/>
      <c r="H723" s="342"/>
    </row>
    <row r="724">
      <c r="A724" s="337"/>
      <c r="B724" s="337"/>
      <c r="C724" s="338"/>
      <c r="D724" s="338"/>
      <c r="E724" s="338"/>
      <c r="F724" s="341"/>
      <c r="G724" s="341"/>
      <c r="H724" s="342"/>
    </row>
    <row r="725">
      <c r="A725" s="337"/>
      <c r="B725" s="337"/>
      <c r="C725" s="338"/>
      <c r="D725" s="338"/>
      <c r="E725" s="338"/>
      <c r="F725" s="341"/>
      <c r="G725" s="341"/>
      <c r="H725" s="342"/>
    </row>
    <row r="726">
      <c r="A726" s="337"/>
      <c r="B726" s="337"/>
      <c r="C726" s="338"/>
      <c r="D726" s="338"/>
      <c r="E726" s="338"/>
      <c r="F726" s="341"/>
      <c r="G726" s="341"/>
      <c r="H726" s="342"/>
    </row>
    <row r="727">
      <c r="A727" s="337"/>
      <c r="B727" s="337"/>
      <c r="C727" s="338"/>
      <c r="D727" s="338"/>
      <c r="E727" s="338"/>
      <c r="F727" s="341"/>
      <c r="G727" s="341"/>
      <c r="H727" s="342"/>
    </row>
    <row r="728">
      <c r="A728" s="337"/>
      <c r="B728" s="337"/>
      <c r="C728" s="338"/>
      <c r="D728" s="338"/>
      <c r="E728" s="338"/>
      <c r="F728" s="341"/>
      <c r="G728" s="341"/>
      <c r="H728" s="342"/>
    </row>
    <row r="729">
      <c r="A729" s="337"/>
      <c r="B729" s="337"/>
      <c r="C729" s="338"/>
      <c r="D729" s="338"/>
      <c r="E729" s="338"/>
      <c r="F729" s="341"/>
      <c r="G729" s="341"/>
      <c r="H729" s="342"/>
    </row>
    <row r="730">
      <c r="A730" s="337"/>
      <c r="B730" s="337"/>
      <c r="C730" s="338"/>
      <c r="D730" s="338"/>
      <c r="E730" s="338"/>
      <c r="F730" s="341"/>
      <c r="G730" s="341"/>
      <c r="H730" s="342"/>
    </row>
    <row r="731">
      <c r="A731" s="337"/>
      <c r="B731" s="337"/>
      <c r="C731" s="338"/>
      <c r="D731" s="338"/>
      <c r="E731" s="338"/>
      <c r="F731" s="341"/>
      <c r="G731" s="341"/>
      <c r="H731" s="342"/>
    </row>
    <row r="732">
      <c r="A732" s="337"/>
      <c r="B732" s="337"/>
      <c r="C732" s="338"/>
      <c r="D732" s="338"/>
      <c r="E732" s="338"/>
      <c r="F732" s="341"/>
      <c r="G732" s="341"/>
      <c r="H732" s="342"/>
    </row>
    <row r="733">
      <c r="A733" s="337"/>
      <c r="B733" s="337"/>
      <c r="C733" s="338"/>
      <c r="D733" s="338"/>
      <c r="E733" s="338"/>
      <c r="F733" s="341"/>
      <c r="G733" s="341"/>
      <c r="H733" s="342"/>
    </row>
    <row r="734">
      <c r="A734" s="337"/>
      <c r="B734" s="337"/>
      <c r="C734" s="338"/>
      <c r="D734" s="338"/>
      <c r="E734" s="338"/>
      <c r="F734" s="341"/>
      <c r="G734" s="341"/>
      <c r="H734" s="342"/>
    </row>
    <row r="735">
      <c r="A735" s="337"/>
      <c r="B735" s="337"/>
      <c r="C735" s="338"/>
      <c r="D735" s="338"/>
      <c r="E735" s="338"/>
      <c r="F735" s="341"/>
      <c r="G735" s="341"/>
      <c r="H735" s="342"/>
    </row>
    <row r="736">
      <c r="A736" s="337"/>
      <c r="B736" s="337"/>
      <c r="C736" s="338"/>
      <c r="D736" s="338"/>
      <c r="E736" s="338"/>
      <c r="F736" s="341"/>
      <c r="G736" s="341"/>
      <c r="H736" s="342"/>
    </row>
    <row r="737">
      <c r="A737" s="337"/>
      <c r="B737" s="337"/>
      <c r="C737" s="338"/>
      <c r="D737" s="338"/>
      <c r="E737" s="338"/>
      <c r="F737" s="341"/>
      <c r="G737" s="341"/>
      <c r="H737" s="342"/>
    </row>
    <row r="738">
      <c r="A738" s="337"/>
      <c r="B738" s="337"/>
      <c r="C738" s="338"/>
      <c r="D738" s="338"/>
      <c r="E738" s="338"/>
      <c r="F738" s="341"/>
      <c r="G738" s="341"/>
      <c r="H738" s="342"/>
    </row>
    <row r="739">
      <c r="A739" s="337"/>
      <c r="B739" s="337"/>
      <c r="C739" s="338"/>
      <c r="D739" s="338"/>
      <c r="E739" s="338"/>
      <c r="F739" s="341"/>
      <c r="G739" s="341"/>
      <c r="H739" s="342"/>
    </row>
    <row r="740">
      <c r="A740" s="337"/>
      <c r="B740" s="337"/>
      <c r="C740" s="338"/>
      <c r="D740" s="338"/>
      <c r="E740" s="338"/>
      <c r="F740" s="341"/>
      <c r="G740" s="341"/>
      <c r="H740" s="342"/>
    </row>
    <row r="741">
      <c r="A741" s="337"/>
      <c r="B741" s="337"/>
      <c r="C741" s="338"/>
      <c r="D741" s="338"/>
      <c r="E741" s="338"/>
      <c r="F741" s="341"/>
      <c r="G741" s="341"/>
      <c r="H741" s="342"/>
    </row>
    <row r="742">
      <c r="A742" s="337"/>
      <c r="B742" s="337"/>
      <c r="C742" s="338"/>
      <c r="D742" s="338"/>
      <c r="E742" s="338"/>
      <c r="F742" s="341"/>
      <c r="G742" s="341"/>
      <c r="H742" s="342"/>
    </row>
    <row r="743">
      <c r="A743" s="337"/>
      <c r="B743" s="337"/>
      <c r="C743" s="338"/>
      <c r="D743" s="338"/>
      <c r="E743" s="338"/>
      <c r="F743" s="341"/>
      <c r="G743" s="341"/>
      <c r="H743" s="342"/>
    </row>
    <row r="744">
      <c r="A744" s="337"/>
      <c r="B744" s="337"/>
      <c r="C744" s="338"/>
      <c r="D744" s="338"/>
      <c r="E744" s="338"/>
      <c r="F744" s="341"/>
      <c r="G744" s="341"/>
      <c r="H744" s="342"/>
    </row>
    <row r="745">
      <c r="A745" s="337"/>
      <c r="B745" s="337"/>
      <c r="C745" s="338"/>
      <c r="D745" s="338"/>
      <c r="E745" s="338"/>
      <c r="F745" s="341"/>
      <c r="G745" s="341"/>
      <c r="H745" s="342"/>
    </row>
    <row r="746">
      <c r="A746" s="337"/>
      <c r="B746" s="337"/>
      <c r="C746" s="338"/>
      <c r="D746" s="338"/>
      <c r="E746" s="338"/>
      <c r="F746" s="341"/>
      <c r="G746" s="341"/>
      <c r="H746" s="342"/>
    </row>
    <row r="747">
      <c r="A747" s="337"/>
      <c r="B747" s="337"/>
      <c r="C747" s="338"/>
      <c r="D747" s="338"/>
      <c r="E747" s="338"/>
      <c r="F747" s="341"/>
      <c r="G747" s="341"/>
      <c r="H747" s="342"/>
    </row>
    <row r="748">
      <c r="A748" s="337"/>
      <c r="B748" s="337"/>
      <c r="C748" s="338"/>
      <c r="D748" s="338"/>
      <c r="E748" s="338"/>
      <c r="F748" s="341"/>
      <c r="G748" s="341"/>
      <c r="H748" s="342"/>
    </row>
    <row r="749">
      <c r="A749" s="337"/>
      <c r="B749" s="337"/>
      <c r="C749" s="338"/>
      <c r="D749" s="338"/>
      <c r="E749" s="338"/>
      <c r="F749" s="341"/>
      <c r="G749" s="341"/>
      <c r="H749" s="342"/>
    </row>
    <row r="750">
      <c r="A750" s="337"/>
      <c r="B750" s="337"/>
      <c r="C750" s="338"/>
      <c r="D750" s="338"/>
      <c r="E750" s="338"/>
      <c r="F750" s="341"/>
      <c r="G750" s="341"/>
      <c r="H750" s="342"/>
    </row>
    <row r="751">
      <c r="A751" s="337"/>
      <c r="B751" s="337"/>
      <c r="C751" s="338"/>
      <c r="D751" s="338"/>
      <c r="E751" s="338"/>
      <c r="F751" s="341"/>
      <c r="G751" s="341"/>
      <c r="H751" s="342"/>
    </row>
    <row r="752">
      <c r="A752" s="337"/>
      <c r="B752" s="337"/>
      <c r="C752" s="338"/>
      <c r="D752" s="338"/>
      <c r="E752" s="338"/>
      <c r="F752" s="341"/>
      <c r="G752" s="341"/>
      <c r="H752" s="342"/>
    </row>
    <row r="753">
      <c r="A753" s="337"/>
      <c r="B753" s="337"/>
      <c r="C753" s="338"/>
      <c r="D753" s="338"/>
      <c r="E753" s="338"/>
      <c r="F753" s="341"/>
      <c r="G753" s="341"/>
      <c r="H753" s="342"/>
    </row>
    <row r="754">
      <c r="A754" s="337"/>
      <c r="B754" s="337"/>
      <c r="C754" s="338"/>
      <c r="D754" s="338"/>
      <c r="E754" s="338"/>
      <c r="F754" s="341"/>
      <c r="G754" s="341"/>
      <c r="H754" s="342"/>
    </row>
    <row r="755">
      <c r="A755" s="337"/>
      <c r="B755" s="337"/>
      <c r="C755" s="338"/>
      <c r="D755" s="338"/>
      <c r="E755" s="338"/>
      <c r="F755" s="341"/>
      <c r="G755" s="341"/>
      <c r="H755" s="342"/>
    </row>
    <row r="756">
      <c r="A756" s="337"/>
      <c r="B756" s="337"/>
      <c r="C756" s="338"/>
      <c r="D756" s="338"/>
      <c r="E756" s="338"/>
      <c r="F756" s="341"/>
      <c r="G756" s="341"/>
      <c r="H756" s="342"/>
    </row>
    <row r="757">
      <c r="A757" s="337"/>
      <c r="B757" s="337"/>
      <c r="C757" s="338"/>
      <c r="D757" s="338"/>
      <c r="E757" s="338"/>
      <c r="F757" s="341"/>
      <c r="G757" s="341"/>
      <c r="H757" s="342"/>
    </row>
    <row r="758">
      <c r="A758" s="337"/>
      <c r="B758" s="337"/>
      <c r="C758" s="338"/>
      <c r="D758" s="338"/>
      <c r="E758" s="338"/>
      <c r="F758" s="341"/>
      <c r="G758" s="341"/>
      <c r="H758" s="342"/>
    </row>
    <row r="759">
      <c r="A759" s="337"/>
      <c r="B759" s="337"/>
      <c r="C759" s="338"/>
      <c r="D759" s="338"/>
      <c r="E759" s="338"/>
      <c r="F759" s="341"/>
      <c r="G759" s="341"/>
      <c r="H759" s="342"/>
    </row>
    <row r="760">
      <c r="A760" s="337"/>
      <c r="B760" s="337"/>
      <c r="C760" s="338"/>
      <c r="D760" s="338"/>
      <c r="E760" s="338"/>
      <c r="F760" s="341"/>
      <c r="G760" s="341"/>
      <c r="H760" s="342"/>
    </row>
    <row r="761">
      <c r="A761" s="337"/>
      <c r="B761" s="337"/>
      <c r="C761" s="338"/>
      <c r="D761" s="338"/>
      <c r="E761" s="338"/>
      <c r="F761" s="341"/>
      <c r="G761" s="341"/>
      <c r="H761" s="342"/>
    </row>
    <row r="762">
      <c r="A762" s="337"/>
      <c r="B762" s="337"/>
      <c r="C762" s="338"/>
      <c r="D762" s="338"/>
      <c r="E762" s="338"/>
      <c r="F762" s="341"/>
      <c r="G762" s="341"/>
      <c r="H762" s="342"/>
    </row>
    <row r="763">
      <c r="A763" s="337"/>
      <c r="B763" s="337"/>
      <c r="C763" s="338"/>
      <c r="D763" s="338"/>
      <c r="E763" s="338"/>
      <c r="F763" s="341"/>
      <c r="G763" s="341"/>
      <c r="H763" s="342"/>
    </row>
    <row r="764">
      <c r="A764" s="337"/>
      <c r="B764" s="337"/>
      <c r="C764" s="338"/>
      <c r="D764" s="338"/>
      <c r="E764" s="338"/>
      <c r="F764" s="341"/>
      <c r="G764" s="341"/>
      <c r="H764" s="342"/>
    </row>
    <row r="765">
      <c r="A765" s="337"/>
      <c r="B765" s="337"/>
      <c r="C765" s="338"/>
      <c r="D765" s="338"/>
      <c r="E765" s="338"/>
      <c r="F765" s="341"/>
      <c r="G765" s="341"/>
      <c r="H765" s="342"/>
    </row>
    <row r="766">
      <c r="A766" s="337"/>
      <c r="B766" s="337"/>
      <c r="C766" s="338"/>
      <c r="D766" s="338"/>
      <c r="E766" s="338"/>
      <c r="F766" s="341"/>
      <c r="G766" s="341"/>
      <c r="H766" s="342"/>
    </row>
    <row r="767">
      <c r="A767" s="337"/>
      <c r="B767" s="337"/>
      <c r="C767" s="338"/>
      <c r="D767" s="338"/>
      <c r="E767" s="338"/>
      <c r="F767" s="341"/>
      <c r="G767" s="341"/>
      <c r="H767" s="342"/>
    </row>
    <row r="768">
      <c r="A768" s="337"/>
      <c r="B768" s="337"/>
      <c r="C768" s="338"/>
      <c r="D768" s="338"/>
      <c r="E768" s="338"/>
      <c r="F768" s="341"/>
      <c r="G768" s="341"/>
      <c r="H768" s="342"/>
    </row>
    <row r="769">
      <c r="A769" s="337"/>
      <c r="B769" s="337"/>
      <c r="C769" s="338"/>
      <c r="D769" s="338"/>
      <c r="E769" s="338"/>
      <c r="F769" s="341"/>
      <c r="G769" s="341"/>
      <c r="H769" s="342"/>
    </row>
    <row r="770">
      <c r="A770" s="337"/>
      <c r="B770" s="337"/>
      <c r="C770" s="338"/>
      <c r="D770" s="338"/>
      <c r="E770" s="338"/>
      <c r="F770" s="341"/>
      <c r="G770" s="341"/>
      <c r="H770" s="342"/>
    </row>
    <row r="771">
      <c r="A771" s="337"/>
      <c r="B771" s="337"/>
      <c r="C771" s="338"/>
      <c r="D771" s="338"/>
      <c r="E771" s="338"/>
      <c r="F771" s="341"/>
      <c r="G771" s="341"/>
      <c r="H771" s="342"/>
    </row>
    <row r="772">
      <c r="A772" s="337"/>
      <c r="B772" s="337"/>
      <c r="C772" s="338"/>
      <c r="D772" s="338"/>
      <c r="E772" s="338"/>
      <c r="F772" s="341"/>
      <c r="G772" s="341"/>
      <c r="H772" s="342"/>
    </row>
    <row r="773">
      <c r="A773" s="337"/>
      <c r="B773" s="337"/>
      <c r="C773" s="338"/>
      <c r="D773" s="338"/>
      <c r="E773" s="338"/>
      <c r="F773" s="341"/>
      <c r="G773" s="341"/>
      <c r="H773" s="342"/>
    </row>
    <row r="774">
      <c r="A774" s="337"/>
      <c r="B774" s="337"/>
      <c r="C774" s="338"/>
      <c r="D774" s="338"/>
      <c r="E774" s="338"/>
      <c r="F774" s="341"/>
      <c r="G774" s="341"/>
      <c r="H774" s="342"/>
    </row>
    <row r="775">
      <c r="A775" s="337"/>
      <c r="B775" s="337"/>
      <c r="C775" s="338"/>
      <c r="D775" s="338"/>
      <c r="E775" s="338"/>
      <c r="F775" s="341"/>
      <c r="G775" s="341"/>
      <c r="H775" s="342"/>
    </row>
    <row r="776">
      <c r="A776" s="337"/>
      <c r="B776" s="337"/>
      <c r="C776" s="338"/>
      <c r="D776" s="338"/>
      <c r="E776" s="338"/>
      <c r="F776" s="341"/>
      <c r="G776" s="341"/>
      <c r="H776" s="342"/>
    </row>
    <row r="777">
      <c r="A777" s="337"/>
      <c r="B777" s="337"/>
      <c r="C777" s="338"/>
      <c r="D777" s="338"/>
      <c r="E777" s="338"/>
      <c r="F777" s="341"/>
      <c r="G777" s="341"/>
      <c r="H777" s="342"/>
    </row>
    <row r="778">
      <c r="A778" s="337"/>
      <c r="B778" s="337"/>
      <c r="C778" s="338"/>
      <c r="D778" s="338"/>
      <c r="E778" s="338"/>
      <c r="F778" s="341"/>
      <c r="G778" s="341"/>
      <c r="H778" s="342"/>
    </row>
    <row r="779">
      <c r="A779" s="337"/>
      <c r="B779" s="337"/>
      <c r="C779" s="338"/>
      <c r="D779" s="338"/>
      <c r="E779" s="338"/>
      <c r="F779" s="341"/>
      <c r="G779" s="341"/>
      <c r="H779" s="342"/>
    </row>
    <row r="780">
      <c r="A780" s="337"/>
      <c r="B780" s="337"/>
      <c r="C780" s="338"/>
      <c r="D780" s="338"/>
      <c r="E780" s="338"/>
      <c r="F780" s="341"/>
      <c r="G780" s="341"/>
      <c r="H780" s="342"/>
    </row>
    <row r="781">
      <c r="A781" s="337"/>
      <c r="B781" s="337"/>
      <c r="C781" s="338"/>
      <c r="D781" s="338"/>
      <c r="E781" s="338"/>
      <c r="F781" s="341"/>
      <c r="G781" s="341"/>
      <c r="H781" s="342"/>
    </row>
    <row r="782">
      <c r="A782" s="337"/>
      <c r="B782" s="337"/>
      <c r="C782" s="338"/>
      <c r="D782" s="338"/>
      <c r="E782" s="338"/>
      <c r="F782" s="341"/>
      <c r="G782" s="341"/>
      <c r="H782" s="342"/>
    </row>
    <row r="783">
      <c r="A783" s="337"/>
      <c r="B783" s="337"/>
      <c r="C783" s="338"/>
      <c r="D783" s="338"/>
      <c r="E783" s="338"/>
      <c r="F783" s="341"/>
      <c r="G783" s="341"/>
      <c r="H783" s="342"/>
    </row>
    <row r="784">
      <c r="A784" s="337"/>
      <c r="B784" s="337"/>
      <c r="C784" s="338"/>
      <c r="D784" s="338"/>
      <c r="E784" s="338"/>
      <c r="F784" s="341"/>
      <c r="G784" s="341"/>
      <c r="H784" s="342"/>
    </row>
    <row r="785">
      <c r="A785" s="337"/>
      <c r="B785" s="337"/>
      <c r="C785" s="338"/>
      <c r="D785" s="338"/>
      <c r="E785" s="338"/>
      <c r="F785" s="341"/>
      <c r="G785" s="341"/>
      <c r="H785" s="342"/>
    </row>
    <row r="786">
      <c r="A786" s="337"/>
      <c r="B786" s="337"/>
      <c r="C786" s="338"/>
      <c r="D786" s="338"/>
      <c r="E786" s="338"/>
      <c r="F786" s="341"/>
      <c r="G786" s="341"/>
      <c r="H786" s="342"/>
    </row>
    <row r="787">
      <c r="A787" s="337"/>
      <c r="B787" s="337"/>
      <c r="C787" s="338"/>
      <c r="D787" s="338"/>
      <c r="E787" s="338"/>
      <c r="F787" s="341"/>
      <c r="G787" s="341"/>
      <c r="H787" s="342"/>
    </row>
    <row r="788">
      <c r="A788" s="337"/>
      <c r="B788" s="337"/>
      <c r="C788" s="338"/>
      <c r="D788" s="338"/>
      <c r="E788" s="338"/>
      <c r="F788" s="341"/>
      <c r="G788" s="341"/>
      <c r="H788" s="342"/>
    </row>
    <row r="789">
      <c r="A789" s="337"/>
      <c r="B789" s="337"/>
      <c r="C789" s="338"/>
      <c r="D789" s="338"/>
      <c r="E789" s="338"/>
      <c r="F789" s="341"/>
      <c r="G789" s="341"/>
      <c r="H789" s="342"/>
    </row>
    <row r="790">
      <c r="A790" s="337"/>
      <c r="B790" s="337"/>
      <c r="C790" s="338"/>
      <c r="D790" s="338"/>
      <c r="E790" s="338"/>
      <c r="F790" s="341"/>
      <c r="G790" s="341"/>
      <c r="H790" s="342"/>
    </row>
    <row r="791">
      <c r="A791" s="337"/>
      <c r="B791" s="337"/>
      <c r="C791" s="338"/>
      <c r="D791" s="338"/>
      <c r="E791" s="338"/>
      <c r="F791" s="341"/>
      <c r="G791" s="341"/>
      <c r="H791" s="342"/>
    </row>
    <row r="792">
      <c r="A792" s="337"/>
      <c r="B792" s="337"/>
      <c r="C792" s="338"/>
      <c r="D792" s="338"/>
      <c r="E792" s="338"/>
      <c r="F792" s="341"/>
      <c r="G792" s="341"/>
      <c r="H792" s="342"/>
    </row>
    <row r="793">
      <c r="A793" s="337"/>
      <c r="B793" s="337"/>
      <c r="C793" s="338"/>
      <c r="D793" s="338"/>
      <c r="E793" s="338"/>
      <c r="F793" s="341"/>
      <c r="G793" s="341"/>
      <c r="H793" s="342"/>
    </row>
    <row r="794">
      <c r="A794" s="337"/>
      <c r="B794" s="337"/>
      <c r="C794" s="338"/>
      <c r="D794" s="338"/>
      <c r="E794" s="338"/>
      <c r="F794" s="341"/>
      <c r="G794" s="341"/>
      <c r="H794" s="342"/>
    </row>
    <row r="795">
      <c r="A795" s="337"/>
      <c r="B795" s="337"/>
      <c r="C795" s="338"/>
      <c r="D795" s="338"/>
      <c r="E795" s="338"/>
      <c r="F795" s="341"/>
      <c r="G795" s="341"/>
      <c r="H795" s="342"/>
    </row>
    <row r="796">
      <c r="A796" s="337"/>
      <c r="B796" s="337"/>
      <c r="C796" s="338"/>
      <c r="D796" s="338"/>
      <c r="E796" s="338"/>
      <c r="F796" s="341"/>
      <c r="G796" s="341"/>
      <c r="H796" s="342"/>
    </row>
    <row r="797">
      <c r="A797" s="337"/>
      <c r="B797" s="337"/>
      <c r="C797" s="338"/>
      <c r="D797" s="338"/>
      <c r="E797" s="338"/>
      <c r="F797" s="341"/>
      <c r="G797" s="341"/>
      <c r="H797" s="342"/>
    </row>
    <row r="798">
      <c r="A798" s="337"/>
      <c r="B798" s="337"/>
      <c r="C798" s="338"/>
      <c r="D798" s="338"/>
      <c r="E798" s="338"/>
      <c r="F798" s="341"/>
      <c r="G798" s="341"/>
      <c r="H798" s="342"/>
    </row>
    <row r="799">
      <c r="A799" s="337"/>
      <c r="B799" s="337"/>
      <c r="C799" s="338"/>
      <c r="D799" s="338"/>
      <c r="E799" s="338"/>
      <c r="F799" s="341"/>
      <c r="G799" s="341"/>
      <c r="H799" s="342"/>
    </row>
    <row r="800">
      <c r="A800" s="337"/>
      <c r="B800" s="337"/>
      <c r="C800" s="338"/>
      <c r="D800" s="338"/>
      <c r="E800" s="338"/>
      <c r="F800" s="341"/>
      <c r="G800" s="341"/>
      <c r="H800" s="342"/>
    </row>
    <row r="801">
      <c r="A801" s="337"/>
      <c r="B801" s="337"/>
      <c r="C801" s="338"/>
      <c r="D801" s="338"/>
      <c r="E801" s="338"/>
      <c r="F801" s="341"/>
      <c r="G801" s="341"/>
      <c r="H801" s="342"/>
    </row>
    <row r="802">
      <c r="A802" s="337"/>
      <c r="B802" s="337"/>
      <c r="C802" s="338"/>
      <c r="D802" s="338"/>
      <c r="E802" s="338"/>
      <c r="F802" s="341"/>
      <c r="G802" s="341"/>
      <c r="H802" s="342"/>
    </row>
    <row r="803">
      <c r="A803" s="337"/>
      <c r="B803" s="337"/>
      <c r="C803" s="338"/>
      <c r="D803" s="338"/>
      <c r="E803" s="338"/>
      <c r="F803" s="341"/>
      <c r="G803" s="341"/>
      <c r="H803" s="342"/>
    </row>
    <row r="804">
      <c r="A804" s="337"/>
      <c r="B804" s="337"/>
      <c r="C804" s="338"/>
      <c r="D804" s="338"/>
      <c r="E804" s="338"/>
      <c r="F804" s="341"/>
      <c r="G804" s="341"/>
      <c r="H804" s="342"/>
    </row>
    <row r="805">
      <c r="A805" s="337"/>
      <c r="B805" s="337"/>
      <c r="C805" s="338"/>
      <c r="D805" s="338"/>
      <c r="E805" s="338"/>
      <c r="F805" s="341"/>
      <c r="G805" s="341"/>
      <c r="H805" s="342"/>
    </row>
    <row r="806">
      <c r="A806" s="337"/>
      <c r="B806" s="337"/>
      <c r="C806" s="338"/>
      <c r="D806" s="338"/>
      <c r="E806" s="338"/>
      <c r="F806" s="341"/>
      <c r="G806" s="341"/>
      <c r="H806" s="342"/>
    </row>
    <row r="807">
      <c r="A807" s="337"/>
      <c r="B807" s="337"/>
      <c r="C807" s="338"/>
      <c r="D807" s="338"/>
      <c r="E807" s="338"/>
      <c r="F807" s="341"/>
      <c r="G807" s="341"/>
      <c r="H807" s="342"/>
    </row>
    <row r="808">
      <c r="A808" s="337"/>
      <c r="B808" s="337"/>
      <c r="C808" s="338"/>
      <c r="D808" s="338"/>
      <c r="E808" s="338"/>
      <c r="F808" s="341"/>
      <c r="G808" s="341"/>
      <c r="H808" s="342"/>
    </row>
    <row r="809">
      <c r="A809" s="337"/>
      <c r="B809" s="337"/>
      <c r="C809" s="338"/>
      <c r="D809" s="338"/>
      <c r="E809" s="338"/>
      <c r="F809" s="341"/>
      <c r="G809" s="341"/>
      <c r="H809" s="342"/>
    </row>
    <row r="810">
      <c r="A810" s="337"/>
      <c r="B810" s="337"/>
      <c r="C810" s="338"/>
      <c r="D810" s="338"/>
      <c r="E810" s="338"/>
      <c r="F810" s="341"/>
      <c r="G810" s="341"/>
      <c r="H810" s="342"/>
    </row>
    <row r="811">
      <c r="A811" s="337"/>
      <c r="B811" s="337"/>
      <c r="C811" s="338"/>
      <c r="D811" s="338"/>
      <c r="E811" s="338"/>
      <c r="F811" s="341"/>
      <c r="G811" s="341"/>
      <c r="H811" s="342"/>
    </row>
    <row r="812">
      <c r="A812" s="337"/>
      <c r="B812" s="337"/>
      <c r="C812" s="338"/>
      <c r="D812" s="338"/>
      <c r="E812" s="338"/>
      <c r="F812" s="341"/>
      <c r="G812" s="341"/>
      <c r="H812" s="342"/>
    </row>
    <row r="813">
      <c r="A813" s="337"/>
      <c r="B813" s="337"/>
      <c r="C813" s="338"/>
      <c r="D813" s="338"/>
      <c r="E813" s="338"/>
      <c r="F813" s="341"/>
      <c r="G813" s="341"/>
      <c r="H813" s="342"/>
    </row>
    <row r="814">
      <c r="A814" s="337"/>
      <c r="B814" s="337"/>
      <c r="C814" s="338"/>
      <c r="D814" s="338"/>
      <c r="E814" s="338"/>
      <c r="F814" s="341"/>
      <c r="G814" s="341"/>
      <c r="H814" s="342"/>
    </row>
    <row r="815">
      <c r="A815" s="337"/>
      <c r="B815" s="337"/>
      <c r="C815" s="338"/>
      <c r="D815" s="338"/>
      <c r="E815" s="338"/>
      <c r="F815" s="341"/>
      <c r="G815" s="341"/>
      <c r="H815" s="342"/>
    </row>
    <row r="816">
      <c r="A816" s="337"/>
      <c r="B816" s="337"/>
      <c r="C816" s="338"/>
      <c r="D816" s="338"/>
      <c r="E816" s="338"/>
      <c r="F816" s="341"/>
      <c r="G816" s="341"/>
      <c r="H816" s="342"/>
    </row>
    <row r="817">
      <c r="A817" s="337"/>
      <c r="B817" s="337"/>
      <c r="C817" s="338"/>
      <c r="D817" s="338"/>
      <c r="E817" s="338"/>
      <c r="F817" s="341"/>
      <c r="G817" s="341"/>
      <c r="H817" s="342"/>
    </row>
    <row r="818">
      <c r="A818" s="337"/>
      <c r="B818" s="337"/>
      <c r="C818" s="338"/>
      <c r="D818" s="338"/>
      <c r="E818" s="338"/>
      <c r="F818" s="341"/>
      <c r="G818" s="341"/>
      <c r="H818" s="342"/>
    </row>
    <row r="819">
      <c r="A819" s="337"/>
      <c r="B819" s="337"/>
      <c r="C819" s="338"/>
      <c r="D819" s="338"/>
      <c r="E819" s="338"/>
      <c r="F819" s="341"/>
      <c r="G819" s="341"/>
      <c r="H819" s="342"/>
    </row>
    <row r="820">
      <c r="A820" s="337"/>
      <c r="B820" s="337"/>
      <c r="C820" s="338"/>
      <c r="D820" s="338"/>
      <c r="E820" s="338"/>
      <c r="F820" s="341"/>
      <c r="G820" s="341"/>
      <c r="H820" s="342"/>
    </row>
    <row r="821">
      <c r="A821" s="337"/>
      <c r="B821" s="337"/>
      <c r="C821" s="338"/>
      <c r="D821" s="338"/>
      <c r="E821" s="338"/>
      <c r="F821" s="341"/>
      <c r="G821" s="341"/>
      <c r="H821" s="342"/>
    </row>
    <row r="822">
      <c r="A822" s="337"/>
      <c r="B822" s="337"/>
      <c r="C822" s="338"/>
      <c r="D822" s="338"/>
      <c r="E822" s="338"/>
      <c r="F822" s="341"/>
      <c r="G822" s="341"/>
      <c r="H822" s="342"/>
    </row>
    <row r="823">
      <c r="A823" s="337"/>
      <c r="B823" s="337"/>
      <c r="C823" s="338"/>
      <c r="D823" s="338"/>
      <c r="E823" s="338"/>
      <c r="F823" s="341"/>
      <c r="G823" s="341"/>
      <c r="H823" s="342"/>
    </row>
    <row r="824">
      <c r="A824" s="337"/>
      <c r="B824" s="337"/>
      <c r="C824" s="338"/>
      <c r="D824" s="338"/>
      <c r="E824" s="338"/>
      <c r="F824" s="341"/>
      <c r="G824" s="341"/>
      <c r="H824" s="342"/>
    </row>
    <row r="825">
      <c r="A825" s="337"/>
      <c r="B825" s="337"/>
      <c r="C825" s="338"/>
      <c r="D825" s="338"/>
      <c r="E825" s="338"/>
      <c r="F825" s="341"/>
      <c r="G825" s="341"/>
      <c r="H825" s="342"/>
    </row>
    <row r="826">
      <c r="A826" s="337"/>
      <c r="B826" s="337"/>
      <c r="C826" s="338"/>
      <c r="D826" s="338"/>
      <c r="E826" s="338"/>
      <c r="F826" s="341"/>
      <c r="G826" s="341"/>
      <c r="H826" s="342"/>
    </row>
    <row r="827">
      <c r="A827" s="337"/>
      <c r="B827" s="337"/>
      <c r="C827" s="338"/>
      <c r="D827" s="338"/>
      <c r="E827" s="338"/>
      <c r="F827" s="341"/>
      <c r="G827" s="341"/>
      <c r="H827" s="342"/>
    </row>
    <row r="828">
      <c r="A828" s="337"/>
      <c r="B828" s="337"/>
      <c r="C828" s="338"/>
      <c r="D828" s="338"/>
      <c r="E828" s="338"/>
      <c r="F828" s="341"/>
      <c r="G828" s="341"/>
      <c r="H828" s="342"/>
    </row>
    <row r="829">
      <c r="A829" s="337"/>
      <c r="B829" s="337"/>
      <c r="C829" s="338"/>
      <c r="D829" s="338"/>
      <c r="E829" s="338"/>
      <c r="F829" s="341"/>
      <c r="G829" s="341"/>
      <c r="H829" s="342"/>
    </row>
    <row r="830">
      <c r="A830" s="337"/>
      <c r="B830" s="337"/>
      <c r="C830" s="338"/>
      <c r="D830" s="338"/>
      <c r="E830" s="338"/>
      <c r="F830" s="341"/>
      <c r="G830" s="341"/>
      <c r="H830" s="342"/>
    </row>
    <row r="831">
      <c r="A831" s="337"/>
      <c r="B831" s="337"/>
      <c r="C831" s="338"/>
      <c r="D831" s="338"/>
      <c r="E831" s="338"/>
      <c r="F831" s="341"/>
      <c r="G831" s="341"/>
      <c r="H831" s="342"/>
    </row>
    <row r="832">
      <c r="A832" s="337"/>
      <c r="B832" s="337"/>
      <c r="C832" s="338"/>
      <c r="D832" s="338"/>
      <c r="E832" s="338"/>
      <c r="F832" s="341"/>
      <c r="G832" s="341"/>
      <c r="H832" s="342"/>
    </row>
    <row r="833">
      <c r="A833" s="337"/>
      <c r="B833" s="337"/>
      <c r="C833" s="338"/>
      <c r="D833" s="338"/>
      <c r="E833" s="338"/>
      <c r="F833" s="341"/>
      <c r="G833" s="341"/>
      <c r="H833" s="342"/>
    </row>
    <row r="834">
      <c r="A834" s="337"/>
      <c r="B834" s="337"/>
      <c r="C834" s="338"/>
      <c r="D834" s="338"/>
      <c r="E834" s="338"/>
      <c r="F834" s="341"/>
      <c r="G834" s="341"/>
      <c r="H834" s="342"/>
    </row>
    <row r="835">
      <c r="A835" s="337"/>
      <c r="B835" s="337"/>
      <c r="C835" s="338"/>
      <c r="D835" s="338"/>
      <c r="E835" s="338"/>
      <c r="F835" s="341"/>
      <c r="G835" s="341"/>
      <c r="H835" s="342"/>
    </row>
    <row r="836">
      <c r="A836" s="337"/>
      <c r="B836" s="337"/>
      <c r="C836" s="338"/>
      <c r="D836" s="338"/>
      <c r="E836" s="338"/>
      <c r="F836" s="341"/>
      <c r="G836" s="341"/>
      <c r="H836" s="342"/>
    </row>
    <row r="837">
      <c r="A837" s="337"/>
      <c r="B837" s="337"/>
      <c r="C837" s="338"/>
      <c r="D837" s="338"/>
      <c r="E837" s="338"/>
      <c r="F837" s="341"/>
      <c r="G837" s="341"/>
      <c r="H837" s="342"/>
    </row>
    <row r="838">
      <c r="A838" s="337"/>
      <c r="B838" s="337"/>
      <c r="C838" s="338"/>
      <c r="D838" s="338"/>
      <c r="E838" s="338"/>
      <c r="F838" s="341"/>
      <c r="G838" s="341"/>
      <c r="H838" s="342"/>
    </row>
    <row r="839">
      <c r="A839" s="337"/>
      <c r="B839" s="337"/>
      <c r="C839" s="338"/>
      <c r="D839" s="338"/>
      <c r="E839" s="338"/>
      <c r="F839" s="341"/>
      <c r="G839" s="341"/>
      <c r="H839" s="342"/>
    </row>
    <row r="840">
      <c r="A840" s="337"/>
      <c r="B840" s="337"/>
      <c r="C840" s="338"/>
      <c r="D840" s="338"/>
      <c r="E840" s="338"/>
      <c r="F840" s="341"/>
      <c r="G840" s="341"/>
      <c r="H840" s="342"/>
    </row>
    <row r="841">
      <c r="A841" s="337"/>
      <c r="B841" s="337"/>
      <c r="C841" s="338"/>
      <c r="D841" s="338"/>
      <c r="E841" s="338"/>
      <c r="F841" s="341"/>
      <c r="G841" s="341"/>
      <c r="H841" s="342"/>
    </row>
    <row r="842">
      <c r="A842" s="337"/>
      <c r="B842" s="337"/>
      <c r="C842" s="338"/>
      <c r="D842" s="338"/>
      <c r="E842" s="338"/>
      <c r="F842" s="341"/>
      <c r="G842" s="341"/>
      <c r="H842" s="342"/>
    </row>
    <row r="843">
      <c r="A843" s="337"/>
      <c r="B843" s="337"/>
      <c r="C843" s="338"/>
      <c r="D843" s="338"/>
      <c r="E843" s="338"/>
      <c r="F843" s="341"/>
      <c r="G843" s="341"/>
      <c r="H843" s="342"/>
    </row>
    <row r="844">
      <c r="A844" s="337"/>
      <c r="B844" s="337"/>
      <c r="C844" s="338"/>
      <c r="D844" s="338"/>
      <c r="E844" s="338"/>
      <c r="F844" s="341"/>
      <c r="G844" s="341"/>
      <c r="H844" s="342"/>
    </row>
    <row r="845">
      <c r="A845" s="337"/>
      <c r="B845" s="337"/>
      <c r="C845" s="338"/>
      <c r="D845" s="338"/>
      <c r="E845" s="338"/>
      <c r="F845" s="341"/>
      <c r="G845" s="341"/>
      <c r="H845" s="342"/>
    </row>
    <row r="846">
      <c r="A846" s="337"/>
      <c r="B846" s="337"/>
      <c r="C846" s="338"/>
      <c r="D846" s="338"/>
      <c r="E846" s="338"/>
      <c r="F846" s="341"/>
      <c r="G846" s="341"/>
      <c r="H846" s="342"/>
    </row>
    <row r="847">
      <c r="A847" s="337"/>
      <c r="B847" s="337"/>
      <c r="C847" s="338"/>
      <c r="D847" s="338"/>
      <c r="E847" s="338"/>
      <c r="F847" s="341"/>
      <c r="G847" s="341"/>
      <c r="H847" s="342"/>
    </row>
    <row r="848">
      <c r="A848" s="337"/>
      <c r="B848" s="337"/>
      <c r="C848" s="338"/>
      <c r="D848" s="338"/>
      <c r="E848" s="338"/>
      <c r="F848" s="341"/>
      <c r="G848" s="341"/>
      <c r="H848" s="342"/>
    </row>
    <row r="849">
      <c r="A849" s="337"/>
      <c r="B849" s="337"/>
      <c r="C849" s="338"/>
      <c r="D849" s="338"/>
      <c r="E849" s="338"/>
      <c r="F849" s="341"/>
      <c r="G849" s="341"/>
      <c r="H849" s="342"/>
    </row>
    <row r="850">
      <c r="A850" s="337"/>
      <c r="B850" s="337"/>
      <c r="C850" s="338"/>
      <c r="D850" s="338"/>
      <c r="E850" s="338"/>
      <c r="F850" s="341"/>
      <c r="G850" s="341"/>
      <c r="H850" s="342"/>
    </row>
    <row r="851">
      <c r="A851" s="337"/>
      <c r="B851" s="337"/>
      <c r="C851" s="338"/>
      <c r="D851" s="338"/>
      <c r="E851" s="338"/>
      <c r="F851" s="341"/>
      <c r="G851" s="341"/>
      <c r="H851" s="342"/>
    </row>
    <row r="852">
      <c r="A852" s="337"/>
      <c r="B852" s="337"/>
      <c r="C852" s="338"/>
      <c r="D852" s="338"/>
      <c r="E852" s="338"/>
      <c r="F852" s="341"/>
      <c r="G852" s="341"/>
      <c r="H852" s="342"/>
    </row>
    <row r="853">
      <c r="A853" s="337"/>
      <c r="B853" s="337"/>
      <c r="C853" s="338"/>
      <c r="D853" s="338"/>
      <c r="E853" s="338"/>
      <c r="F853" s="341"/>
      <c r="G853" s="341"/>
      <c r="H853" s="342"/>
    </row>
    <row r="854">
      <c r="A854" s="337"/>
      <c r="B854" s="337"/>
      <c r="C854" s="338"/>
      <c r="D854" s="338"/>
      <c r="E854" s="338"/>
      <c r="F854" s="341"/>
      <c r="G854" s="341"/>
      <c r="H854" s="342"/>
    </row>
    <row r="855">
      <c r="A855" s="337"/>
      <c r="B855" s="337"/>
      <c r="C855" s="338"/>
      <c r="D855" s="338"/>
      <c r="E855" s="338"/>
      <c r="F855" s="341"/>
      <c r="G855" s="341"/>
      <c r="H855" s="342"/>
    </row>
    <row r="856">
      <c r="A856" s="337"/>
      <c r="B856" s="337"/>
      <c r="C856" s="338"/>
      <c r="D856" s="338"/>
      <c r="E856" s="338"/>
      <c r="F856" s="341"/>
      <c r="G856" s="341"/>
      <c r="H856" s="342"/>
    </row>
    <row r="857">
      <c r="A857" s="337"/>
      <c r="B857" s="337"/>
      <c r="C857" s="338"/>
      <c r="D857" s="338"/>
      <c r="E857" s="338"/>
      <c r="F857" s="341"/>
      <c r="G857" s="341"/>
      <c r="H857" s="342"/>
    </row>
    <row r="858">
      <c r="A858" s="337"/>
      <c r="B858" s="337"/>
      <c r="C858" s="338"/>
      <c r="D858" s="338"/>
      <c r="E858" s="338"/>
      <c r="F858" s="341"/>
      <c r="G858" s="341"/>
      <c r="H858" s="342"/>
    </row>
    <row r="859">
      <c r="A859" s="337"/>
      <c r="B859" s="337"/>
      <c r="C859" s="338"/>
      <c r="D859" s="338"/>
      <c r="E859" s="338"/>
      <c r="F859" s="341"/>
      <c r="G859" s="341"/>
      <c r="H859" s="342"/>
    </row>
    <row r="860">
      <c r="A860" s="337"/>
      <c r="B860" s="337"/>
      <c r="C860" s="338"/>
      <c r="D860" s="338"/>
      <c r="E860" s="338"/>
      <c r="F860" s="341"/>
      <c r="G860" s="341"/>
      <c r="H860" s="342"/>
    </row>
    <row r="861">
      <c r="A861" s="337"/>
      <c r="B861" s="337"/>
      <c r="C861" s="338"/>
      <c r="D861" s="338"/>
      <c r="E861" s="338"/>
      <c r="F861" s="341"/>
      <c r="G861" s="341"/>
      <c r="H861" s="342"/>
    </row>
    <row r="862">
      <c r="A862" s="337"/>
      <c r="B862" s="337"/>
      <c r="C862" s="338"/>
      <c r="D862" s="338"/>
      <c r="E862" s="338"/>
      <c r="F862" s="341"/>
      <c r="G862" s="341"/>
      <c r="H862" s="342"/>
    </row>
    <row r="863">
      <c r="A863" s="337"/>
      <c r="B863" s="337"/>
      <c r="C863" s="338"/>
      <c r="D863" s="338"/>
      <c r="E863" s="338"/>
      <c r="F863" s="341"/>
      <c r="G863" s="341"/>
      <c r="H863" s="342"/>
    </row>
    <row r="864">
      <c r="A864" s="337"/>
      <c r="B864" s="337"/>
      <c r="C864" s="338"/>
      <c r="D864" s="338"/>
      <c r="E864" s="338"/>
      <c r="F864" s="341"/>
      <c r="G864" s="341"/>
      <c r="H864" s="342"/>
    </row>
    <row r="865">
      <c r="A865" s="337"/>
      <c r="B865" s="337"/>
      <c r="C865" s="338"/>
      <c r="D865" s="338"/>
      <c r="E865" s="338"/>
      <c r="F865" s="341"/>
      <c r="G865" s="341"/>
      <c r="H865" s="342"/>
    </row>
    <row r="866">
      <c r="A866" s="337"/>
      <c r="B866" s="337"/>
      <c r="C866" s="338"/>
      <c r="D866" s="338"/>
      <c r="E866" s="338"/>
      <c r="F866" s="341"/>
      <c r="G866" s="341"/>
      <c r="H866" s="342"/>
    </row>
    <row r="867">
      <c r="A867" s="337"/>
      <c r="B867" s="337"/>
      <c r="C867" s="338"/>
      <c r="D867" s="338"/>
      <c r="E867" s="338"/>
      <c r="F867" s="341"/>
      <c r="G867" s="341"/>
      <c r="H867" s="342"/>
    </row>
    <row r="868">
      <c r="A868" s="337"/>
      <c r="B868" s="337"/>
      <c r="C868" s="338"/>
      <c r="D868" s="338"/>
      <c r="E868" s="338"/>
      <c r="F868" s="341"/>
      <c r="G868" s="341"/>
      <c r="H868" s="342"/>
    </row>
    <row r="869">
      <c r="A869" s="337"/>
      <c r="B869" s="337"/>
      <c r="C869" s="338"/>
      <c r="D869" s="338"/>
      <c r="E869" s="338"/>
      <c r="F869" s="341"/>
      <c r="G869" s="341"/>
      <c r="H869" s="342"/>
    </row>
    <row r="870">
      <c r="A870" s="337"/>
      <c r="B870" s="337"/>
      <c r="C870" s="338"/>
      <c r="D870" s="338"/>
      <c r="E870" s="338"/>
      <c r="F870" s="341"/>
      <c r="G870" s="341"/>
      <c r="H870" s="342"/>
    </row>
    <row r="871">
      <c r="A871" s="337"/>
      <c r="B871" s="337"/>
      <c r="C871" s="338"/>
      <c r="D871" s="338"/>
      <c r="E871" s="338"/>
      <c r="F871" s="341"/>
      <c r="G871" s="341"/>
      <c r="H871" s="342"/>
    </row>
    <row r="872">
      <c r="A872" s="337"/>
      <c r="B872" s="337"/>
      <c r="C872" s="338"/>
      <c r="D872" s="338"/>
      <c r="E872" s="338"/>
      <c r="F872" s="341"/>
      <c r="G872" s="341"/>
      <c r="H872" s="342"/>
    </row>
    <row r="873">
      <c r="A873" s="337"/>
      <c r="B873" s="337"/>
      <c r="C873" s="338"/>
      <c r="D873" s="338"/>
      <c r="E873" s="338"/>
      <c r="F873" s="341"/>
      <c r="G873" s="341"/>
      <c r="H873" s="342"/>
    </row>
    <row r="874">
      <c r="A874" s="337"/>
      <c r="B874" s="337"/>
      <c r="C874" s="338"/>
      <c r="D874" s="338"/>
      <c r="E874" s="338"/>
      <c r="F874" s="341"/>
      <c r="G874" s="341"/>
      <c r="H874" s="342"/>
    </row>
    <row r="875">
      <c r="A875" s="337"/>
      <c r="B875" s="337"/>
      <c r="C875" s="338"/>
      <c r="D875" s="338"/>
      <c r="E875" s="338"/>
      <c r="F875" s="341"/>
      <c r="G875" s="341"/>
      <c r="H875" s="342"/>
    </row>
    <row r="876">
      <c r="A876" s="337"/>
      <c r="B876" s="337"/>
      <c r="C876" s="338"/>
      <c r="D876" s="338"/>
      <c r="E876" s="338"/>
      <c r="F876" s="341"/>
      <c r="G876" s="341"/>
      <c r="H876" s="342"/>
    </row>
    <row r="877">
      <c r="A877" s="337"/>
      <c r="B877" s="337"/>
      <c r="C877" s="338"/>
      <c r="D877" s="338"/>
      <c r="E877" s="338"/>
      <c r="F877" s="341"/>
      <c r="G877" s="341"/>
      <c r="H877" s="342"/>
    </row>
    <row r="878">
      <c r="A878" s="337"/>
      <c r="B878" s="337"/>
      <c r="C878" s="338"/>
      <c r="D878" s="338"/>
      <c r="E878" s="338"/>
      <c r="F878" s="341"/>
      <c r="G878" s="341"/>
      <c r="H878" s="342"/>
    </row>
    <row r="879">
      <c r="A879" s="337"/>
      <c r="B879" s="337"/>
      <c r="C879" s="338"/>
      <c r="D879" s="338"/>
      <c r="E879" s="338"/>
      <c r="F879" s="341"/>
      <c r="G879" s="341"/>
      <c r="H879" s="342"/>
    </row>
    <row r="880">
      <c r="A880" s="337"/>
      <c r="B880" s="337"/>
      <c r="C880" s="338"/>
      <c r="D880" s="338"/>
      <c r="E880" s="338"/>
      <c r="F880" s="341"/>
      <c r="G880" s="341"/>
      <c r="H880" s="342"/>
    </row>
    <row r="881">
      <c r="A881" s="337"/>
      <c r="B881" s="337"/>
      <c r="C881" s="338"/>
      <c r="D881" s="338"/>
      <c r="E881" s="338"/>
      <c r="F881" s="341"/>
      <c r="G881" s="341"/>
      <c r="H881" s="342"/>
    </row>
    <row r="882">
      <c r="A882" s="337"/>
      <c r="B882" s="337"/>
      <c r="C882" s="338"/>
      <c r="D882" s="338"/>
      <c r="E882" s="338"/>
      <c r="F882" s="341"/>
      <c r="G882" s="341"/>
      <c r="H882" s="342"/>
    </row>
    <row r="883">
      <c r="A883" s="337"/>
      <c r="B883" s="337"/>
      <c r="C883" s="338"/>
      <c r="D883" s="338"/>
      <c r="E883" s="338"/>
      <c r="F883" s="341"/>
      <c r="G883" s="341"/>
      <c r="H883" s="342"/>
    </row>
    <row r="884">
      <c r="A884" s="337"/>
      <c r="B884" s="337"/>
      <c r="C884" s="338"/>
      <c r="D884" s="338"/>
      <c r="E884" s="338"/>
      <c r="F884" s="341"/>
      <c r="G884" s="341"/>
      <c r="H884" s="342"/>
    </row>
    <row r="885">
      <c r="A885" s="337"/>
      <c r="B885" s="337"/>
      <c r="C885" s="338"/>
      <c r="D885" s="338"/>
      <c r="E885" s="338"/>
      <c r="F885" s="341"/>
      <c r="G885" s="341"/>
      <c r="H885" s="342"/>
    </row>
    <row r="886">
      <c r="A886" s="337"/>
      <c r="B886" s="337"/>
      <c r="C886" s="338"/>
      <c r="D886" s="338"/>
      <c r="E886" s="338"/>
      <c r="F886" s="341"/>
      <c r="G886" s="341"/>
      <c r="H886" s="342"/>
    </row>
    <row r="887">
      <c r="A887" s="337"/>
      <c r="B887" s="337"/>
      <c r="C887" s="338"/>
      <c r="D887" s="338"/>
      <c r="E887" s="338"/>
      <c r="F887" s="341"/>
      <c r="G887" s="341"/>
      <c r="H887" s="342"/>
    </row>
    <row r="888">
      <c r="A888" s="337"/>
      <c r="B888" s="337"/>
      <c r="C888" s="338"/>
      <c r="D888" s="338"/>
      <c r="E888" s="338"/>
      <c r="F888" s="341"/>
      <c r="G888" s="341"/>
      <c r="H888" s="342"/>
    </row>
    <row r="889">
      <c r="A889" s="337"/>
      <c r="B889" s="337"/>
      <c r="C889" s="338"/>
      <c r="D889" s="338"/>
      <c r="E889" s="338"/>
      <c r="F889" s="341"/>
      <c r="G889" s="341"/>
      <c r="H889" s="342"/>
    </row>
    <row r="890">
      <c r="A890" s="337"/>
      <c r="B890" s="337"/>
      <c r="C890" s="338"/>
      <c r="D890" s="338"/>
      <c r="E890" s="338"/>
      <c r="F890" s="341"/>
      <c r="G890" s="341"/>
      <c r="H890" s="342"/>
    </row>
    <row r="891">
      <c r="A891" s="337"/>
      <c r="B891" s="337"/>
      <c r="C891" s="338"/>
      <c r="D891" s="338"/>
      <c r="E891" s="338"/>
      <c r="F891" s="341"/>
      <c r="G891" s="341"/>
      <c r="H891" s="342"/>
    </row>
    <row r="892">
      <c r="A892" s="337"/>
      <c r="B892" s="337"/>
      <c r="C892" s="338"/>
      <c r="D892" s="338"/>
      <c r="E892" s="338"/>
      <c r="F892" s="341"/>
      <c r="G892" s="341"/>
      <c r="H892" s="342"/>
    </row>
    <row r="893">
      <c r="A893" s="337"/>
      <c r="B893" s="337"/>
      <c r="C893" s="338"/>
      <c r="D893" s="338"/>
      <c r="E893" s="338"/>
      <c r="F893" s="341"/>
      <c r="G893" s="341"/>
      <c r="H893" s="342"/>
    </row>
    <row r="894">
      <c r="A894" s="337"/>
      <c r="B894" s="337"/>
      <c r="C894" s="338"/>
      <c r="D894" s="338"/>
      <c r="E894" s="338"/>
      <c r="F894" s="341"/>
      <c r="G894" s="341"/>
      <c r="H894" s="342"/>
    </row>
    <row r="895">
      <c r="A895" s="337"/>
      <c r="B895" s="337"/>
      <c r="C895" s="338"/>
      <c r="D895" s="338"/>
      <c r="E895" s="338"/>
      <c r="F895" s="341"/>
      <c r="G895" s="341"/>
      <c r="H895" s="342"/>
    </row>
    <row r="896">
      <c r="A896" s="337"/>
      <c r="B896" s="337"/>
      <c r="C896" s="338"/>
      <c r="D896" s="338"/>
      <c r="E896" s="338"/>
      <c r="F896" s="341"/>
      <c r="G896" s="341"/>
      <c r="H896" s="342"/>
    </row>
    <row r="897">
      <c r="A897" s="337"/>
      <c r="B897" s="337"/>
      <c r="C897" s="338"/>
      <c r="D897" s="338"/>
      <c r="E897" s="338"/>
      <c r="F897" s="341"/>
      <c r="G897" s="341"/>
      <c r="H897" s="342"/>
    </row>
    <row r="898">
      <c r="A898" s="337"/>
      <c r="B898" s="337"/>
      <c r="C898" s="338"/>
      <c r="D898" s="338"/>
      <c r="E898" s="338"/>
      <c r="F898" s="341"/>
      <c r="G898" s="341"/>
      <c r="H898" s="342"/>
    </row>
    <row r="899">
      <c r="A899" s="337"/>
      <c r="B899" s="337"/>
      <c r="C899" s="338"/>
      <c r="D899" s="338"/>
      <c r="E899" s="338"/>
      <c r="F899" s="341"/>
      <c r="G899" s="341"/>
      <c r="H899" s="342"/>
    </row>
    <row r="900">
      <c r="A900" s="337"/>
      <c r="B900" s="337"/>
      <c r="C900" s="338"/>
      <c r="D900" s="338"/>
      <c r="E900" s="338"/>
      <c r="F900" s="341"/>
      <c r="G900" s="341"/>
      <c r="H900" s="342"/>
    </row>
    <row r="901">
      <c r="A901" s="337"/>
      <c r="B901" s="337"/>
      <c r="C901" s="338"/>
      <c r="D901" s="338"/>
      <c r="E901" s="338"/>
      <c r="F901" s="341"/>
      <c r="G901" s="341"/>
      <c r="H901" s="342"/>
    </row>
    <row r="902">
      <c r="A902" s="337"/>
      <c r="B902" s="337"/>
      <c r="C902" s="338"/>
      <c r="D902" s="338"/>
      <c r="E902" s="338"/>
      <c r="F902" s="341"/>
      <c r="G902" s="341"/>
      <c r="H902" s="342"/>
    </row>
    <row r="903">
      <c r="A903" s="337"/>
      <c r="B903" s="337"/>
      <c r="C903" s="338"/>
      <c r="D903" s="338"/>
      <c r="E903" s="338"/>
      <c r="F903" s="341"/>
      <c r="G903" s="341"/>
      <c r="H903" s="342"/>
    </row>
    <row r="904">
      <c r="A904" s="337"/>
      <c r="B904" s="337"/>
      <c r="C904" s="338"/>
      <c r="D904" s="338"/>
      <c r="E904" s="338"/>
      <c r="F904" s="341"/>
      <c r="G904" s="341"/>
      <c r="H904" s="342"/>
    </row>
    <row r="905">
      <c r="A905" s="337"/>
      <c r="B905" s="337"/>
      <c r="C905" s="338"/>
      <c r="D905" s="338"/>
      <c r="E905" s="338"/>
      <c r="F905" s="341"/>
      <c r="G905" s="341"/>
      <c r="H905" s="342"/>
    </row>
    <row r="906">
      <c r="A906" s="337"/>
      <c r="B906" s="337"/>
      <c r="C906" s="338"/>
      <c r="D906" s="338"/>
      <c r="E906" s="338"/>
      <c r="F906" s="341"/>
      <c r="G906" s="341"/>
      <c r="H906" s="342"/>
    </row>
    <row r="907">
      <c r="A907" s="337"/>
      <c r="B907" s="337"/>
      <c r="C907" s="338"/>
      <c r="D907" s="338"/>
      <c r="E907" s="338"/>
      <c r="F907" s="341"/>
      <c r="G907" s="341"/>
      <c r="H907" s="342"/>
    </row>
    <row r="908">
      <c r="A908" s="337"/>
      <c r="B908" s="337"/>
      <c r="C908" s="338"/>
      <c r="D908" s="338"/>
      <c r="E908" s="338"/>
      <c r="F908" s="341"/>
      <c r="G908" s="341"/>
      <c r="H908" s="342"/>
    </row>
    <row r="909">
      <c r="A909" s="337"/>
      <c r="B909" s="337"/>
      <c r="C909" s="338"/>
      <c r="D909" s="338"/>
      <c r="E909" s="338"/>
      <c r="F909" s="341"/>
      <c r="G909" s="341"/>
      <c r="H909" s="342"/>
    </row>
    <row r="910">
      <c r="A910" s="337"/>
      <c r="B910" s="337"/>
      <c r="C910" s="338"/>
      <c r="D910" s="338"/>
      <c r="E910" s="338"/>
      <c r="F910" s="341"/>
      <c r="G910" s="341"/>
      <c r="H910" s="342"/>
    </row>
    <row r="911">
      <c r="A911" s="337"/>
      <c r="B911" s="337"/>
      <c r="C911" s="338"/>
      <c r="D911" s="338"/>
      <c r="E911" s="338"/>
      <c r="F911" s="341"/>
      <c r="G911" s="341"/>
      <c r="H911" s="342"/>
    </row>
    <row r="912">
      <c r="A912" s="337"/>
      <c r="B912" s="337"/>
      <c r="C912" s="338"/>
      <c r="D912" s="338"/>
      <c r="E912" s="338"/>
      <c r="F912" s="341"/>
      <c r="G912" s="341"/>
      <c r="H912" s="342"/>
    </row>
    <row r="913">
      <c r="A913" s="337"/>
      <c r="B913" s="337"/>
      <c r="C913" s="338"/>
      <c r="D913" s="338"/>
      <c r="E913" s="338"/>
      <c r="F913" s="341"/>
      <c r="G913" s="341"/>
      <c r="H913" s="342"/>
    </row>
    <row r="914">
      <c r="A914" s="337"/>
      <c r="B914" s="337"/>
      <c r="C914" s="338"/>
      <c r="D914" s="338"/>
      <c r="E914" s="338"/>
      <c r="F914" s="341"/>
      <c r="G914" s="341"/>
      <c r="H914" s="342"/>
    </row>
    <row r="915">
      <c r="A915" s="337"/>
      <c r="B915" s="337"/>
      <c r="C915" s="338"/>
      <c r="D915" s="338"/>
      <c r="E915" s="338"/>
      <c r="F915" s="341"/>
      <c r="G915" s="341"/>
      <c r="H915" s="342"/>
    </row>
    <row r="916">
      <c r="A916" s="337"/>
      <c r="B916" s="337"/>
      <c r="C916" s="338"/>
      <c r="D916" s="338"/>
      <c r="E916" s="338"/>
      <c r="F916" s="341"/>
      <c r="G916" s="341"/>
      <c r="H916" s="342"/>
    </row>
    <row r="917">
      <c r="A917" s="337"/>
      <c r="B917" s="337"/>
      <c r="C917" s="338"/>
      <c r="D917" s="338"/>
      <c r="E917" s="338"/>
      <c r="F917" s="341"/>
      <c r="G917" s="341"/>
      <c r="H917" s="342"/>
    </row>
    <row r="918">
      <c r="A918" s="337"/>
      <c r="B918" s="337"/>
      <c r="C918" s="338"/>
      <c r="D918" s="338"/>
      <c r="E918" s="338"/>
      <c r="F918" s="341"/>
      <c r="G918" s="341"/>
      <c r="H918" s="342"/>
    </row>
    <row r="919">
      <c r="A919" s="337"/>
      <c r="B919" s="337"/>
      <c r="C919" s="338"/>
      <c r="D919" s="338"/>
      <c r="E919" s="338"/>
      <c r="F919" s="341"/>
      <c r="G919" s="341"/>
      <c r="H919" s="342"/>
    </row>
    <row r="920">
      <c r="A920" s="337"/>
      <c r="B920" s="337"/>
      <c r="C920" s="338"/>
      <c r="D920" s="338"/>
      <c r="E920" s="338"/>
      <c r="F920" s="341"/>
      <c r="G920" s="341"/>
      <c r="H920" s="342"/>
    </row>
    <row r="921">
      <c r="A921" s="337"/>
      <c r="B921" s="337"/>
      <c r="C921" s="338"/>
      <c r="D921" s="338"/>
      <c r="E921" s="338"/>
      <c r="F921" s="341"/>
      <c r="G921" s="341"/>
      <c r="H921" s="342"/>
    </row>
    <row r="922">
      <c r="A922" s="337"/>
      <c r="B922" s="337"/>
      <c r="C922" s="338"/>
      <c r="D922" s="338"/>
      <c r="E922" s="338"/>
      <c r="F922" s="341"/>
      <c r="G922" s="341"/>
      <c r="H922" s="342"/>
    </row>
    <row r="923">
      <c r="A923" s="337"/>
      <c r="B923" s="337"/>
      <c r="C923" s="338"/>
      <c r="D923" s="338"/>
      <c r="E923" s="338"/>
      <c r="F923" s="341"/>
      <c r="G923" s="341"/>
      <c r="H923" s="342"/>
    </row>
    <row r="924">
      <c r="A924" s="337"/>
      <c r="B924" s="337"/>
      <c r="C924" s="338"/>
      <c r="D924" s="338"/>
      <c r="E924" s="338"/>
      <c r="F924" s="341"/>
      <c r="G924" s="341"/>
      <c r="H924" s="342"/>
    </row>
    <row r="925">
      <c r="A925" s="337"/>
      <c r="B925" s="337"/>
      <c r="C925" s="338"/>
      <c r="D925" s="338"/>
      <c r="E925" s="338"/>
      <c r="F925" s="341"/>
      <c r="G925" s="341"/>
      <c r="H925" s="342"/>
    </row>
    <row r="926">
      <c r="A926" s="337"/>
      <c r="B926" s="337"/>
      <c r="C926" s="338"/>
      <c r="D926" s="338"/>
      <c r="E926" s="338"/>
      <c r="F926" s="341"/>
      <c r="G926" s="341"/>
      <c r="H926" s="342"/>
    </row>
    <row r="927">
      <c r="A927" s="337"/>
      <c r="B927" s="337"/>
      <c r="C927" s="338"/>
      <c r="D927" s="338"/>
      <c r="E927" s="338"/>
      <c r="F927" s="341"/>
      <c r="G927" s="341"/>
      <c r="H927" s="342"/>
    </row>
    <row r="928">
      <c r="A928" s="337"/>
      <c r="B928" s="337"/>
      <c r="C928" s="338"/>
      <c r="D928" s="338"/>
      <c r="E928" s="338"/>
      <c r="F928" s="341"/>
      <c r="G928" s="341"/>
      <c r="H928" s="342"/>
    </row>
    <row r="929">
      <c r="A929" s="337"/>
      <c r="B929" s="337"/>
      <c r="C929" s="338"/>
      <c r="D929" s="338"/>
      <c r="E929" s="338"/>
      <c r="F929" s="341"/>
      <c r="G929" s="341"/>
      <c r="H929" s="342"/>
    </row>
    <row r="930">
      <c r="A930" s="337"/>
      <c r="B930" s="337"/>
      <c r="C930" s="338"/>
      <c r="D930" s="338"/>
      <c r="E930" s="338"/>
      <c r="F930" s="341"/>
      <c r="G930" s="341"/>
      <c r="H930" s="342"/>
    </row>
    <row r="931">
      <c r="A931" s="337"/>
      <c r="B931" s="337"/>
      <c r="C931" s="338"/>
      <c r="D931" s="338"/>
      <c r="E931" s="338"/>
      <c r="F931" s="341"/>
      <c r="G931" s="341"/>
      <c r="H931" s="342"/>
    </row>
    <row r="932">
      <c r="A932" s="337"/>
      <c r="B932" s="337"/>
      <c r="C932" s="338"/>
      <c r="D932" s="338"/>
      <c r="E932" s="338"/>
      <c r="F932" s="341"/>
      <c r="G932" s="341"/>
      <c r="H932" s="342"/>
    </row>
    <row r="933">
      <c r="A933" s="337"/>
      <c r="B933" s="337"/>
      <c r="C933" s="338"/>
      <c r="D933" s="338"/>
      <c r="E933" s="338"/>
      <c r="F933" s="341"/>
      <c r="G933" s="341"/>
      <c r="H933" s="342"/>
    </row>
    <row r="934">
      <c r="A934" s="337"/>
      <c r="B934" s="337"/>
      <c r="C934" s="338"/>
      <c r="D934" s="338"/>
      <c r="E934" s="338"/>
      <c r="F934" s="341"/>
      <c r="G934" s="341"/>
      <c r="H934" s="342"/>
    </row>
    <row r="935">
      <c r="A935" s="337"/>
      <c r="B935" s="337"/>
      <c r="C935" s="338"/>
      <c r="D935" s="338"/>
      <c r="E935" s="338"/>
      <c r="F935" s="341"/>
      <c r="G935" s="341"/>
      <c r="H935" s="342"/>
    </row>
    <row r="936">
      <c r="A936" s="337"/>
      <c r="B936" s="337"/>
      <c r="C936" s="338"/>
      <c r="D936" s="338"/>
      <c r="E936" s="338"/>
      <c r="F936" s="341"/>
      <c r="G936" s="341"/>
      <c r="H936" s="342"/>
    </row>
    <row r="937">
      <c r="A937" s="337"/>
      <c r="B937" s="337"/>
      <c r="C937" s="338"/>
      <c r="D937" s="338"/>
      <c r="E937" s="338"/>
      <c r="F937" s="341"/>
      <c r="G937" s="341"/>
      <c r="H937" s="342"/>
    </row>
    <row r="938">
      <c r="A938" s="337"/>
      <c r="B938" s="337"/>
      <c r="C938" s="338"/>
      <c r="D938" s="338"/>
      <c r="E938" s="338"/>
      <c r="F938" s="341"/>
      <c r="G938" s="341"/>
      <c r="H938" s="342"/>
    </row>
    <row r="939">
      <c r="A939" s="337"/>
      <c r="B939" s="337"/>
      <c r="C939" s="338"/>
      <c r="D939" s="338"/>
      <c r="E939" s="338"/>
      <c r="F939" s="341"/>
      <c r="G939" s="341"/>
      <c r="H939" s="342"/>
    </row>
    <row r="940">
      <c r="A940" s="337"/>
      <c r="B940" s="337"/>
      <c r="C940" s="338"/>
      <c r="D940" s="338"/>
      <c r="E940" s="338"/>
      <c r="F940" s="341"/>
      <c r="G940" s="341"/>
      <c r="H940" s="342"/>
    </row>
    <row r="941">
      <c r="A941" s="337"/>
      <c r="B941" s="337"/>
      <c r="C941" s="338"/>
      <c r="D941" s="338"/>
      <c r="E941" s="338"/>
      <c r="F941" s="341"/>
      <c r="G941" s="341"/>
      <c r="H941" s="342"/>
    </row>
    <row r="942">
      <c r="A942" s="337"/>
      <c r="B942" s="337"/>
      <c r="C942" s="338"/>
      <c r="D942" s="338"/>
      <c r="E942" s="338"/>
      <c r="F942" s="341"/>
      <c r="G942" s="341"/>
      <c r="H942" s="342"/>
    </row>
    <row r="943">
      <c r="A943" s="337"/>
      <c r="B943" s="337"/>
      <c r="C943" s="338"/>
      <c r="D943" s="338"/>
      <c r="E943" s="338"/>
      <c r="F943" s="341"/>
      <c r="G943" s="341"/>
      <c r="H943" s="342"/>
    </row>
    <row r="944">
      <c r="A944" s="337"/>
      <c r="B944" s="337"/>
      <c r="C944" s="338"/>
      <c r="D944" s="338"/>
      <c r="E944" s="338"/>
      <c r="F944" s="341"/>
      <c r="G944" s="341"/>
      <c r="H944" s="342"/>
    </row>
    <row r="945">
      <c r="A945" s="337"/>
      <c r="B945" s="337"/>
      <c r="C945" s="338"/>
      <c r="D945" s="338"/>
      <c r="E945" s="338"/>
      <c r="F945" s="341"/>
      <c r="G945" s="341"/>
      <c r="H945" s="342"/>
    </row>
    <row r="946">
      <c r="A946" s="337"/>
      <c r="B946" s="337"/>
      <c r="C946" s="338"/>
      <c r="D946" s="338"/>
      <c r="E946" s="338"/>
      <c r="F946" s="341"/>
      <c r="G946" s="341"/>
      <c r="H946" s="342"/>
    </row>
    <row r="947">
      <c r="A947" s="337"/>
      <c r="B947" s="337"/>
      <c r="C947" s="338"/>
      <c r="D947" s="338"/>
      <c r="E947" s="338"/>
      <c r="F947" s="341"/>
      <c r="G947" s="341"/>
      <c r="H947" s="342"/>
    </row>
    <row r="948">
      <c r="A948" s="337"/>
      <c r="B948" s="337"/>
      <c r="C948" s="338"/>
      <c r="D948" s="338"/>
      <c r="E948" s="338"/>
      <c r="F948" s="341"/>
      <c r="G948" s="341"/>
      <c r="H948" s="342"/>
    </row>
    <row r="949">
      <c r="A949" s="337"/>
      <c r="B949" s="337"/>
      <c r="C949" s="338"/>
      <c r="D949" s="338"/>
      <c r="E949" s="338"/>
      <c r="F949" s="341"/>
      <c r="G949" s="341"/>
      <c r="H949" s="342"/>
    </row>
    <row r="950">
      <c r="A950" s="337"/>
      <c r="B950" s="337"/>
      <c r="C950" s="338"/>
      <c r="D950" s="338"/>
      <c r="E950" s="338"/>
      <c r="F950" s="341"/>
      <c r="G950" s="341"/>
      <c r="H950" s="342"/>
    </row>
    <row r="951">
      <c r="A951" s="337"/>
      <c r="B951" s="337"/>
      <c r="C951" s="338"/>
      <c r="D951" s="338"/>
      <c r="E951" s="338"/>
      <c r="F951" s="341"/>
      <c r="G951" s="341"/>
      <c r="H951" s="342"/>
    </row>
    <row r="952">
      <c r="A952" s="337"/>
      <c r="B952" s="337"/>
      <c r="C952" s="338"/>
      <c r="D952" s="338"/>
      <c r="E952" s="338"/>
      <c r="F952" s="341"/>
      <c r="G952" s="341"/>
      <c r="H952" s="342"/>
    </row>
    <row r="953">
      <c r="A953" s="337"/>
      <c r="B953" s="337"/>
      <c r="C953" s="338"/>
      <c r="D953" s="338"/>
      <c r="E953" s="338"/>
      <c r="F953" s="341"/>
      <c r="G953" s="341"/>
      <c r="H953" s="342"/>
    </row>
    <row r="954">
      <c r="A954" s="337"/>
      <c r="B954" s="337"/>
      <c r="C954" s="338"/>
      <c r="D954" s="338"/>
      <c r="E954" s="338"/>
      <c r="F954" s="341"/>
      <c r="G954" s="341"/>
      <c r="H954" s="342"/>
    </row>
    <row r="955">
      <c r="A955" s="337"/>
      <c r="B955" s="337"/>
      <c r="C955" s="338"/>
      <c r="D955" s="338"/>
      <c r="E955" s="338"/>
      <c r="F955" s="341"/>
      <c r="G955" s="341"/>
      <c r="H955" s="342"/>
    </row>
    <row r="956">
      <c r="A956" s="337"/>
      <c r="B956" s="337"/>
      <c r="C956" s="338"/>
      <c r="D956" s="338"/>
      <c r="E956" s="338"/>
      <c r="F956" s="341"/>
      <c r="G956" s="341"/>
      <c r="H956" s="342"/>
    </row>
    <row r="957">
      <c r="A957" s="337"/>
      <c r="B957" s="337"/>
      <c r="C957" s="338"/>
      <c r="D957" s="338"/>
      <c r="E957" s="338"/>
      <c r="F957" s="341"/>
      <c r="G957" s="341"/>
      <c r="H957" s="342"/>
    </row>
    <row r="958">
      <c r="A958" s="337"/>
      <c r="B958" s="337"/>
      <c r="C958" s="338"/>
      <c r="D958" s="338"/>
      <c r="E958" s="338"/>
      <c r="F958" s="341"/>
      <c r="G958" s="341"/>
      <c r="H958" s="342"/>
    </row>
    <row r="959">
      <c r="A959" s="337"/>
      <c r="B959" s="337"/>
      <c r="C959" s="338"/>
      <c r="D959" s="338"/>
      <c r="E959" s="338"/>
      <c r="F959" s="341"/>
      <c r="G959" s="341"/>
      <c r="H959" s="342"/>
    </row>
    <row r="960">
      <c r="A960" s="337"/>
      <c r="B960" s="337"/>
      <c r="C960" s="338"/>
      <c r="D960" s="338"/>
      <c r="E960" s="338"/>
      <c r="F960" s="341"/>
      <c r="G960" s="341"/>
      <c r="H960" s="342"/>
    </row>
    <row r="961">
      <c r="A961" s="337"/>
      <c r="B961" s="337"/>
      <c r="C961" s="338"/>
      <c r="D961" s="338"/>
      <c r="E961" s="338"/>
      <c r="F961" s="341"/>
      <c r="G961" s="341"/>
      <c r="H961" s="342"/>
    </row>
    <row r="962">
      <c r="A962" s="337"/>
      <c r="B962" s="337"/>
      <c r="C962" s="338"/>
      <c r="D962" s="338"/>
      <c r="E962" s="338"/>
      <c r="F962" s="341"/>
      <c r="G962" s="341"/>
      <c r="H962" s="342"/>
    </row>
    <row r="963">
      <c r="A963" s="337"/>
      <c r="B963" s="337"/>
      <c r="C963" s="338"/>
      <c r="D963" s="338"/>
      <c r="E963" s="338"/>
      <c r="F963" s="341"/>
      <c r="G963" s="341"/>
      <c r="H963" s="342"/>
    </row>
    <row r="964">
      <c r="A964" s="337"/>
      <c r="B964" s="337"/>
      <c r="C964" s="338"/>
      <c r="D964" s="338"/>
      <c r="E964" s="338"/>
      <c r="F964" s="341"/>
      <c r="G964" s="341"/>
      <c r="H964" s="342"/>
    </row>
    <row r="965">
      <c r="A965" s="337"/>
      <c r="B965" s="337"/>
      <c r="C965" s="338"/>
      <c r="D965" s="338"/>
      <c r="E965" s="338"/>
      <c r="F965" s="341"/>
      <c r="G965" s="341"/>
      <c r="H965" s="342"/>
    </row>
    <row r="966">
      <c r="A966" s="337"/>
      <c r="B966" s="337"/>
      <c r="C966" s="338"/>
      <c r="D966" s="338"/>
      <c r="E966" s="338"/>
      <c r="F966" s="341"/>
      <c r="G966" s="341"/>
      <c r="H966" s="342"/>
    </row>
    <row r="967">
      <c r="A967" s="337"/>
      <c r="B967" s="337"/>
      <c r="C967" s="338"/>
      <c r="D967" s="338"/>
      <c r="E967" s="338"/>
      <c r="F967" s="341"/>
      <c r="G967" s="341"/>
      <c r="H967" s="342"/>
    </row>
  </sheetData>
  <autoFilter ref="$A$1:$H$967">
    <filterColumn colId="1">
      <filters blank="1">
        <filter val="Tier 2"/>
        <filter val="Tier 1"/>
      </filters>
    </filterColumn>
  </autoFilter>
  <hyperlinks>
    <hyperlink r:id="rId1" ref="G2"/>
    <hyperlink r:id="rId2" ref="G3"/>
    <hyperlink r:id="rId3" ref="G4"/>
    <hyperlink r:id="rId4" ref="G5"/>
    <hyperlink r:id="rId5" ref="G6"/>
    <hyperlink r:id="rId6" ref="G7"/>
    <hyperlink r:id="rId7" ref="G8"/>
    <hyperlink r:id="rId8" ref="C9"/>
    <hyperlink r:id="rId9" ref="G9"/>
    <hyperlink r:id="rId10" ref="G10"/>
    <hyperlink r:id="rId11" ref="G11"/>
    <hyperlink r:id="rId12" ref="G12"/>
    <hyperlink r:id="rId13" ref="G13"/>
    <hyperlink r:id="rId14" ref="G14"/>
    <hyperlink r:id="rId15" ref="G15"/>
    <hyperlink r:id="rId16" ref="G16"/>
    <hyperlink r:id="rId17" ref="G17"/>
    <hyperlink r:id="rId18" ref="G18"/>
    <hyperlink r:id="rId19" ref="G19"/>
    <hyperlink r:id="rId20" ref="G20"/>
    <hyperlink r:id="rId21" ref="G21"/>
    <hyperlink r:id="rId22" ref="G22"/>
    <hyperlink r:id="rId23" ref="C23"/>
    <hyperlink r:id="rId24" ref="G23"/>
    <hyperlink r:id="rId25" ref="G24"/>
    <hyperlink r:id="rId26" ref="G25"/>
    <hyperlink r:id="rId27" ref="G26"/>
    <hyperlink r:id="rId28" ref="G27"/>
    <hyperlink r:id="rId29" ref="G28"/>
    <hyperlink r:id="rId30" ref="G29"/>
    <hyperlink r:id="rId31" ref="G30"/>
    <hyperlink r:id="rId32" ref="G31"/>
    <hyperlink r:id="rId33" ref="G32"/>
    <hyperlink r:id="rId34" ref="G33"/>
    <hyperlink r:id="rId35" ref="G34"/>
    <hyperlink r:id="rId36" ref="G35"/>
    <hyperlink r:id="rId37" ref="G36"/>
    <hyperlink r:id="rId38" ref="G37"/>
    <hyperlink r:id="rId39" ref="G38"/>
    <hyperlink r:id="rId40" ref="G39"/>
    <hyperlink r:id="rId41" ref="G40"/>
    <hyperlink r:id="rId42" ref="G41"/>
    <hyperlink r:id="rId43" ref="G42"/>
    <hyperlink r:id="rId44" ref="G43"/>
    <hyperlink r:id="rId45" ref="G44"/>
    <hyperlink r:id="rId46" ref="G45"/>
    <hyperlink r:id="rId47" ref="G46"/>
    <hyperlink r:id="rId48" ref="G47"/>
    <hyperlink r:id="rId49" ref="C48"/>
    <hyperlink r:id="rId50" ref="G48"/>
    <hyperlink r:id="rId51" ref="G49"/>
    <hyperlink r:id="rId52" ref="G50"/>
    <hyperlink r:id="rId53" ref="G51"/>
    <hyperlink r:id="rId54" ref="G52"/>
    <hyperlink r:id="rId55" ref="G53"/>
    <hyperlink r:id="rId56" ref="G54"/>
    <hyperlink r:id="rId57" ref="G55"/>
    <hyperlink r:id="rId58" ref="G56"/>
    <hyperlink r:id="rId59" ref="G57"/>
    <hyperlink r:id="rId60" ref="G58"/>
    <hyperlink r:id="rId61" ref="G59"/>
    <hyperlink r:id="rId62" ref="G60"/>
    <hyperlink r:id="rId63" ref="G61"/>
    <hyperlink r:id="rId64" ref="G62"/>
    <hyperlink r:id="rId65" ref="G63"/>
    <hyperlink r:id="rId66" ref="G64"/>
    <hyperlink r:id="rId67" ref="G65"/>
    <hyperlink r:id="rId68" ref="G66"/>
    <hyperlink r:id="rId69" ref="G67"/>
    <hyperlink r:id="rId70" ref="G68"/>
    <hyperlink r:id="rId71" ref="C69"/>
    <hyperlink r:id="rId72" ref="G69"/>
    <hyperlink r:id="rId73" ref="G70"/>
    <hyperlink r:id="rId74" ref="G71"/>
    <hyperlink r:id="rId75" ref="G72"/>
    <hyperlink r:id="rId76" ref="G73"/>
    <hyperlink r:id="rId77" ref="G74"/>
    <hyperlink r:id="rId78" ref="G75"/>
    <hyperlink r:id="rId79" ref="G76"/>
    <hyperlink r:id="rId80" ref="G77"/>
    <hyperlink r:id="rId81" ref="G78"/>
    <hyperlink r:id="rId82" ref="G79"/>
    <hyperlink r:id="rId83" ref="G80"/>
    <hyperlink r:id="rId84" ref="G81"/>
    <hyperlink r:id="rId85" ref="G82"/>
    <hyperlink r:id="rId86" ref="G83"/>
    <hyperlink r:id="rId87" ref="G84"/>
    <hyperlink r:id="rId88" ref="G85"/>
    <hyperlink r:id="rId89" ref="G86"/>
    <hyperlink r:id="rId90" ref="G87"/>
    <hyperlink r:id="rId91" ref="G88"/>
    <hyperlink r:id="rId92" ref="G89"/>
    <hyperlink r:id="rId93" ref="G90"/>
    <hyperlink r:id="rId94" ref="G91"/>
    <hyperlink r:id="rId95" ref="G92"/>
    <hyperlink r:id="rId96" ref="G93"/>
    <hyperlink r:id="rId97" ref="G94"/>
    <hyperlink r:id="rId98" ref="G95"/>
    <hyperlink r:id="rId99" ref="G96"/>
    <hyperlink r:id="rId100" ref="G97"/>
    <hyperlink r:id="rId101" ref="G98"/>
    <hyperlink r:id="rId102" ref="G99"/>
    <hyperlink r:id="rId103" ref="G100"/>
    <hyperlink r:id="rId104" ref="G101"/>
    <hyperlink r:id="rId105" ref="G102"/>
    <hyperlink r:id="rId106" ref="G103"/>
    <hyperlink r:id="rId107" ref="G104"/>
    <hyperlink r:id="rId108" ref="C105"/>
    <hyperlink r:id="rId109" ref="G105"/>
    <hyperlink r:id="rId110" ref="G106"/>
    <hyperlink r:id="rId111" ref="G107"/>
    <hyperlink r:id="rId112" ref="G108"/>
    <hyperlink r:id="rId113" ref="G109"/>
    <hyperlink r:id="rId114" ref="G110"/>
    <hyperlink r:id="rId115" ref="G111"/>
    <hyperlink r:id="rId116" ref="G112"/>
    <hyperlink r:id="rId117" ref="G113"/>
    <hyperlink r:id="rId118" ref="G114"/>
    <hyperlink r:id="rId119" ref="G115"/>
    <hyperlink r:id="rId120" ref="G116"/>
    <hyperlink r:id="rId121" ref="G117"/>
    <hyperlink r:id="rId122" ref="G118"/>
    <hyperlink r:id="rId123" ref="G119"/>
    <hyperlink r:id="rId124" location="google_vignette" ref="G120"/>
    <hyperlink r:id="rId125" ref="G121"/>
    <hyperlink r:id="rId126" ref="G122"/>
    <hyperlink r:id="rId127" ref="G123"/>
    <hyperlink r:id="rId128" ref="G124"/>
    <hyperlink r:id="rId129" ref="G125"/>
    <hyperlink r:id="rId130" ref="G126"/>
    <hyperlink r:id="rId131" ref="G127"/>
    <hyperlink r:id="rId132" ref="G128"/>
    <hyperlink r:id="rId133" ref="G129"/>
    <hyperlink r:id="rId134" ref="G130"/>
    <hyperlink r:id="rId135" ref="G131"/>
    <hyperlink r:id="rId136" ref="G132"/>
    <hyperlink r:id="rId137" ref="G133"/>
    <hyperlink r:id="rId138" ref="G134"/>
    <hyperlink r:id="rId139" ref="G135"/>
    <hyperlink r:id="rId140" ref="G136"/>
    <hyperlink r:id="rId141" ref="G137"/>
    <hyperlink r:id="rId142" ref="G138"/>
    <hyperlink r:id="rId143" ref="G139"/>
    <hyperlink r:id="rId144" ref="G140"/>
    <hyperlink r:id="rId145" ref="G141"/>
    <hyperlink r:id="rId146" ref="G142"/>
    <hyperlink r:id="rId147" ref="G143"/>
    <hyperlink r:id="rId148" ref="G144"/>
    <hyperlink r:id="rId149" ref="G145"/>
    <hyperlink r:id="rId150" ref="G146"/>
    <hyperlink r:id="rId151" ref="G147"/>
    <hyperlink r:id="rId152" ref="G148"/>
    <hyperlink r:id="rId153" ref="G149"/>
    <hyperlink r:id="rId154" ref="G150"/>
    <hyperlink r:id="rId155" ref="G151"/>
    <hyperlink r:id="rId156" ref="G152"/>
    <hyperlink r:id="rId157" ref="G153"/>
    <hyperlink r:id="rId158" ref="G154"/>
    <hyperlink r:id="rId159" ref="G155"/>
    <hyperlink r:id="rId160" ref="G156"/>
    <hyperlink r:id="rId161" ref="G157"/>
    <hyperlink r:id="rId162" ref="G158"/>
    <hyperlink r:id="rId163" ref="G159"/>
    <hyperlink r:id="rId164" ref="G160"/>
    <hyperlink r:id="rId165" ref="G161"/>
    <hyperlink r:id="rId166" ref="G162"/>
    <hyperlink r:id="rId167" ref="G163"/>
    <hyperlink r:id="rId168" ref="G164"/>
    <hyperlink r:id="rId169" ref="G165"/>
    <hyperlink r:id="rId170" ref="G166"/>
    <hyperlink r:id="rId171" ref="G167"/>
    <hyperlink r:id="rId172" ref="G168"/>
    <hyperlink r:id="rId173" ref="G169"/>
    <hyperlink r:id="rId174" ref="G170"/>
    <hyperlink r:id="rId175" ref="G171"/>
    <hyperlink r:id="rId176" ref="G172"/>
    <hyperlink r:id="rId177" ref="G173"/>
    <hyperlink r:id="rId178" ref="G174"/>
    <hyperlink r:id="rId179" ref="F175"/>
    <hyperlink r:id="rId180" ref="G175"/>
    <hyperlink r:id="rId181" ref="G176"/>
    <hyperlink r:id="rId182" ref="G177"/>
    <hyperlink r:id="rId183" ref="G178"/>
    <hyperlink r:id="rId184" ref="G179"/>
    <hyperlink r:id="rId185" ref="G180"/>
    <hyperlink r:id="rId186" ref="G181"/>
    <hyperlink r:id="rId187" ref="G182"/>
    <hyperlink r:id="rId188" ref="G183"/>
    <hyperlink r:id="rId189" ref="G184"/>
    <hyperlink r:id="rId190" ref="G185"/>
    <hyperlink r:id="rId191" ref="G186"/>
    <hyperlink r:id="rId192" ref="G187"/>
    <hyperlink r:id="rId193" ref="G188"/>
    <hyperlink r:id="rId194" ref="G189"/>
    <hyperlink r:id="rId195" ref="G190"/>
    <hyperlink r:id="rId196" ref="G191"/>
    <hyperlink r:id="rId197" ref="G192"/>
    <hyperlink r:id="rId198" ref="G193"/>
    <hyperlink r:id="rId199" ref="G194"/>
    <hyperlink r:id="rId200" ref="G195"/>
    <hyperlink r:id="rId201" ref="G196"/>
    <hyperlink r:id="rId202" ref="G197"/>
    <hyperlink r:id="rId203" ref="G198"/>
    <hyperlink r:id="rId204" ref="G199"/>
    <hyperlink r:id="rId205" ref="G200"/>
    <hyperlink r:id="rId206" ref="C201"/>
    <hyperlink r:id="rId207" location=":~:text=Investing%20in%20real%20estate%20in,attracts%20both%20homebuyers%20and%20speculators" ref="G201"/>
    <hyperlink r:id="rId208" ref="C202"/>
    <hyperlink r:id="rId209" ref="G202"/>
    <hyperlink r:id="rId210" ref="G203"/>
    <hyperlink r:id="rId211" ref="G204"/>
    <hyperlink r:id="rId212" ref="G205"/>
    <hyperlink r:id="rId213" ref="G206"/>
    <hyperlink r:id="rId214" ref="G207"/>
    <hyperlink r:id="rId215" ref="G208"/>
    <hyperlink r:id="rId216" ref="G209"/>
    <hyperlink r:id="rId217" ref="G210"/>
    <hyperlink r:id="rId218" ref="G211"/>
  </hyperlinks>
  <drawing r:id="rId2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21.13"/>
    <col customWidth="1" min="3" max="3" width="27.75"/>
    <col customWidth="1" min="4" max="4" width="19.88"/>
    <col customWidth="1" min="5" max="5" width="17.25"/>
  </cols>
  <sheetData>
    <row r="1">
      <c r="A1" s="470" t="s">
        <v>1047</v>
      </c>
      <c r="B1" s="470" t="s">
        <v>50</v>
      </c>
      <c r="C1" s="470" t="s">
        <v>51</v>
      </c>
      <c r="D1" s="470" t="s">
        <v>54</v>
      </c>
      <c r="E1" s="470" t="s">
        <v>55</v>
      </c>
      <c r="F1" s="470" t="s">
        <v>56</v>
      </c>
    </row>
    <row r="2">
      <c r="A2" s="472">
        <v>43935.0</v>
      </c>
      <c r="B2" s="22" t="s">
        <v>24</v>
      </c>
      <c r="C2" s="503" t="s">
        <v>101</v>
      </c>
      <c r="D2" s="503" t="s">
        <v>2700</v>
      </c>
      <c r="E2" s="504" t="s">
        <v>2701</v>
      </c>
      <c r="F2" s="14" t="s">
        <v>339</v>
      </c>
    </row>
    <row r="3">
      <c r="A3" s="472">
        <v>44009.0</v>
      </c>
      <c r="B3" s="22" t="s">
        <v>24</v>
      </c>
      <c r="C3" s="503" t="s">
        <v>58</v>
      </c>
      <c r="D3" s="503" t="s">
        <v>2702</v>
      </c>
      <c r="E3" s="505" t="s">
        <v>2703</v>
      </c>
      <c r="F3" s="14" t="s">
        <v>339</v>
      </c>
    </row>
    <row r="4">
      <c r="A4" s="472">
        <v>44042.0</v>
      </c>
      <c r="B4" s="22" t="s">
        <v>24</v>
      </c>
      <c r="C4" s="503" t="s">
        <v>2201</v>
      </c>
      <c r="D4" s="503" t="s">
        <v>2704</v>
      </c>
      <c r="E4" s="505" t="s">
        <v>2705</v>
      </c>
      <c r="F4" s="14" t="s">
        <v>339</v>
      </c>
    </row>
    <row r="5">
      <c r="A5" s="472">
        <v>44105.0</v>
      </c>
      <c r="B5" s="22" t="s">
        <v>24</v>
      </c>
      <c r="C5" s="503" t="s">
        <v>374</v>
      </c>
      <c r="D5" s="503" t="s">
        <v>2706</v>
      </c>
      <c r="E5" s="505" t="s">
        <v>2707</v>
      </c>
      <c r="F5" s="14" t="s">
        <v>339</v>
      </c>
    </row>
    <row r="6">
      <c r="A6" s="472">
        <v>44109.0</v>
      </c>
      <c r="B6" s="22" t="s">
        <v>24</v>
      </c>
      <c r="C6" s="503" t="s">
        <v>68</v>
      </c>
      <c r="D6" s="503" t="s">
        <v>2708</v>
      </c>
      <c r="E6" s="505" t="s">
        <v>2709</v>
      </c>
      <c r="F6" s="14" t="s">
        <v>339</v>
      </c>
    </row>
    <row r="7">
      <c r="A7" s="472">
        <v>43831.0</v>
      </c>
      <c r="B7" s="22" t="s">
        <v>24</v>
      </c>
      <c r="C7" s="503" t="s">
        <v>77</v>
      </c>
      <c r="D7" s="503" t="s">
        <v>2710</v>
      </c>
      <c r="E7" s="505" t="s">
        <v>2711</v>
      </c>
      <c r="F7" s="14" t="s">
        <v>339</v>
      </c>
    </row>
    <row r="8">
      <c r="A8" s="472">
        <v>43920.0</v>
      </c>
      <c r="B8" s="22" t="s">
        <v>24</v>
      </c>
      <c r="C8" s="503" t="s">
        <v>77</v>
      </c>
      <c r="D8" s="503" t="s">
        <v>2712</v>
      </c>
      <c r="E8" s="505" t="s">
        <v>2713</v>
      </c>
      <c r="F8" s="14" t="s">
        <v>339</v>
      </c>
    </row>
    <row r="9">
      <c r="A9" s="472">
        <v>43915.0</v>
      </c>
      <c r="B9" s="22" t="s">
        <v>24</v>
      </c>
      <c r="C9" s="503" t="s">
        <v>2714</v>
      </c>
      <c r="D9" s="503" t="s">
        <v>2715</v>
      </c>
      <c r="E9" s="505" t="s">
        <v>2716</v>
      </c>
      <c r="F9" s="14" t="s">
        <v>339</v>
      </c>
    </row>
    <row r="10">
      <c r="A10" s="472">
        <v>44091.0</v>
      </c>
      <c r="B10" s="22" t="s">
        <v>24</v>
      </c>
      <c r="C10" s="503" t="s">
        <v>2717</v>
      </c>
      <c r="D10" s="503" t="s">
        <v>2718</v>
      </c>
      <c r="E10" s="505" t="s">
        <v>2719</v>
      </c>
      <c r="F10" s="14" t="s">
        <v>339</v>
      </c>
    </row>
    <row r="11">
      <c r="A11" s="472">
        <v>44137.0</v>
      </c>
      <c r="B11" s="22" t="s">
        <v>24</v>
      </c>
      <c r="C11" s="503" t="s">
        <v>374</v>
      </c>
      <c r="D11" s="503" t="s">
        <v>2720</v>
      </c>
      <c r="E11" s="505" t="s">
        <v>2721</v>
      </c>
      <c r="F11" s="14" t="s">
        <v>339</v>
      </c>
    </row>
    <row r="12">
      <c r="A12" s="472">
        <v>43947.0</v>
      </c>
      <c r="B12" s="22" t="s">
        <v>24</v>
      </c>
      <c r="C12" s="503" t="s">
        <v>2722</v>
      </c>
      <c r="D12" s="503" t="s">
        <v>2723</v>
      </c>
      <c r="E12" s="505" t="s">
        <v>2724</v>
      </c>
      <c r="F12" s="14" t="s">
        <v>339</v>
      </c>
    </row>
    <row r="13">
      <c r="A13" s="472">
        <v>43963.0</v>
      </c>
      <c r="B13" s="22" t="s">
        <v>24</v>
      </c>
      <c r="C13" s="503" t="s">
        <v>2725</v>
      </c>
      <c r="D13" s="503" t="s">
        <v>2726</v>
      </c>
      <c r="E13" s="505" t="s">
        <v>2727</v>
      </c>
      <c r="F13" s="14" t="s">
        <v>339</v>
      </c>
    </row>
    <row r="14">
      <c r="A14" s="472">
        <v>43873.0</v>
      </c>
      <c r="B14" s="22" t="s">
        <v>24</v>
      </c>
      <c r="C14" s="503" t="s">
        <v>2722</v>
      </c>
      <c r="D14" s="503" t="s">
        <v>2728</v>
      </c>
      <c r="E14" s="505" t="s">
        <v>2729</v>
      </c>
      <c r="F14" s="14" t="s">
        <v>339</v>
      </c>
    </row>
    <row r="15">
      <c r="A15" s="472">
        <v>44089.0</v>
      </c>
      <c r="B15" s="22" t="s">
        <v>24</v>
      </c>
      <c r="C15" s="503" t="s">
        <v>2730</v>
      </c>
      <c r="D15" s="503" t="s">
        <v>2731</v>
      </c>
      <c r="E15" s="504" t="s">
        <v>2732</v>
      </c>
      <c r="F15" s="14" t="s">
        <v>2733</v>
      </c>
    </row>
  </sheetData>
  <autoFilter ref="$C$1:$F$15"/>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s>
  <drawing r:id="rId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88"/>
  </cols>
  <sheetData>
    <row r="1">
      <c r="A1" s="506" t="str">
        <f>IFERROR(__xludf.DUMMYFUNCTION("QUERY({'2020'!A1:F15;'2021'!A2:F39;'2022'!A6:F203;'2023'!A6:F207},""SELECT * WHERE Col5 != 'Print'"")"),"Date")</f>
        <v>Date</v>
      </c>
      <c r="B1" s="506" t="str">
        <f>IFERROR(__xludf.DUMMYFUNCTION("""COMPUTED_VALUE"""),"Media Tier")</f>
        <v>Media Tier</v>
      </c>
      <c r="C1" s="506" t="str">
        <f>IFERROR(__xludf.DUMMYFUNCTION("""COMPUTED_VALUE"""),"Media")</f>
        <v>Media</v>
      </c>
      <c r="D1" s="506" t="str">
        <f>IFERROR(__xludf.DUMMYFUNCTION("""COMPUTED_VALUE"""),"Title")</f>
        <v>Title</v>
      </c>
      <c r="E1" s="506" t="str">
        <f>IFERROR(__xludf.DUMMYFUNCTION("""COMPUTED_VALUE"""),"Link")</f>
        <v>Link</v>
      </c>
      <c r="F1" s="506" t="str">
        <f>IFERROR(__xludf.DUMMYFUNCTION("""COMPUTED_VALUE"""),"Brand")</f>
        <v>Brand</v>
      </c>
    </row>
    <row r="2">
      <c r="A2" s="402">
        <f>IFERROR(__xludf.DUMMYFUNCTION("""COMPUTED_VALUE"""),43935.0)</f>
        <v>43935</v>
      </c>
      <c r="B2" s="368" t="str">
        <f>IFERROR(__xludf.DUMMYFUNCTION("""COMPUTED_VALUE"""),"-")</f>
        <v>-</v>
      </c>
      <c r="C2" s="368" t="str">
        <f>IFERROR(__xludf.DUMMYFUNCTION("""COMPUTED_VALUE"""),"Trade Arabia")</f>
        <v>Trade Arabia</v>
      </c>
      <c r="D2" s="368" t="str">
        <f>IFERROR(__xludf.DUMMYFUNCTION("""COMPUTED_VALUE"""),"Business as usual for movers in Dubai amid lockdown")</f>
        <v>Business as usual for movers in Dubai amid lockdown</v>
      </c>
      <c r="E2" s="507" t="str">
        <f>IFERROR(__xludf.DUMMYFUNCTION("""COMPUTED_VALUE"""),"http://tradearabia.com/news/CONS_366645.html")</f>
        <v>http://tradearabia.com/news/CONS_366645.html</v>
      </c>
      <c r="F2" s="368" t="str">
        <f>IFERROR(__xludf.DUMMYFUNCTION("""COMPUTED_VALUE"""),"Betterhomes")</f>
        <v>Betterhomes</v>
      </c>
    </row>
    <row r="3">
      <c r="A3" s="402">
        <f>IFERROR(__xludf.DUMMYFUNCTION("""COMPUTED_VALUE"""),44009.0)</f>
        <v>44009</v>
      </c>
      <c r="B3" s="368" t="str">
        <f>IFERROR(__xludf.DUMMYFUNCTION("""COMPUTED_VALUE"""),"-")</f>
        <v>-</v>
      </c>
      <c r="C3" s="368" t="str">
        <f>IFERROR(__xludf.DUMMYFUNCTION("""COMPUTED_VALUE"""),"Khaleej Times")</f>
        <v>Khaleej Times</v>
      </c>
      <c r="D3" s="368" t="str">
        <f>IFERROR(__xludf.DUMMYFUNCTION("""COMPUTED_VALUE"""),"Residential rents in Dubai see a sharp drop, especially in these areas")</f>
        <v>Residential rents in Dubai see a sharp drop, especially in these areas</v>
      </c>
      <c r="E3" s="507" t="str">
        <f>IFERROR(__xludf.DUMMYFUNCTION("""COMPUTED_VALUE"""),"https://www.khaleejtimes.com/business/real-estate/residential-rents-in-dubai-see-a-sharp-drop-especially-in-these-areas--")</f>
        <v>https://www.khaleejtimes.com/business/real-estate/residential-rents-in-dubai-see-a-sharp-drop-especially-in-these-areas--</v>
      </c>
      <c r="F3" s="368" t="str">
        <f>IFERROR(__xludf.DUMMYFUNCTION("""COMPUTED_VALUE"""),"Betterhomes")</f>
        <v>Betterhomes</v>
      </c>
    </row>
    <row r="4">
      <c r="A4" s="402">
        <f>IFERROR(__xludf.DUMMYFUNCTION("""COMPUTED_VALUE"""),44042.0)</f>
        <v>44042</v>
      </c>
      <c r="B4" s="368" t="str">
        <f>IFERROR(__xludf.DUMMYFUNCTION("""COMPUTED_VALUE"""),"-")</f>
        <v>-</v>
      </c>
      <c r="C4" s="368" t="str">
        <f>IFERROR(__xludf.DUMMYFUNCTION("""COMPUTED_VALUE"""),"Zawaya")</f>
        <v>Zawaya</v>
      </c>
      <c r="D4" s="368" t="str">
        <f>IFERROR(__xludf.DUMMYFUNCTION("""COMPUTED_VALUE"""),"How Dubai's new Route 2020 will drive demand for residential, commercial properties")</f>
        <v>How Dubai's new Route 2020 will drive demand for residential, commercial properties</v>
      </c>
      <c r="E4" s="507" t="str">
        <f>IFERROR(__xludf.DUMMYFUNCTION("""COMPUTED_VALUE"""),"https://www.zawya.com/mena/en/business/story/How_Dubais_new_Route_2020_will_drive_demand_for_residential_commercial_properties-ZAWYA20200730052256/")</f>
        <v>https://www.zawya.com/mena/en/business/story/How_Dubais_new_Route_2020_will_drive_demand_for_residential_commercial_properties-ZAWYA20200730052256/</v>
      </c>
      <c r="F4" s="368" t="str">
        <f>IFERROR(__xludf.DUMMYFUNCTION("""COMPUTED_VALUE"""),"Betterhomes")</f>
        <v>Betterhomes</v>
      </c>
    </row>
    <row r="5">
      <c r="A5" s="402">
        <f>IFERROR(__xludf.DUMMYFUNCTION("""COMPUTED_VALUE"""),44105.0)</f>
        <v>44105</v>
      </c>
      <c r="B5" s="368" t="str">
        <f>IFERROR(__xludf.DUMMYFUNCTION("""COMPUTED_VALUE"""),"-")</f>
        <v>-</v>
      </c>
      <c r="C5" s="368" t="str">
        <f>IFERROR(__xludf.DUMMYFUNCTION("""COMPUTED_VALUE"""),"Gulf News")</f>
        <v>Gulf News</v>
      </c>
      <c r="D5" s="368" t="str">
        <f>IFERROR(__xludf.DUMMYFUNCTION("""COMPUTED_VALUE"""),"Living in Jumeirah meant compounds with common pools, says Dubai’s villa lady")</f>
        <v>Living in Jumeirah meant compounds with common pools, says Dubai’s villa lady</v>
      </c>
      <c r="E5" s="507" t="str">
        <f>IFERROR(__xludf.DUMMYFUNCTION("""COMPUTED_VALUE"""),"https://gulfnews.com/business/property/living-in-jumeirah-meant-compounds-with-common-pools-says-dubais-villa-lady-1.1601554872716")</f>
        <v>https://gulfnews.com/business/property/living-in-jumeirah-meant-compounds-with-common-pools-says-dubais-villa-lady-1.1601554872716</v>
      </c>
      <c r="F5" s="368" t="str">
        <f>IFERROR(__xludf.DUMMYFUNCTION("""COMPUTED_VALUE"""),"Betterhomes")</f>
        <v>Betterhomes</v>
      </c>
    </row>
    <row r="6">
      <c r="A6" s="402">
        <f>IFERROR(__xludf.DUMMYFUNCTION("""COMPUTED_VALUE"""),44109.0)</f>
        <v>44109</v>
      </c>
      <c r="B6" s="368" t="str">
        <f>IFERROR(__xludf.DUMMYFUNCTION("""COMPUTED_VALUE"""),"-")</f>
        <v>-</v>
      </c>
      <c r="C6" s="368" t="str">
        <f>IFERROR(__xludf.DUMMYFUNCTION("""COMPUTED_VALUE"""),"Construction Week")</f>
        <v>Construction Week</v>
      </c>
      <c r="D6" s="368" t="str">
        <f>IFERROR(__xludf.DUMMYFUNCTION("""COMPUTED_VALUE"""),"Podcast: Dubai's new brokerage for working mothers")</f>
        <v>Podcast: Dubai's new brokerage for working mothers</v>
      </c>
      <c r="E6" s="507" t="str">
        <f>IFERROR(__xludf.DUMMYFUNCTION("""COMPUTED_VALUE"""),"https://www.constructionweekonline.com/business/267754-podcast-dubais-new-brokerage-for-working-mothers")</f>
        <v>https://www.constructionweekonline.com/business/267754-podcast-dubais-new-brokerage-for-working-mothers</v>
      </c>
      <c r="F6" s="368" t="str">
        <f>IFERROR(__xludf.DUMMYFUNCTION("""COMPUTED_VALUE"""),"Betterhomes")</f>
        <v>Betterhomes</v>
      </c>
    </row>
    <row r="7">
      <c r="A7" s="402">
        <f>IFERROR(__xludf.DUMMYFUNCTION("""COMPUTED_VALUE"""),43831.0)</f>
        <v>43831</v>
      </c>
      <c r="B7" s="368" t="str">
        <f>IFERROR(__xludf.DUMMYFUNCTION("""COMPUTED_VALUE"""),"-")</f>
        <v>-</v>
      </c>
      <c r="C7" s="368" t="str">
        <f>IFERROR(__xludf.DUMMYFUNCTION("""COMPUTED_VALUE"""),"Arabian Business")</f>
        <v>Arabian Business</v>
      </c>
      <c r="D7" s="368" t="str">
        <f>IFERROR(__xludf.DUMMYFUNCTION("""COMPUTED_VALUE"""),"The best of the best: All the major award winners from 2019")</f>
        <v>The best of the best: All the major award winners from 2019</v>
      </c>
      <c r="E7" s="507" t="str">
        <f>IFERROR(__xludf.DUMMYFUNCTION("""COMPUTED_VALUE"""),"https://www.arabianbusiness.com/events/436138-the-best-of-the-best-all-the-major-award-winners-from-2019")</f>
        <v>https://www.arabianbusiness.com/events/436138-the-best-of-the-best-all-the-major-award-winners-from-2019</v>
      </c>
      <c r="F7" s="368" t="str">
        <f>IFERROR(__xludf.DUMMYFUNCTION("""COMPUTED_VALUE"""),"Betterhomes")</f>
        <v>Betterhomes</v>
      </c>
    </row>
    <row r="8">
      <c r="A8" s="402">
        <f>IFERROR(__xludf.DUMMYFUNCTION("""COMPUTED_VALUE"""),43920.0)</f>
        <v>43920</v>
      </c>
      <c r="B8" s="368" t="str">
        <f>IFERROR(__xludf.DUMMYFUNCTION("""COMPUTED_VALUE"""),"-")</f>
        <v>-</v>
      </c>
      <c r="C8" s="368" t="str">
        <f>IFERROR(__xludf.DUMMYFUNCTION("""COMPUTED_VALUE"""),"Arabian Business")</f>
        <v>Arabian Business</v>
      </c>
      <c r="D8" s="368" t="str">
        <f>IFERROR(__xludf.DUMMYFUNCTION("""COMPUTED_VALUE"""),"Coronavirus: What impact will Covid-19 have on Dubai's property market?")</f>
        <v>Coronavirus: What impact will Covid-19 have on Dubai's property market?</v>
      </c>
      <c r="E8" s="507" t="str">
        <f>IFERROR(__xludf.DUMMYFUNCTION("""COMPUTED_VALUE"""),"https://www.arabianbusiness.com/property/443757-coronavirus-what-impact-will-covid-19-have-on-dubais-property-market")</f>
        <v>https://www.arabianbusiness.com/property/443757-coronavirus-what-impact-will-covid-19-have-on-dubais-property-market</v>
      </c>
      <c r="F8" s="368" t="str">
        <f>IFERROR(__xludf.DUMMYFUNCTION("""COMPUTED_VALUE"""),"Betterhomes")</f>
        <v>Betterhomes</v>
      </c>
    </row>
    <row r="9">
      <c r="A9" s="402">
        <f>IFERROR(__xludf.DUMMYFUNCTION("""COMPUTED_VALUE"""),43915.0)</f>
        <v>43915</v>
      </c>
      <c r="B9" s="368" t="str">
        <f>IFERROR(__xludf.DUMMYFUNCTION("""COMPUTED_VALUE"""),"-")</f>
        <v>-</v>
      </c>
      <c r="C9" s="368" t="str">
        <f>IFERROR(__xludf.DUMMYFUNCTION("""COMPUTED_VALUE"""),"Global Business Outlook")</f>
        <v>Global Business Outlook</v>
      </c>
      <c r="D9" s="368" t="str">
        <f>IFERROR(__xludf.DUMMYFUNCTION("""COMPUTED_VALUE"""),"Dubai real estate market ‘will tremendously improve after Covid-19")</f>
        <v>Dubai real estate market ‘will tremendously improve after Covid-19</v>
      </c>
      <c r="E9" s="507" t="str">
        <f>IFERROR(__xludf.DUMMYFUNCTION("""COMPUTED_VALUE"""),"https://www.globalbusinessoutlook.com/dubai-real-estate-market-will-tremendously-improve-after-covid-19/")</f>
        <v>https://www.globalbusinessoutlook.com/dubai-real-estate-market-will-tremendously-improve-after-covid-19/</v>
      </c>
      <c r="F9" s="368" t="str">
        <f>IFERROR(__xludf.DUMMYFUNCTION("""COMPUTED_VALUE"""),"Betterhomes")</f>
        <v>Betterhomes</v>
      </c>
    </row>
    <row r="10">
      <c r="A10" s="402">
        <f>IFERROR(__xludf.DUMMYFUNCTION("""COMPUTED_VALUE"""),44091.0)</f>
        <v>44091</v>
      </c>
      <c r="B10" s="368" t="str">
        <f>IFERROR(__xludf.DUMMYFUNCTION("""COMPUTED_VALUE"""),"-")</f>
        <v>-</v>
      </c>
      <c r="C10" s="368" t="str">
        <f>IFERROR(__xludf.DUMMYFUNCTION("""COMPUTED_VALUE"""),"Euonews")</f>
        <v>Euonews</v>
      </c>
      <c r="D10" s="368" t="str">
        <f>IFERROR(__xludf.DUMMYFUNCTION("""COMPUTED_VALUE"""),"Gauging the impact of the global pandemic on the Real Estate market in Dubai")</f>
        <v>Gauging the impact of the global pandemic on the Real Estate market in Dubai</v>
      </c>
      <c r="E10" s="507" t="str">
        <f>IFERROR(__xludf.DUMMYFUNCTION("""COMPUTED_VALUE"""),"https://www.euronews.com/2020/09/16/gauging-the-impact-of-the-global-pandemic-on-the-real-estate-market-in-dubai")</f>
        <v>https://www.euronews.com/2020/09/16/gauging-the-impact-of-the-global-pandemic-on-the-real-estate-market-in-dubai</v>
      </c>
      <c r="F10" s="368" t="str">
        <f>IFERROR(__xludf.DUMMYFUNCTION("""COMPUTED_VALUE"""),"Betterhomes")</f>
        <v>Betterhomes</v>
      </c>
    </row>
    <row r="11">
      <c r="A11" s="402">
        <f>IFERROR(__xludf.DUMMYFUNCTION("""COMPUTED_VALUE"""),44137.0)</f>
        <v>44137</v>
      </c>
      <c r="B11" s="368" t="str">
        <f>IFERROR(__xludf.DUMMYFUNCTION("""COMPUTED_VALUE"""),"-")</f>
        <v>-</v>
      </c>
      <c r="C11" s="368" t="str">
        <f>IFERROR(__xludf.DUMMYFUNCTION("""COMPUTED_VALUE"""),"Gulf News")</f>
        <v>Gulf News</v>
      </c>
      <c r="D11" s="368" t="str">
        <f>IFERROR(__xludf.DUMMYFUNCTION("""COMPUTED_VALUE"""),"Dubai homeowner increased value of property with effective landscaping")</f>
        <v>Dubai homeowner increased value of property with effective landscaping</v>
      </c>
      <c r="E11" s="507" t="str">
        <f>IFERROR(__xludf.DUMMYFUNCTION("""COMPUTED_VALUE"""),"https://gulfnews.com/business/property/dubai-homeowner-increased-value-of-property-with-effective-landscaping-1.1604301168796")</f>
        <v>https://gulfnews.com/business/property/dubai-homeowner-increased-value-of-property-with-effective-landscaping-1.1604301168796</v>
      </c>
      <c r="F11" s="368" t="str">
        <f>IFERROR(__xludf.DUMMYFUNCTION("""COMPUTED_VALUE"""),"Betterhomes")</f>
        <v>Betterhomes</v>
      </c>
    </row>
    <row r="12">
      <c r="A12" s="402">
        <f>IFERROR(__xludf.DUMMYFUNCTION("""COMPUTED_VALUE"""),43947.0)</f>
        <v>43947</v>
      </c>
      <c r="B12" s="368" t="str">
        <f>IFERROR(__xludf.DUMMYFUNCTION("""COMPUTED_VALUE"""),"-")</f>
        <v>-</v>
      </c>
      <c r="C12" s="368" t="str">
        <f>IFERROR(__xludf.DUMMYFUNCTION("""COMPUTED_VALUE"""),"Property Finder Blog")</f>
        <v>Property Finder Blog</v>
      </c>
      <c r="D12" s="368" t="str">
        <f>IFERROR(__xludf.DUMMYFUNCTION("""COMPUTED_VALUE"""),"Renting and Moving During Times of Crisis")</f>
        <v>Renting and Moving During Times of Crisis</v>
      </c>
      <c r="E12" s="507" t="str">
        <f>IFERROR(__xludf.DUMMYFUNCTION("""COMPUTED_VALUE"""),"https://www.propertyfinder.ae/blog/renting-and-moving-during-crisis/")</f>
        <v>https://www.propertyfinder.ae/blog/renting-and-moving-during-crisis/</v>
      </c>
      <c r="F12" s="368" t="str">
        <f>IFERROR(__xludf.DUMMYFUNCTION("""COMPUTED_VALUE"""),"Betterhomes")</f>
        <v>Betterhomes</v>
      </c>
    </row>
    <row r="13">
      <c r="A13" s="402">
        <f>IFERROR(__xludf.DUMMYFUNCTION("""COMPUTED_VALUE"""),43963.0)</f>
        <v>43963</v>
      </c>
      <c r="B13" s="368" t="str">
        <f>IFERROR(__xludf.DUMMYFUNCTION("""COMPUTED_VALUE"""),"-")</f>
        <v>-</v>
      </c>
      <c r="C13" s="368" t="str">
        <f>IFERROR(__xludf.DUMMYFUNCTION("""COMPUTED_VALUE"""),"European Life Magazine")</f>
        <v>European Life Magazine</v>
      </c>
      <c r="D13" s="368" t="str">
        <f>IFERROR(__xludf.DUMMYFUNCTION("""COMPUTED_VALUE"""),"The Post- Crisis Outlook on the UAE Real Estate Market")</f>
        <v>The Post- Crisis Outlook on the UAE Real Estate Market</v>
      </c>
      <c r="E13" s="507" t="str">
        <f>IFERROR(__xludf.DUMMYFUNCTION("""COMPUTED_VALUE"""),"https://www.europeanlifemagazine.com/real-estate/the-post-crisis-outlook-on-the-uae-real-estate-market/")</f>
        <v>https://www.europeanlifemagazine.com/real-estate/the-post-crisis-outlook-on-the-uae-real-estate-market/</v>
      </c>
      <c r="F13" s="368" t="str">
        <f>IFERROR(__xludf.DUMMYFUNCTION("""COMPUTED_VALUE"""),"Betterhomes")</f>
        <v>Betterhomes</v>
      </c>
    </row>
    <row r="14">
      <c r="A14" s="402">
        <f>IFERROR(__xludf.DUMMYFUNCTION("""COMPUTED_VALUE"""),43873.0)</f>
        <v>43873</v>
      </c>
      <c r="B14" s="368" t="str">
        <f>IFERROR(__xludf.DUMMYFUNCTION("""COMPUTED_VALUE"""),"-")</f>
        <v>-</v>
      </c>
      <c r="C14" s="368" t="str">
        <f>IFERROR(__xludf.DUMMYFUNCTION("""COMPUTED_VALUE"""),"Property Finder Blog")</f>
        <v>Property Finder Blog</v>
      </c>
      <c r="D14" s="368" t="str">
        <f>IFERROR(__xludf.DUMMYFUNCTION("""COMPUTED_VALUE"""),"Some more time before the market bottoms out")</f>
        <v>Some more time before the market bottoms out</v>
      </c>
      <c r="E14" s="507" t="str">
        <f>IFERROR(__xludf.DUMMYFUNCTION("""COMPUTED_VALUE"""),"https://www.propertyfinder.ae/blog/some-more-time-before-the-market-bottoms-out/")</f>
        <v>https://www.propertyfinder.ae/blog/some-more-time-before-the-market-bottoms-out/</v>
      </c>
      <c r="F14" s="368" t="str">
        <f>IFERROR(__xludf.DUMMYFUNCTION("""COMPUTED_VALUE"""),"Betterhomes")</f>
        <v>Betterhomes</v>
      </c>
    </row>
    <row r="15">
      <c r="A15" s="402">
        <f>IFERROR(__xludf.DUMMYFUNCTION("""COMPUTED_VALUE"""),44089.0)</f>
        <v>44089</v>
      </c>
      <c r="B15" s="368" t="str">
        <f>IFERROR(__xludf.DUMMYFUNCTION("""COMPUTED_VALUE"""),"-")</f>
        <v>-</v>
      </c>
      <c r="C15" s="368" t="str">
        <f>IFERROR(__xludf.DUMMYFUNCTION("""COMPUTED_VALUE"""),"SME")</f>
        <v>SME</v>
      </c>
      <c r="D15" s="368" t="str">
        <f>IFERROR(__xludf.DUMMYFUNCTION("""COMPUTED_VALUE"""),"Betterhomes launches new real estate brokerage for working parents")</f>
        <v>Betterhomes launches new real estate brokerage for working parents</v>
      </c>
      <c r="E15" s="507" t="str">
        <f>IFERROR(__xludf.DUMMYFUNCTION("""COMPUTED_VALUE"""),"https://www.sme10x.com/10x-industry/betterhomes-launches-new-real-estate-brokerage-for-working-parents")</f>
        <v>https://www.sme10x.com/10x-industry/betterhomes-launches-new-real-estate-brokerage-for-working-parents</v>
      </c>
      <c r="F15" s="368" t="str">
        <f>IFERROR(__xludf.DUMMYFUNCTION("""COMPUTED_VALUE"""),"Betterhomes, Linda's")</f>
        <v>Betterhomes, Linda's</v>
      </c>
    </row>
    <row r="16">
      <c r="A16" s="402">
        <f>IFERROR(__xludf.DUMMYFUNCTION("""COMPUTED_VALUE"""),44308.0)</f>
        <v>44308</v>
      </c>
      <c r="B16" s="368" t="str">
        <f>IFERROR(__xludf.DUMMYFUNCTION("""COMPUTED_VALUE"""),"Tier 3")</f>
        <v>Tier 3</v>
      </c>
      <c r="C16" s="507" t="str">
        <f>IFERROR(__xludf.DUMMYFUNCTION("""COMPUTED_VALUE"""),"PR.com")</f>
        <v>PR.com</v>
      </c>
      <c r="D16" s="368" t="str">
        <f>IFERROR(__xludf.DUMMYFUNCTION("""COMPUTED_VALUE"""),"Betterhomes Released Residential Property Market Report Q1 2021")</f>
        <v>Betterhomes Released Residential Property Market Report Q1 2021</v>
      </c>
      <c r="E16" s="507" t="str">
        <f>IFERROR(__xludf.DUMMYFUNCTION("""COMPUTED_VALUE"""),"https://www.pr.com/press-release/835148")</f>
        <v>https://www.pr.com/press-release/835148</v>
      </c>
      <c r="F16" s="368" t="str">
        <f>IFERROR(__xludf.DUMMYFUNCTION("""COMPUTED_VALUE"""),"Betterhomes")</f>
        <v>Betterhomes</v>
      </c>
    </row>
    <row r="17">
      <c r="A17" s="402">
        <f>IFERROR(__xludf.DUMMYFUNCTION("""COMPUTED_VALUE"""),44308.0)</f>
        <v>44308</v>
      </c>
      <c r="B17" s="368" t="str">
        <f>IFERROR(__xludf.DUMMYFUNCTION("""COMPUTED_VALUE"""),"Tier 2")</f>
        <v>Tier 2</v>
      </c>
      <c r="C17" s="368" t="str">
        <f>IFERROR(__xludf.DUMMYFUNCTION("""COMPUTED_VALUE"""),"Khaleej Times ")</f>
        <v>Khaleej Times </v>
      </c>
      <c r="D17" s="368" t="str">
        <f>IFERROR(__xludf.DUMMYFUNCTION("""COMPUTED_VALUE"""),"Dubai records 27% surge in Q1 property deals")</f>
        <v>Dubai records 27% surge in Q1 property deals</v>
      </c>
      <c r="E17" s="507" t="str">
        <f>IFERROR(__xludf.DUMMYFUNCTION("""COMPUTED_VALUE"""),"https://www.khaleejtimes.com/news/dubai-records-27-surge-in-q1-property-deals")</f>
        <v>https://www.khaleejtimes.com/news/dubai-records-27-surge-in-q1-property-deals</v>
      </c>
      <c r="F17" s="368" t="str">
        <f>IFERROR(__xludf.DUMMYFUNCTION("""COMPUTED_VALUE"""),"Betterhomes")</f>
        <v>Betterhomes</v>
      </c>
    </row>
    <row r="18">
      <c r="A18" s="402">
        <f>IFERROR(__xludf.DUMMYFUNCTION("""COMPUTED_VALUE"""),44308.0)</f>
        <v>44308</v>
      </c>
      <c r="B18" s="368" t="str">
        <f>IFERROR(__xludf.DUMMYFUNCTION("""COMPUTED_VALUE"""),"Tier 3")</f>
        <v>Tier 3</v>
      </c>
      <c r="C18" s="368" t="str">
        <f>IFERROR(__xludf.DUMMYFUNCTION("""COMPUTED_VALUE"""),"Springfiled properties ")</f>
        <v>Springfiled properties </v>
      </c>
      <c r="D18" s="368" t="str">
        <f>IFERROR(__xludf.DUMMYFUNCTION("""COMPUTED_VALUE"""),"Dubai records 27% surge in Q1 property deals")</f>
        <v>Dubai records 27% surge in Q1 property deals</v>
      </c>
      <c r="E18" s="507" t="str">
        <f>IFERROR(__xludf.DUMMYFUNCTION("""COMPUTED_VALUE"""),"https://www.springfield-re.com/dubai-records-27-surge-in-q1-property-deals")</f>
        <v>https://www.springfield-re.com/dubai-records-27-surge-in-q1-property-deals</v>
      </c>
      <c r="F18" s="368" t="str">
        <f>IFERROR(__xludf.DUMMYFUNCTION("""COMPUTED_VALUE"""),"Betterhomes")</f>
        <v>Betterhomes</v>
      </c>
    </row>
    <row r="19">
      <c r="A19" s="402">
        <f>IFERROR(__xludf.DUMMYFUNCTION("""COMPUTED_VALUE"""),44321.0)</f>
        <v>44321</v>
      </c>
      <c r="B19" s="368" t="str">
        <f>IFERROR(__xludf.DUMMYFUNCTION("""COMPUTED_VALUE"""),"Tier 3")</f>
        <v>Tier 3</v>
      </c>
      <c r="C19" s="368" t="str">
        <f>IFERROR(__xludf.DUMMYFUNCTION("""COMPUTED_VALUE"""),"Creativezone ")</f>
        <v>Creativezone </v>
      </c>
      <c r="D19" s="368" t="str">
        <f>IFERROR(__xludf.DUMMYFUNCTION("""COMPUTED_VALUE"""),"Dubai Real Estate: A 2021 Promising Outlook")</f>
        <v>Dubai Real Estate: A 2021 Promising Outlook</v>
      </c>
      <c r="E19" s="507" t="str">
        <f>IFERROR(__xludf.DUMMYFUNCTION("""COMPUTED_VALUE"""),"https://www.creativezone.ae/events/dubai-real-estate-a-2021-promising-outlook/")</f>
        <v>https://www.creativezone.ae/events/dubai-real-estate-a-2021-promising-outlook/</v>
      </c>
      <c r="F19" s="368" t="str">
        <f>IFERROR(__xludf.DUMMYFUNCTION("""COMPUTED_VALUE"""),"Betterhomes")</f>
        <v>Betterhomes</v>
      </c>
    </row>
    <row r="20">
      <c r="A20" s="402">
        <f>IFERROR(__xludf.DUMMYFUNCTION("""COMPUTED_VALUE"""),44411.0)</f>
        <v>44411</v>
      </c>
      <c r="B20" s="368" t="str">
        <f>IFERROR(__xludf.DUMMYFUNCTION("""COMPUTED_VALUE"""),"Tier 2")</f>
        <v>Tier 2</v>
      </c>
      <c r="C20" s="368" t="str">
        <f>IFERROR(__xludf.DUMMYFUNCTION("""COMPUTED_VALUE"""),"Zawaya")</f>
        <v>Zawaya</v>
      </c>
      <c r="D20" s="368" t="str">
        <f>IFERROR(__xludf.DUMMYFUNCTION("""COMPUTED_VALUE"""),"Positive economic &amp; employment sentiment in Dubai boosts property sales in H1 2021")</f>
        <v>Positive economic &amp; employment sentiment in Dubai boosts property sales in H1 2021</v>
      </c>
      <c r="E20" s="507" t="str">
        <f>IFERROR(__xludf.DUMMYFUNCTION("""COMPUTED_VALUE"""),"https://www.zawya.com/uae/en/press-releases/story/Positive_economic__employment_sentiment_in_Dubai_boosts_property_sales_in_H1_2021-ZAWYA20210803062005/")</f>
        <v>https://www.zawya.com/uae/en/press-releases/story/Positive_economic__employment_sentiment_in_Dubai_boosts_property_sales_in_H1_2021-ZAWYA20210803062005/</v>
      </c>
      <c r="F20" s="368" t="str">
        <f>IFERROR(__xludf.DUMMYFUNCTION("""COMPUTED_VALUE"""),"Betterhomes")</f>
        <v>Betterhomes</v>
      </c>
    </row>
    <row r="21">
      <c r="A21" s="402">
        <f>IFERROR(__xludf.DUMMYFUNCTION("""COMPUTED_VALUE"""),44411.0)</f>
        <v>44411</v>
      </c>
      <c r="B21" s="368" t="str">
        <f>IFERROR(__xludf.DUMMYFUNCTION("""COMPUTED_VALUE"""),"Tier 2")</f>
        <v>Tier 2</v>
      </c>
      <c r="C21" s="368" t="str">
        <f>IFERROR(__xludf.DUMMYFUNCTION("""COMPUTED_VALUE"""),"Arabian Business ")</f>
        <v>Arabian Business </v>
      </c>
      <c r="D21" s="368" t="str">
        <f>IFERROR(__xludf.DUMMYFUNCTION("""COMPUTED_VALUE"""),"Dubai broker sees surge in British property buyers amid UAE's latest expat incentives")</f>
        <v>Dubai broker sees surge in British property buyers amid UAE's latest expat incentives</v>
      </c>
      <c r="E21" s="507" t="str">
        <f>IFERROR(__xludf.DUMMYFUNCTION("""COMPUTED_VALUE"""),"https://www.arabianbusiness.com/real-estate/466741-dubai-broker-sees-surge-in-british-property-buyers-amid-uaes-latest-expat-incentives")</f>
        <v>https://www.arabianbusiness.com/real-estate/466741-dubai-broker-sees-surge-in-british-property-buyers-amid-uaes-latest-expat-incentives</v>
      </c>
      <c r="F21" s="368" t="str">
        <f>IFERROR(__xludf.DUMMYFUNCTION("""COMPUTED_VALUE"""),"Betterhomes")</f>
        <v>Betterhomes</v>
      </c>
    </row>
    <row r="22">
      <c r="A22" s="402">
        <f>IFERROR(__xludf.DUMMYFUNCTION("""COMPUTED_VALUE"""),44411.0)</f>
        <v>44411</v>
      </c>
      <c r="B22" s="368" t="str">
        <f>IFERROR(__xludf.DUMMYFUNCTION("""COMPUTED_VALUE"""),"Tier 2")</f>
        <v>Tier 2</v>
      </c>
      <c r="C22" s="368" t="str">
        <f>IFERROR(__xludf.DUMMYFUNCTION("""COMPUTED_VALUE"""),"Khaleej Times ")</f>
        <v>Khaleej Times </v>
      </c>
      <c r="D22" s="368" t="str">
        <f>IFERROR(__xludf.DUMMYFUNCTION("""COMPUTED_VALUE"""),"Dubai realty back in spotlight with deals hitting 10-year high")</f>
        <v>Dubai realty back in spotlight with deals hitting 10-year high</v>
      </c>
      <c r="E22" s="507" t="str">
        <f>IFERROR(__xludf.DUMMYFUNCTION("""COMPUTED_VALUE"""),"https://www.khaleejtimes.com/property/dubai-realty-back-in-spotlight-with-deals-hitting-10-year-high")</f>
        <v>https://www.khaleejtimes.com/property/dubai-realty-back-in-spotlight-with-deals-hitting-10-year-high</v>
      </c>
      <c r="F22" s="368" t="str">
        <f>IFERROR(__xludf.DUMMYFUNCTION("""COMPUTED_VALUE"""),"Betterhomes")</f>
        <v>Betterhomes</v>
      </c>
    </row>
    <row r="23">
      <c r="A23" s="402">
        <f>IFERROR(__xludf.DUMMYFUNCTION("""COMPUTED_VALUE"""),44487.0)</f>
        <v>44487</v>
      </c>
      <c r="B23" s="368" t="str">
        <f>IFERROR(__xludf.DUMMYFUNCTION("""COMPUTED_VALUE"""),"Tier 2")</f>
        <v>Tier 2</v>
      </c>
      <c r="C23" s="368" t="str">
        <f>IFERROR(__xludf.DUMMYFUNCTION("""COMPUTED_VALUE"""),"Zawaya")</f>
        <v>Zawaya</v>
      </c>
      <c r="D23" s="368" t="str">
        <f>IFERROR(__xludf.DUMMYFUNCTION("""COMPUTED_VALUE"""),"Property market sets new records as prices continue to climb in Q3")</f>
        <v>Property market sets new records as prices continue to climb in Q3</v>
      </c>
      <c r="E23" s="507" t="str">
        <f>IFERROR(__xludf.DUMMYFUNCTION("""COMPUTED_VALUE"""),"https://www.zawya.com/mena/en/press-releases/story/Property_market_sets_new_records_as_prices_continue_to_climb_in_Q3-ZAWYA20211018115321/")</f>
        <v>https://www.zawya.com/mena/en/press-releases/story/Property_market_sets_new_records_as_prices_continue_to_climb_in_Q3-ZAWYA20211018115321/</v>
      </c>
      <c r="F23" s="368" t="str">
        <f>IFERROR(__xludf.DUMMYFUNCTION("""COMPUTED_VALUE"""),"Betterhomes")</f>
        <v>Betterhomes</v>
      </c>
    </row>
    <row r="24">
      <c r="A24" s="402">
        <f>IFERROR(__xludf.DUMMYFUNCTION("""COMPUTED_VALUE"""),44487.0)</f>
        <v>44487</v>
      </c>
      <c r="B24" s="368" t="str">
        <f>IFERROR(__xludf.DUMMYFUNCTION("""COMPUTED_VALUE"""),"Tier 3")</f>
        <v>Tier 3</v>
      </c>
      <c r="C24" s="368" t="str">
        <f>IFERROR(__xludf.DUMMYFUNCTION("""COMPUTED_VALUE"""),"Liana Press")</f>
        <v>Liana Press</v>
      </c>
      <c r="D24" s="368" t="str">
        <f>IFERROR(__xludf.DUMMYFUNCTION("""COMPUTED_VALUE"""),"Property market sets new records as prices continue to climb in Q3")</f>
        <v>Property market sets new records as prices continue to climb in Q3</v>
      </c>
      <c r="E24" s="507" t="str">
        <f>IFERROR(__xludf.DUMMYFUNCTION("""COMPUTED_VALUE"""),"https://www.lianapress.ae/releases/construction/property-market-sets-new-records-as-prices-continue-to-climb-in-q3.html")</f>
        <v>https://www.lianapress.ae/releases/construction/property-market-sets-new-records-as-prices-continue-to-climb-in-q3.html</v>
      </c>
      <c r="F24" s="368" t="str">
        <f>IFERROR(__xludf.DUMMYFUNCTION("""COMPUTED_VALUE"""),"Betterhomes")</f>
        <v>Betterhomes</v>
      </c>
    </row>
    <row r="25">
      <c r="A25" s="402">
        <f>IFERROR(__xludf.DUMMYFUNCTION("""COMPUTED_VALUE"""),44488.0)</f>
        <v>44488</v>
      </c>
      <c r="B25" s="368" t="str">
        <f>IFERROR(__xludf.DUMMYFUNCTION("""COMPUTED_VALUE"""),"Tier 3")</f>
        <v>Tier 3</v>
      </c>
      <c r="C25" s="368" t="str">
        <f>IFERROR(__xludf.DUMMYFUNCTION("""COMPUTED_VALUE"""),"UAE Business")</f>
        <v>UAE Business</v>
      </c>
      <c r="D25" s="368" t="str">
        <f>IFERROR(__xludf.DUMMYFUNCTION("""COMPUTED_VALUE"""),"Property market sets new records as prices continue climb in Q3 2021")</f>
        <v>Property market sets new records as prices continue climb in Q3 2021</v>
      </c>
      <c r="E25" s="507" t="str">
        <f>IFERROR(__xludf.DUMMYFUNCTION("""COMPUTED_VALUE"""),"https://uaebusiness.com/2021/10/19/property-market-sets-new-records-as-prices-continue-to-climb-in-q3/")</f>
        <v>https://uaebusiness.com/2021/10/19/property-market-sets-new-records-as-prices-continue-to-climb-in-q3/</v>
      </c>
      <c r="F25" s="368" t="str">
        <f>IFERROR(__xludf.DUMMYFUNCTION("""COMPUTED_VALUE"""),"Betterhomes")</f>
        <v>Betterhomes</v>
      </c>
    </row>
    <row r="26">
      <c r="A26" s="402">
        <f>IFERROR(__xludf.DUMMYFUNCTION("""COMPUTED_VALUE"""),44488.0)</f>
        <v>44488</v>
      </c>
      <c r="B26" s="368" t="str">
        <f>IFERROR(__xludf.DUMMYFUNCTION("""COMPUTED_VALUE"""),"Tier 2")</f>
        <v>Tier 2</v>
      </c>
      <c r="C26" s="368" t="str">
        <f>IFERROR(__xludf.DUMMYFUNCTION("""COMPUTED_VALUE"""),"Property News")</f>
        <v>Property News</v>
      </c>
      <c r="D26" s="368" t="str">
        <f>IFERROR(__xludf.DUMMYFUNCTION("""COMPUTED_VALUE"""),"Property market sets new records as prices continue climb in Q3 2021")</f>
        <v>Property market sets new records as prices continue climb in Q3 2021</v>
      </c>
      <c r="E26" s="507" t="str">
        <f>IFERROR(__xludf.DUMMYFUNCTION("""COMPUTED_VALUE"""),"https://www.propertynews.ae/reports-updates/trends/property-market-sets-new-records-as-prices-continue-to-climb-in-q3/")</f>
        <v>https://www.propertynews.ae/reports-updates/trends/property-market-sets-new-records-as-prices-continue-to-climb-in-q3/</v>
      </c>
      <c r="F26" s="368" t="str">
        <f>IFERROR(__xludf.DUMMYFUNCTION("""COMPUTED_VALUE"""),"Betterhomes")</f>
        <v>Betterhomes</v>
      </c>
    </row>
    <row r="27">
      <c r="A27" s="402">
        <f>IFERROR(__xludf.DUMMYFUNCTION("""COMPUTED_VALUE"""),44488.0)</f>
        <v>44488</v>
      </c>
      <c r="B27" s="368" t="str">
        <f>IFERROR(__xludf.DUMMYFUNCTION("""COMPUTED_VALUE"""),"Tier 2")</f>
        <v>Tier 2</v>
      </c>
      <c r="C27" s="368" t="str">
        <f>IFERROR(__xludf.DUMMYFUNCTION("""COMPUTED_VALUE"""),"Zawaya")</f>
        <v>Zawaya</v>
      </c>
      <c r="D27" s="368" t="str">
        <f>IFERROR(__xludf.DUMMYFUNCTION("""COMPUTED_VALUE"""),"Property market sets new records as prices continue climb in Q3 2021")</f>
        <v>Property market sets new records as prices continue climb in Q3 2021</v>
      </c>
      <c r="E27" s="507" t="str">
        <f>IFERROR(__xludf.DUMMYFUNCTION("""COMPUTED_VALUE"""),"https://www.zawya.com/mena/en/story/amp/ZAWYA20211018115321/")</f>
        <v>https://www.zawya.com/mena/en/story/amp/ZAWYA20211018115321/</v>
      </c>
      <c r="F27" s="368" t="str">
        <f>IFERROR(__xludf.DUMMYFUNCTION("""COMPUTED_VALUE"""),"Betterhomes")</f>
        <v>Betterhomes</v>
      </c>
    </row>
    <row r="28">
      <c r="A28" s="402">
        <f>IFERROR(__xludf.DUMMYFUNCTION("""COMPUTED_VALUE"""),44489.0)</f>
        <v>44489</v>
      </c>
      <c r="B28" s="368" t="str">
        <f>IFERROR(__xludf.DUMMYFUNCTION("""COMPUTED_VALUE"""),"Tier 2")</f>
        <v>Tier 2</v>
      </c>
      <c r="C28" s="368" t="str">
        <f>IFERROR(__xludf.DUMMYFUNCTION("""COMPUTED_VALUE"""),"Construction Week")</f>
        <v>Construction Week</v>
      </c>
      <c r="D28" s="368" t="str">
        <f>IFERROR(__xludf.DUMMYFUNCTION("""COMPUTED_VALUE"""),"Dubai property market sees significant increase in sales transactions")</f>
        <v>Dubai property market sees significant increase in sales transactions</v>
      </c>
      <c r="E28" s="507" t="str">
        <f>IFERROR(__xludf.DUMMYFUNCTION("""COMPUTED_VALUE"""),"https://www.constructionweekonline.com/news/crc-released-dubai-commercial-real-estate-market-report-q3-2021")</f>
        <v>https://www.constructionweekonline.com/news/crc-released-dubai-commercial-real-estate-market-report-q3-2021</v>
      </c>
      <c r="F28" s="368" t="str">
        <f>IFERROR(__xludf.DUMMYFUNCTION("""COMPUTED_VALUE"""),"CRC")</f>
        <v>CRC</v>
      </c>
    </row>
    <row r="29">
      <c r="A29" s="402">
        <f>IFERROR(__xludf.DUMMYFUNCTION("""COMPUTED_VALUE"""),44489.0)</f>
        <v>44489</v>
      </c>
      <c r="B29" s="368" t="str">
        <f>IFERROR(__xludf.DUMMYFUNCTION("""COMPUTED_VALUE"""),"Tier 2")</f>
        <v>Tier 2</v>
      </c>
      <c r="C29" s="368" t="str">
        <f>IFERROR(__xludf.DUMMYFUNCTION("""COMPUTED_VALUE"""),"Zawaya")</f>
        <v>Zawaya</v>
      </c>
      <c r="D29" s="368" t="str">
        <f>IFERROR(__xludf.DUMMYFUNCTION("""COMPUTED_VALUE"""),"CRC released Dubai Commercial Real Estate Market Report Q3 2021")</f>
        <v>CRC released Dubai Commercial Real Estate Market Report Q3 2021</v>
      </c>
      <c r="E29" s="507" t="str">
        <f>IFERROR(__xludf.DUMMYFUNCTION("""COMPUTED_VALUE"""),"https://www.zawya.com/mena/en/press-releases/story/CRC_released_Dubai_Commercial_Real_Estate_Market_Report_Q3_2021-ZAWYA20211020084549/")</f>
        <v>https://www.zawya.com/mena/en/press-releases/story/CRC_released_Dubai_Commercial_Real_Estate_Market_Report_Q3_2021-ZAWYA20211020084549/</v>
      </c>
      <c r="F29" s="368" t="str">
        <f>IFERROR(__xludf.DUMMYFUNCTION("""COMPUTED_VALUE"""),"CRC")</f>
        <v>CRC</v>
      </c>
    </row>
    <row r="30">
      <c r="A30" s="402">
        <f>IFERROR(__xludf.DUMMYFUNCTION("""COMPUTED_VALUE"""),44489.0)</f>
        <v>44489</v>
      </c>
      <c r="B30" s="368" t="str">
        <f>IFERROR(__xludf.DUMMYFUNCTION("""COMPUTED_VALUE"""),"Tier 3")</f>
        <v>Tier 3</v>
      </c>
      <c r="C30" s="368" t="str">
        <f>IFERROR(__xludf.DUMMYFUNCTION("""COMPUTED_VALUE"""),"Industrial Real Estate News")</f>
        <v>Industrial Real Estate News</v>
      </c>
      <c r="D30" s="368" t="str">
        <f>IFERROR(__xludf.DUMMYFUNCTION("""COMPUTED_VALUE"""),"CRC released Dubai Commercial Real Estate Market Report Q3 2021")</f>
        <v>CRC released Dubai Commercial Real Estate Market Report Q3 2021</v>
      </c>
      <c r="E30" s="507" t="str">
        <f>IFERROR(__xludf.DUMMYFUNCTION("""COMPUTED_VALUE"""),"https://industrialrealestatenews.top/crc-released-dubai-commercial-real-estate-market-report-q3-2021/")</f>
        <v>https://industrialrealestatenews.top/crc-released-dubai-commercial-real-estate-market-report-q3-2021/</v>
      </c>
      <c r="F30" s="368" t="str">
        <f>IFERROR(__xludf.DUMMYFUNCTION("""COMPUTED_VALUE"""),"CRC")</f>
        <v>CRC</v>
      </c>
    </row>
    <row r="31">
      <c r="A31" s="402">
        <f>IFERROR(__xludf.DUMMYFUNCTION("""COMPUTED_VALUE"""),44489.0)</f>
        <v>44489</v>
      </c>
      <c r="B31" s="368" t="str">
        <f>IFERROR(__xludf.DUMMYFUNCTION("""COMPUTED_VALUE"""),"Tier 3")</f>
        <v>Tier 3</v>
      </c>
      <c r="C31" s="368" t="str">
        <f>IFERROR(__xludf.DUMMYFUNCTION("""COMPUTED_VALUE"""),"Facilities Management ")</f>
        <v>Facilities Management </v>
      </c>
      <c r="D31" s="368" t="str">
        <f>IFERROR(__xludf.DUMMYFUNCTION("""COMPUTED_VALUE"""),"CRC released Dubai Commercial Real Estate Market Report Q3 2022")</f>
        <v>CRC released Dubai Commercial Real Estate Market Report Q3 2022</v>
      </c>
      <c r="E31" s="507" t="str">
        <f>IFERROR(__xludf.DUMMYFUNCTION("""COMPUTED_VALUE"""),"https://www.fm-middleeast.com/business/crc-released-dubai-commercial-real-estate-market-report-q3-2021")</f>
        <v>https://www.fm-middleeast.com/business/crc-released-dubai-commercial-real-estate-market-report-q3-2021</v>
      </c>
      <c r="F31" s="368" t="str">
        <f>IFERROR(__xludf.DUMMYFUNCTION("""COMPUTED_VALUE"""),"CRC")</f>
        <v>CRC</v>
      </c>
    </row>
    <row r="32">
      <c r="A32" s="402">
        <f>IFERROR(__xludf.DUMMYFUNCTION("""COMPUTED_VALUE"""),44489.0)</f>
        <v>44489</v>
      </c>
      <c r="B32" s="368" t="str">
        <f>IFERROR(__xludf.DUMMYFUNCTION("""COMPUTED_VALUE"""),"Tier 2")</f>
        <v>Tier 2</v>
      </c>
      <c r="C32" s="368" t="str">
        <f>IFERROR(__xludf.DUMMYFUNCTION("""COMPUTED_VALUE"""),"Arabian Business")</f>
        <v>Arabian Business</v>
      </c>
      <c r="D32" s="368" t="str">
        <f>IFERROR(__xludf.DUMMYFUNCTION("""COMPUTED_VALUE"""),"Is the pace of Dubai's recent property price hikes starting to slow?")</f>
        <v>Is the pace of Dubai's recent property price hikes starting to slow?</v>
      </c>
      <c r="E32" s="507" t="str">
        <f>IFERROR(__xludf.DUMMYFUNCTION("""COMPUTED_VALUE"""),"https://www.arabianbusiness.com/industries-real-estate/469867-is-the-pace-of-dubais-recent-property-price-hikes-starting-to-slow")</f>
        <v>https://www.arabianbusiness.com/industries-real-estate/469867-is-the-pace-of-dubais-recent-property-price-hikes-starting-to-slow</v>
      </c>
      <c r="F32" s="368" t="str">
        <f>IFERROR(__xludf.DUMMYFUNCTION("""COMPUTED_VALUE"""),"Betterhomes")</f>
        <v>Betterhomes</v>
      </c>
    </row>
    <row r="33">
      <c r="A33" s="402">
        <f>IFERROR(__xludf.DUMMYFUNCTION("""COMPUTED_VALUE"""),44490.0)</f>
        <v>44490</v>
      </c>
      <c r="B33" s="368" t="str">
        <f>IFERROR(__xludf.DUMMYFUNCTION("""COMPUTED_VALUE"""),"Tier 2")</f>
        <v>Tier 2</v>
      </c>
      <c r="C33" s="368" t="str">
        <f>IFERROR(__xludf.DUMMYFUNCTION("""COMPUTED_VALUE"""),"Gulf News")</f>
        <v>Gulf News</v>
      </c>
      <c r="D33" s="368" t="str">
        <f>IFERROR(__xludf.DUMMYFUNCTION("""COMPUTED_VALUE"""),"Better Homes plans global presence with more offices")</f>
        <v>Better Homes plans global presence with more offices</v>
      </c>
      <c r="E33" s="507" t="str">
        <f>IFERROR(__xludf.DUMMYFUNCTION("""COMPUTED_VALUE"""),"https://gulfnews.com/business/property/better-homes-plans-global-presence-with-more-offices-1.253412")</f>
        <v>https://gulfnews.com/business/property/better-homes-plans-global-presence-with-more-offices-1.253412</v>
      </c>
      <c r="F33" s="368" t="str">
        <f>IFERROR(__xludf.DUMMYFUNCTION("""COMPUTED_VALUE"""),"Betterhomes")</f>
        <v>Betterhomes</v>
      </c>
    </row>
    <row r="34">
      <c r="A34" s="402">
        <f>IFERROR(__xludf.DUMMYFUNCTION("""COMPUTED_VALUE"""),44493.0)</f>
        <v>44493</v>
      </c>
      <c r="B34" s="368" t="str">
        <f>IFERROR(__xludf.DUMMYFUNCTION("""COMPUTED_VALUE"""),"Tier 2")</f>
        <v>Tier 2</v>
      </c>
      <c r="C34" s="368" t="str">
        <f>IFERROR(__xludf.DUMMYFUNCTION("""COMPUTED_VALUE"""),"Khaleej Times")</f>
        <v>Khaleej Times</v>
      </c>
      <c r="D34" s="368" t="str">
        <f>IFERROR(__xludf.DUMMYFUNCTION("""COMPUTED_VALUE"""),"Dubai: Low-interest rates boost mortgage transactions in 2021")</f>
        <v>Dubai: Low-interest rates boost mortgage transactions in 2021</v>
      </c>
      <c r="E34" s="507" t="str">
        <f>IFERROR(__xludf.DUMMYFUNCTION("""COMPUTED_VALUE"""),"https://www.khaleejtimes.com/business/dubai-low-interest-rates-boost-mortgage-transactions-in-2021")</f>
        <v>https://www.khaleejtimes.com/business/dubai-low-interest-rates-boost-mortgage-transactions-in-2021</v>
      </c>
      <c r="F34" s="368" t="str">
        <f>IFERROR(__xludf.DUMMYFUNCTION("""COMPUTED_VALUE"""),"Betterhomes")</f>
        <v>Betterhomes</v>
      </c>
    </row>
    <row r="35">
      <c r="A35" s="402">
        <f>IFERROR(__xludf.DUMMYFUNCTION("""COMPUTED_VALUE"""),44503.0)</f>
        <v>44503</v>
      </c>
      <c r="B35" s="368" t="str">
        <f>IFERROR(__xludf.DUMMYFUNCTION("""COMPUTED_VALUE"""),"Tier 2")</f>
        <v>Tier 2</v>
      </c>
      <c r="C35" s="368" t="str">
        <f>IFERROR(__xludf.DUMMYFUNCTION("""COMPUTED_VALUE"""),"Arabian Business ")</f>
        <v>Arabian Business </v>
      </c>
      <c r="D35" s="368" t="str">
        <f>IFERROR(__xludf.DUMMYFUNCTION("""COMPUTED_VALUE"""),"Dubai property broker seals record $2m leasing deal for luxury villa")</f>
        <v>Dubai property broker seals record $2m leasing deal for luxury villa</v>
      </c>
      <c r="E35" s="507" t="str">
        <f>IFERROR(__xludf.DUMMYFUNCTION("""COMPUTED_VALUE"""),"https://www.arabianbusiness.com/real-estate/470612-dubai-property-broker-seals-record-2m-leasing-deal-for-luxury-villa")</f>
        <v>https://www.arabianbusiness.com/real-estate/470612-dubai-property-broker-seals-record-2m-leasing-deal-for-luxury-villa</v>
      </c>
      <c r="F35" s="368" t="str">
        <f>IFERROR(__xludf.DUMMYFUNCTION("""COMPUTED_VALUE"""),"Betterhomes")</f>
        <v>Betterhomes</v>
      </c>
    </row>
    <row r="36">
      <c r="A36" s="402">
        <f>IFERROR(__xludf.DUMMYFUNCTION("""COMPUTED_VALUE"""),44504.0)</f>
        <v>44504</v>
      </c>
      <c r="B36" s="368" t="str">
        <f>IFERROR(__xludf.DUMMYFUNCTION("""COMPUTED_VALUE"""),"Tier 2")</f>
        <v>Tier 2</v>
      </c>
      <c r="C36" s="368" t="str">
        <f>IFERROR(__xludf.DUMMYFUNCTION("""COMPUTED_VALUE"""),"Construction Week")</f>
        <v>Construction Week</v>
      </c>
      <c r="D36" s="368" t="str">
        <f>IFERROR(__xludf.DUMMYFUNCTION("""COMPUTED_VALUE"""),"Betterhomes logs leasing deal at $1.76 million in Emirates Hills")</f>
        <v>Betterhomes logs leasing deal at $1.76 million in Emirates Hills</v>
      </c>
      <c r="E36" s="507" t="str">
        <f>IFERROR(__xludf.DUMMYFUNCTION("""COMPUTED_VALUE"""),"https://www.constructionweekonline.com/business/betterhomes-logs-leasing-deal-at-1-76-million-in-emirates-hills")</f>
        <v>https://www.constructionweekonline.com/business/betterhomes-logs-leasing-deal-at-1-76-million-in-emirates-hills</v>
      </c>
      <c r="F36" s="368" t="str">
        <f>IFERROR(__xludf.DUMMYFUNCTION("""COMPUTED_VALUE"""),"Betterhomes")</f>
        <v>Betterhomes</v>
      </c>
    </row>
    <row r="37">
      <c r="A37" s="402">
        <f>IFERROR(__xludf.DUMMYFUNCTION("""COMPUTED_VALUE"""),44503.0)</f>
        <v>44503</v>
      </c>
      <c r="B37" s="368" t="str">
        <f>IFERROR(__xludf.DUMMYFUNCTION("""COMPUTED_VALUE"""),"Tier 3")</f>
        <v>Tier 3</v>
      </c>
      <c r="C37" s="368" t="str">
        <f>IFERROR(__xludf.DUMMYFUNCTION("""COMPUTED_VALUE"""),"UAE Business")</f>
        <v>UAE Business</v>
      </c>
      <c r="D37" s="368" t="str">
        <f>IFERROR(__xludf.DUMMYFUNCTION("""COMPUTED_VALUE"""),"Dubai property market logs highest leasing deal at AED7.5M/year")</f>
        <v>Dubai property market logs highest leasing deal at AED7.5M/year</v>
      </c>
      <c r="E37" s="507" t="str">
        <f>IFERROR(__xludf.DUMMYFUNCTION("""COMPUTED_VALUE"""),"https://uaebusiness.com/tag/better-homes-llc/")</f>
        <v>https://uaebusiness.com/tag/better-homes-llc/</v>
      </c>
      <c r="F37" s="368" t="str">
        <f>IFERROR(__xludf.DUMMYFUNCTION("""COMPUTED_VALUE"""),"Betterhomes")</f>
        <v>Betterhomes</v>
      </c>
    </row>
    <row r="38">
      <c r="A38" s="402">
        <f>IFERROR(__xludf.DUMMYFUNCTION("""COMPUTED_VALUE"""),44503.0)</f>
        <v>44503</v>
      </c>
      <c r="B38" s="368" t="str">
        <f>IFERROR(__xludf.DUMMYFUNCTION("""COMPUTED_VALUE"""),"Tier 3")</f>
        <v>Tier 3</v>
      </c>
      <c r="C38" s="368" t="str">
        <f>IFERROR(__xludf.DUMMYFUNCTION("""COMPUTED_VALUE"""),"Liana Press")</f>
        <v>Liana Press</v>
      </c>
      <c r="D38" s="368" t="str">
        <f>IFERROR(__xludf.DUMMYFUNCTION("""COMPUTED_VALUE"""),"Dubai property market logs highest leasing deal at AED7.5M/year")</f>
        <v>Dubai property market logs highest leasing deal at AED7.5M/year</v>
      </c>
      <c r="E38" s="507" t="str">
        <f>IFERROR(__xludf.DUMMYFUNCTION("""COMPUTED_VALUE"""),"https://www.lianapress.ae/releases/construction/dubai-property-market-logs-highest-leasing-deal-at-aed7.5myear.html")</f>
        <v>https://www.lianapress.ae/releases/construction/dubai-property-market-logs-highest-leasing-deal-at-aed7.5myear.html</v>
      </c>
      <c r="F38" s="368" t="str">
        <f>IFERROR(__xludf.DUMMYFUNCTION("""COMPUTED_VALUE"""),"Betterhomes")</f>
        <v>Betterhomes</v>
      </c>
    </row>
    <row r="39">
      <c r="A39" s="402">
        <f>IFERROR(__xludf.DUMMYFUNCTION("""COMPUTED_VALUE"""),44503.0)</f>
        <v>44503</v>
      </c>
      <c r="B39" s="368" t="str">
        <f>IFERROR(__xludf.DUMMYFUNCTION("""COMPUTED_VALUE"""),"Tier 2")</f>
        <v>Tier 2</v>
      </c>
      <c r="C39" s="368" t="str">
        <f>IFERROR(__xludf.DUMMYFUNCTION("""COMPUTED_VALUE"""),"Zawaya")</f>
        <v>Zawaya</v>
      </c>
      <c r="D39" s="368" t="str">
        <f>IFERROR(__xludf.DUMMYFUNCTION("""COMPUTED_VALUE"""),"Dubai property market logs highest leasing deal at AED7.5mln/year")</f>
        <v>Dubai property market logs highest leasing deal at AED7.5mln/year</v>
      </c>
      <c r="E39" s="507" t="str">
        <f>IFERROR(__xludf.DUMMYFUNCTION("""COMPUTED_VALUE"""),"https://www.zawya.com/mena/en/press-releases/story/Dubai_property_market_logs_highest_leasing_deal_at_AED75mlnyear-ZAWYA20211103104849/")</f>
        <v>https://www.zawya.com/mena/en/press-releases/story/Dubai_property_market_logs_highest_leasing_deal_at_AED75mlnyear-ZAWYA20211103104849/</v>
      </c>
      <c r="F39" s="368" t="str">
        <f>IFERROR(__xludf.DUMMYFUNCTION("""COMPUTED_VALUE"""),"Betterhomes")</f>
        <v>Betterhomes</v>
      </c>
    </row>
    <row r="40">
      <c r="A40" s="402">
        <f>IFERROR(__xludf.DUMMYFUNCTION("""COMPUTED_VALUE"""),44504.0)</f>
        <v>44504</v>
      </c>
      <c r="B40" s="368" t="str">
        <f>IFERROR(__xludf.DUMMYFUNCTION("""COMPUTED_VALUE"""),"Tier 2")</f>
        <v>Tier 2</v>
      </c>
      <c r="C40" s="368" t="str">
        <f>IFERROR(__xludf.DUMMYFUNCTION("""COMPUTED_VALUE"""),"Property Finder")</f>
        <v>Property Finder</v>
      </c>
      <c r="D40" s="368" t="str">
        <f>IFERROR(__xludf.DUMMYFUNCTION("""COMPUTED_VALUE"""),"Latest Prestige November 2021 issue in Gulf Business")</f>
        <v>Latest Prestige November 2021 issue in Gulf Business</v>
      </c>
      <c r="E40" s="507" t="str">
        <f>IFERROR(__xludf.DUMMYFUNCTION("""COMPUTED_VALUE"""),"https://www.propertyfinder.ae/hub/agent-guides/latest-prestige-november-2021-issue-in-gulf-business/")</f>
        <v>https://www.propertyfinder.ae/hub/agent-guides/latest-prestige-november-2021-issue-in-gulf-business/</v>
      </c>
      <c r="F40" s="368" t="str">
        <f>IFERROR(__xludf.DUMMYFUNCTION("""COMPUTED_VALUE"""),"Linda's")</f>
        <v>Linda's</v>
      </c>
    </row>
    <row r="41">
      <c r="A41" s="402">
        <f>IFERROR(__xludf.DUMMYFUNCTION("""COMPUTED_VALUE"""),44506.0)</f>
        <v>44506</v>
      </c>
      <c r="B41" s="368" t="str">
        <f>IFERROR(__xludf.DUMMYFUNCTION("""COMPUTED_VALUE"""),"Tier 2")</f>
        <v>Tier 2</v>
      </c>
      <c r="C41" s="368" t="str">
        <f>IFERROR(__xludf.DUMMYFUNCTION("""COMPUTED_VALUE"""),"The National")</f>
        <v>The National</v>
      </c>
      <c r="D41" s="368"/>
      <c r="E41" s="507" t="str">
        <f>IFERROR(__xludf.DUMMYFUNCTION("""COMPUTED_VALUE"""),"https://www.thenationalnews.com/lifestyle/luxury/2021/11/06/dh75m-emirates-hills-villa-becomes-dubais-most-expensive-rental/")</f>
        <v>https://www.thenationalnews.com/lifestyle/luxury/2021/11/06/dh75m-emirates-hills-villa-becomes-dubais-most-expensive-rental/</v>
      </c>
      <c r="F41" s="368" t="str">
        <f>IFERROR(__xludf.DUMMYFUNCTION("""COMPUTED_VALUE"""),"Betterhomes")</f>
        <v>Betterhomes</v>
      </c>
    </row>
    <row r="42">
      <c r="A42" s="402">
        <f>IFERROR(__xludf.DUMMYFUNCTION("""COMPUTED_VALUE"""),44506.0)</f>
        <v>44506</v>
      </c>
      <c r="B42" s="368" t="str">
        <f>IFERROR(__xludf.DUMMYFUNCTION("""COMPUTED_VALUE"""),"Tier 2")</f>
        <v>Tier 2</v>
      </c>
      <c r="C42" s="368" t="str">
        <f>IFERROR(__xludf.DUMMYFUNCTION("""COMPUTED_VALUE"""),"Radio Eye")</f>
        <v>Radio Eye</v>
      </c>
      <c r="D42" s="368" t="str">
        <f>IFERROR(__xludf.DUMMYFUNCTION("""COMPUTED_VALUE"""),"Hannah's 7.5m leasinf deal")</f>
        <v>Hannah's 7.5m leasinf deal</v>
      </c>
      <c r="E42" s="368" t="str">
        <f>IFERROR(__xludf.DUMMYFUNCTION("""COMPUTED_VALUE"""),"Business Breakfast")</f>
        <v>Business Breakfast</v>
      </c>
      <c r="F42" s="368" t="str">
        <f>IFERROR(__xludf.DUMMYFUNCTION("""COMPUTED_VALUE"""),"Betterhomes")</f>
        <v>Betterhomes</v>
      </c>
    </row>
    <row r="43">
      <c r="A43" s="402">
        <f>IFERROR(__xludf.DUMMYFUNCTION("""COMPUTED_VALUE"""),44507.0)</f>
        <v>44507</v>
      </c>
      <c r="B43" s="368" t="str">
        <f>IFERROR(__xludf.DUMMYFUNCTION("""COMPUTED_VALUE"""),"Tier 2")</f>
        <v>Tier 2</v>
      </c>
      <c r="C43" s="368" t="str">
        <f>IFERROR(__xludf.DUMMYFUNCTION("""COMPUTED_VALUE"""),"Construction Week")</f>
        <v>Construction Week</v>
      </c>
      <c r="D43" s="368" t="str">
        <f>IFERROR(__xludf.DUMMYFUNCTION("""COMPUTED_VALUE"""),"Betterhomes logs leasing deal at $1.76 million in Emirates Hills")</f>
        <v>Betterhomes logs leasing deal at $1.76 million in Emirates Hills</v>
      </c>
      <c r="E43" s="507" t="str">
        <f>IFERROR(__xludf.DUMMYFUNCTION("""COMPUTED_VALUE"""),"https://www.constructionweekonline.com/business/betterhomes-logs-leasing-deal-at-1-76-million-in-emirates-hills")</f>
        <v>https://www.constructionweekonline.com/business/betterhomes-logs-leasing-deal-at-1-76-million-in-emirates-hills</v>
      </c>
      <c r="F43" s="368" t="str">
        <f>IFERROR(__xludf.DUMMYFUNCTION("""COMPUTED_VALUE"""),"Betterhomes")</f>
        <v>Betterhomes</v>
      </c>
    </row>
    <row r="44">
      <c r="A44" s="402">
        <f>IFERROR(__xludf.DUMMYFUNCTION("""COMPUTED_VALUE"""),44508.0)</f>
        <v>44508</v>
      </c>
      <c r="B44" s="368" t="str">
        <f>IFERROR(__xludf.DUMMYFUNCTION("""COMPUTED_VALUE"""),"Tier 3")</f>
        <v>Tier 3</v>
      </c>
      <c r="C44" s="368" t="str">
        <f>IFERROR(__xludf.DUMMYFUNCTION("""COMPUTED_VALUE"""),"The Wall")</f>
        <v>The Wall</v>
      </c>
      <c r="D44" s="368"/>
      <c r="E44" s="507" t="str">
        <f>IFERROR(__xludf.DUMMYFUNCTION("""COMPUTED_VALUE"""),"https://thewall.fyi/dubai-property-broker-seals-record-2m-leasing-deal-for-luxury-villa/")</f>
        <v>https://thewall.fyi/dubai-property-broker-seals-record-2m-leasing-deal-for-luxury-villa/</v>
      </c>
      <c r="F44" s="368" t="str">
        <f>IFERROR(__xludf.DUMMYFUNCTION("""COMPUTED_VALUE"""),"Betterhomes")</f>
        <v>Betterhomes</v>
      </c>
    </row>
    <row r="45">
      <c r="A45" s="402">
        <f>IFERROR(__xludf.DUMMYFUNCTION("""COMPUTED_VALUE"""),44509.0)</f>
        <v>44509</v>
      </c>
      <c r="B45" s="368" t="str">
        <f>IFERROR(__xludf.DUMMYFUNCTION("""COMPUTED_VALUE"""),"Tier 3")</f>
        <v>Tier 3</v>
      </c>
      <c r="C45" s="368" t="str">
        <f>IFERROR(__xludf.DUMMYFUNCTION("""COMPUTED_VALUE"""),"International Business Magazine")</f>
        <v>International Business Magazine</v>
      </c>
      <c r="D45" s="368"/>
      <c r="E45" s="507" t="str">
        <f>IFERROR(__xludf.DUMMYFUNCTION("""COMPUTED_VALUE"""),"https://intlbm.com/dubai-real-estate-market-clocks-its-highest-leasing-deal-worth-aed7-5-million/")</f>
        <v>https://intlbm.com/dubai-real-estate-market-clocks-its-highest-leasing-deal-worth-aed7-5-million/</v>
      </c>
      <c r="F45" s="368" t="str">
        <f>IFERROR(__xludf.DUMMYFUNCTION("""COMPUTED_VALUE"""),"Betterhomes")</f>
        <v>Betterhomes</v>
      </c>
    </row>
    <row r="46">
      <c r="A46" s="402">
        <f>IFERROR(__xludf.DUMMYFUNCTION("""COMPUTED_VALUE"""),44509.0)</f>
        <v>44509</v>
      </c>
      <c r="B46" s="368" t="str">
        <f>IFERROR(__xludf.DUMMYFUNCTION("""COMPUTED_VALUE"""),"Tier 3")</f>
        <v>Tier 3</v>
      </c>
      <c r="C46" s="368" t="str">
        <f>IFERROR(__xludf.DUMMYFUNCTION("""COMPUTED_VALUE"""),"Medium Value Strat")</f>
        <v>Medium Value Strat</v>
      </c>
      <c r="D46" s="368"/>
      <c r="E46" s="507" t="str">
        <f>IFERROR(__xludf.DUMMYFUNCTION("""COMPUTED_VALUE"""),"https://medium.com/@valustrat/dh7-5m-emirates-hills-villa-becomes-dubais-most-expensive-rental-fdd55e5c53bd")</f>
        <v>https://medium.com/@valustrat/dh7-5m-emirates-hills-villa-becomes-dubais-most-expensive-rental-fdd55e5c53bd</v>
      </c>
      <c r="F46" s="368" t="str">
        <f>IFERROR(__xludf.DUMMYFUNCTION("""COMPUTED_VALUE"""),"Betterhomes")</f>
        <v>Betterhomes</v>
      </c>
    </row>
    <row r="47">
      <c r="A47" s="402">
        <f>IFERROR(__xludf.DUMMYFUNCTION("""COMPUTED_VALUE"""),44638.0)</f>
        <v>44638</v>
      </c>
      <c r="B47" s="368" t="str">
        <f>IFERROR(__xludf.DUMMYFUNCTION("""COMPUTED_VALUE"""),"Tier 2")</f>
        <v>Tier 2</v>
      </c>
      <c r="C47" s="368" t="str">
        <f>IFERROR(__xludf.DUMMYFUNCTION("""COMPUTED_VALUE"""),"The National")</f>
        <v>The National</v>
      </c>
      <c r="D47" s="368" t="str">
        <f>IFERROR(__xludf.DUMMYFUNCTION("""COMPUTED_VALUE"""),"Top 7 mistakes to avoid when selling your home")</f>
        <v>Top 7 mistakes to avoid when selling your home</v>
      </c>
      <c r="E47" s="507" t="str">
        <f>IFERROR(__xludf.DUMMYFUNCTION("""COMPUTED_VALUE"""),"https://www.thenationalnews.com/weekend/2022/03/18/top-7-mistakes-to-avoid-when-selling-your-home/")</f>
        <v>https://www.thenationalnews.com/weekend/2022/03/18/top-7-mistakes-to-avoid-when-selling-your-home/</v>
      </c>
      <c r="F47" s="368" t="str">
        <f>IFERROR(__xludf.DUMMYFUNCTION("""COMPUTED_VALUE"""),"Betterhomes")</f>
        <v>Betterhomes</v>
      </c>
    </row>
    <row r="48">
      <c r="A48" s="402">
        <f>IFERROR(__xludf.DUMMYFUNCTION("""COMPUTED_VALUE"""),44669.0)</f>
        <v>44669</v>
      </c>
      <c r="B48" s="368" t="str">
        <f>IFERROR(__xludf.DUMMYFUNCTION("""COMPUTED_VALUE"""),"Tier 2")</f>
        <v>Tier 2</v>
      </c>
      <c r="C48" s="368" t="str">
        <f>IFERROR(__xludf.DUMMYFUNCTION("""COMPUTED_VALUE"""),"Zawya")</f>
        <v>Zawya</v>
      </c>
      <c r="D48" s="368" t="str">
        <f>IFERROR(__xludf.DUMMYFUNCTION("""COMPUTED_VALUE"""),"Demand and prices on the rise for townhouses and apartments in Q1 2022")</f>
        <v>Demand and prices on the rise for townhouses and apartments in Q1 2022</v>
      </c>
      <c r="E48" s="507" t="str">
        <f>IFERROR(__xludf.DUMMYFUNCTION("""COMPUTED_VALUE"""),"https://www.zawya.com/en/press-release/companies-news/demand-and-prices-on-the-rise-for-townhouses-and-apartments-in-q1-2022-dp9dk0s7")</f>
        <v>https://www.zawya.com/en/press-release/companies-news/demand-and-prices-on-the-rise-for-townhouses-and-apartments-in-q1-2022-dp9dk0s7</v>
      </c>
      <c r="F48" s="368" t="str">
        <f>IFERROR(__xludf.DUMMYFUNCTION("""COMPUTED_VALUE"""),"Betterhomes")</f>
        <v>Betterhomes</v>
      </c>
    </row>
    <row r="49">
      <c r="A49" s="402">
        <f>IFERROR(__xludf.DUMMYFUNCTION("""COMPUTED_VALUE"""),44670.0)</f>
        <v>44670</v>
      </c>
      <c r="B49" s="368" t="str">
        <f>IFERROR(__xludf.DUMMYFUNCTION("""COMPUTED_VALUE"""),"Tier 2")</f>
        <v>Tier 2</v>
      </c>
      <c r="C49" s="368" t="str">
        <f>IFERROR(__xludf.DUMMYFUNCTION("""COMPUTED_VALUE"""),"Gulf News")</f>
        <v>Gulf News</v>
      </c>
      <c r="D49" s="368" t="str">
        <f>IFERROR(__xludf.DUMMYFUNCTION("""COMPUTED_VALUE"""),"In Dubai, villa owners find no takers for sudden price hikes of 10% and more")</f>
        <v>In Dubai, villa owners find no takers for sudden price hikes of 10% and more</v>
      </c>
      <c r="E49" s="507" t="str">
        <f>IFERROR(__xludf.DUMMYFUNCTION("""COMPUTED_VALUE"""),"https://gulfnews.com/business/property/in-dubai-villa-owners-find-no-takers-for-sudden-price-hikes-of-10-and-more-1.1650345406229")</f>
        <v>https://gulfnews.com/business/property/in-dubai-villa-owners-find-no-takers-for-sudden-price-hikes-of-10-and-more-1.1650345406229</v>
      </c>
      <c r="F49" s="368" t="str">
        <f>IFERROR(__xludf.DUMMYFUNCTION("""COMPUTED_VALUE"""),"Betterhomes")</f>
        <v>Betterhomes</v>
      </c>
    </row>
    <row r="50">
      <c r="A50" s="402">
        <f>IFERROR(__xludf.DUMMYFUNCTION("""COMPUTED_VALUE"""),44670.0)</f>
        <v>44670</v>
      </c>
      <c r="B50" s="368" t="str">
        <f>IFERROR(__xludf.DUMMYFUNCTION("""COMPUTED_VALUE"""),"Tier 1")</f>
        <v>Tier 1</v>
      </c>
      <c r="C50" s="368" t="str">
        <f>IFERROR(__xludf.DUMMYFUNCTION("""COMPUTED_VALUE"""),"Bloomberg")</f>
        <v>Bloomberg</v>
      </c>
      <c r="D50" s="368" t="str">
        <f>IFERROR(__xludf.DUMMYFUNCTION("""COMPUTED_VALUE"""),"Russians Climb Dubai Property Ladder as Sanctions Imperil Wealth")</f>
        <v>Russians Climb Dubai Property Ladder as Sanctions Imperil Wealth</v>
      </c>
      <c r="E50" s="507" t="str">
        <f>IFERROR(__xludf.DUMMYFUNCTION("""COMPUTED_VALUE"""),"https://www.bloomberg.com/news/articles/2022-04-19/russians-climb-dubai-property-ladder-as-sanctions-imperil-wealth")</f>
        <v>https://www.bloomberg.com/news/articles/2022-04-19/russians-climb-dubai-property-ladder-as-sanctions-imperil-wealth</v>
      </c>
      <c r="F50" s="368" t="str">
        <f>IFERROR(__xludf.DUMMYFUNCTION("""COMPUTED_VALUE"""),"Betterhomes")</f>
        <v>Betterhomes</v>
      </c>
    </row>
    <row r="51">
      <c r="A51" s="402">
        <f>IFERROR(__xludf.DUMMYFUNCTION("""COMPUTED_VALUE"""),44671.0)</f>
        <v>44671</v>
      </c>
      <c r="B51" s="368" t="str">
        <f>IFERROR(__xludf.DUMMYFUNCTION("""COMPUTED_VALUE"""),"Tier 2")</f>
        <v>Tier 2</v>
      </c>
      <c r="C51" s="368" t="str">
        <f>IFERROR(__xludf.DUMMYFUNCTION("""COMPUTED_VALUE"""),"Arabian Business ")</f>
        <v>Arabian Business </v>
      </c>
      <c r="D51" s="368" t="str">
        <f>IFERROR(__xludf.DUMMYFUNCTION("""COMPUTED_VALUE"""),"Dubai’s commercial property market soars as post Covid confidence leads to strongest quarter since 2016")</f>
        <v>Dubai’s commercial property market soars as post Covid confidence leads to strongest quarter since 2016</v>
      </c>
      <c r="E51" s="507" t="str">
        <f>IFERROR(__xludf.DUMMYFUNCTION("""COMPUTED_VALUE"""),"https://www.arabianbusiness.com/money/wealth/money-wealth-real-estate/dubais-commercial-property-market-soars-as-post-covid-confidence-leads-to-strongest-quarter-since-2016")</f>
        <v>https://www.arabianbusiness.com/money/wealth/money-wealth-real-estate/dubais-commercial-property-market-soars-as-post-covid-confidence-leads-to-strongest-quarter-since-2016</v>
      </c>
      <c r="F51" s="368" t="str">
        <f>IFERROR(__xludf.DUMMYFUNCTION("""COMPUTED_VALUE"""),"CRC")</f>
        <v>CRC</v>
      </c>
    </row>
    <row r="52">
      <c r="A52" s="402">
        <f>IFERROR(__xludf.DUMMYFUNCTION("""COMPUTED_VALUE"""),44673.0)</f>
        <v>44673</v>
      </c>
      <c r="B52" s="368" t="str">
        <f>IFERROR(__xludf.DUMMYFUNCTION("""COMPUTED_VALUE"""),"Tier 2")</f>
        <v>Tier 2</v>
      </c>
      <c r="C52" s="368" t="str">
        <f>IFERROR(__xludf.DUMMYFUNCTION("""COMPUTED_VALUE"""),"The National")</f>
        <v>The National</v>
      </c>
      <c r="D52" s="368" t="str">
        <f>IFERROR(__xludf.DUMMYFUNCTION("""COMPUTED_VALUE"""),"Five renovations that could actually lower the value of your home")</f>
        <v>Five renovations that could actually lower the value of your home</v>
      </c>
      <c r="E52" s="507" t="str">
        <f>IFERROR(__xludf.DUMMYFUNCTION("""COMPUTED_VALUE"""),"https://www.thenationalnews.com/weekend/2022/04/22/five-renovations-that-could-actually-lower-the-value-of-your-home/")</f>
        <v>https://www.thenationalnews.com/weekend/2022/04/22/five-renovations-that-could-actually-lower-the-value-of-your-home/</v>
      </c>
      <c r="F52" s="368" t="str">
        <f>IFERROR(__xludf.DUMMYFUNCTION("""COMPUTED_VALUE"""),"Betterhomes")</f>
        <v>Betterhomes</v>
      </c>
    </row>
    <row r="53">
      <c r="A53" s="402">
        <f>IFERROR(__xludf.DUMMYFUNCTION("""COMPUTED_VALUE"""),44676.0)</f>
        <v>44676</v>
      </c>
      <c r="B53" s="368" t="str">
        <f>IFERROR(__xludf.DUMMYFUNCTION("""COMPUTED_VALUE"""),"Tier 2")</f>
        <v>Tier 2</v>
      </c>
      <c r="C53" s="368" t="str">
        <f>IFERROR(__xludf.DUMMYFUNCTION("""COMPUTED_VALUE"""),"Arab news")</f>
        <v>Arab news</v>
      </c>
      <c r="D53" s="368" t="str">
        <f>IFERROR(__xludf.DUMMYFUNCTION("""COMPUTED_VALUE"""),"Dubai property purchases by Russians up 67% in Q1 of 2022")</f>
        <v>Dubai property purchases by Russians up 67% in Q1 of 2022</v>
      </c>
      <c r="E53" s="507" t="str">
        <f>IFERROR(__xludf.DUMMYFUNCTION("""COMPUTED_VALUE"""),"https://www.arabnews.com/node/2066971/business-economy")</f>
        <v>https://www.arabnews.com/node/2066971/business-economy</v>
      </c>
      <c r="F53" s="368" t="str">
        <f>IFERROR(__xludf.DUMMYFUNCTION("""COMPUTED_VALUE"""),"Betterhomes")</f>
        <v>Betterhomes</v>
      </c>
    </row>
    <row r="54">
      <c r="A54" s="402">
        <f>IFERROR(__xludf.DUMMYFUNCTION("""COMPUTED_VALUE"""),44676.0)</f>
        <v>44676</v>
      </c>
      <c r="B54" s="368" t="str">
        <f>IFERROR(__xludf.DUMMYFUNCTION("""COMPUTED_VALUE"""),"Tier 1")</f>
        <v>Tier 1</v>
      </c>
      <c r="C54" s="368" t="str">
        <f>IFERROR(__xludf.DUMMYFUNCTION("""COMPUTED_VALUE"""),"Bloomberg")</f>
        <v>Bloomberg</v>
      </c>
      <c r="D54" s="368" t="str">
        <f>IFERROR(__xludf.DUMMYFUNCTION("""COMPUTED_VALUE"""),"Rising Oil Prices a Boon for Saudi Economy")</f>
        <v>Rising Oil Prices a Boon for Saudi Economy</v>
      </c>
      <c r="E54" s="507" t="str">
        <f>IFERROR(__xludf.DUMMYFUNCTION("""COMPUTED_VALUE"""),"https://www.bloomberg.com/news/newsletters/2022-04-25/rising-oil-prices-a-boon-for-saudi-arabia-s-economy")</f>
        <v>https://www.bloomberg.com/news/newsletters/2022-04-25/rising-oil-prices-a-boon-for-saudi-arabia-s-economy</v>
      </c>
      <c r="F54" s="368" t="str">
        <f>IFERROR(__xludf.DUMMYFUNCTION("""COMPUTED_VALUE"""),"Betterhomes")</f>
        <v>Betterhomes</v>
      </c>
    </row>
    <row r="55">
      <c r="A55" s="402">
        <f>IFERROR(__xludf.DUMMYFUNCTION("""COMPUTED_VALUE"""),44686.0)</f>
        <v>44686</v>
      </c>
      <c r="B55" s="368" t="str">
        <f>IFERROR(__xludf.DUMMYFUNCTION("""COMPUTED_VALUE"""),"Tier 1")</f>
        <v>Tier 1</v>
      </c>
      <c r="C55" s="368" t="str">
        <f>IFERROR(__xludf.DUMMYFUNCTION("""COMPUTED_VALUE"""),"BBC News")</f>
        <v>BBC News</v>
      </c>
      <c r="D55" s="368" t="str">
        <f>IFERROR(__xludf.DUMMYFUNCTION("""COMPUTED_VALUE"""),"Wealthy Russians flee to Dubai to avoid sanctions")</f>
        <v>Wealthy Russians flee to Dubai to avoid sanctions</v>
      </c>
      <c r="E55" s="507" t="str">
        <f>IFERROR(__xludf.DUMMYFUNCTION("""COMPUTED_VALUE"""),"https://www.bbc.com/news/business-61257448")</f>
        <v>https://www.bbc.com/news/business-61257448</v>
      </c>
      <c r="F55" s="368" t="str">
        <f>IFERROR(__xludf.DUMMYFUNCTION("""COMPUTED_VALUE"""),"Betterhomes")</f>
        <v>Betterhomes</v>
      </c>
    </row>
    <row r="56">
      <c r="A56" s="402">
        <f>IFERROR(__xludf.DUMMYFUNCTION("""COMPUTED_VALUE"""),44686.0)</f>
        <v>44686</v>
      </c>
      <c r="B56" s="368" t="str">
        <f>IFERROR(__xludf.DUMMYFUNCTION("""COMPUTED_VALUE"""),"Tier 2")</f>
        <v>Tier 2</v>
      </c>
      <c r="C56" s="368" t="str">
        <f>IFERROR(__xludf.DUMMYFUNCTION("""COMPUTED_VALUE"""),"Mirror")</f>
        <v>Mirror</v>
      </c>
      <c r="D56" s="368" t="str">
        <f>IFERROR(__xludf.DUMMYFUNCTION("""COMPUTED_VALUE"""),"Russian firms and billionaires flee to Dubai to avoid sanctions over Putin's Ukraine war")</f>
        <v>Russian firms and billionaires flee to Dubai to avoid sanctions over Putin's Ukraine war</v>
      </c>
      <c r="E56" s="507" t="str">
        <f>IFERROR(__xludf.DUMMYFUNCTION("""COMPUTED_VALUE"""),"https://www.mirror.co.uk/news/world-news/russian-firms-billionaires-flee-dubai-26885574")</f>
        <v>https://www.mirror.co.uk/news/world-news/russian-firms-billionaires-flee-dubai-26885574</v>
      </c>
      <c r="F56" s="368" t="str">
        <f>IFERROR(__xludf.DUMMYFUNCTION("""COMPUTED_VALUE"""),"Betterhomes")</f>
        <v>Betterhomes</v>
      </c>
    </row>
    <row r="57">
      <c r="A57" s="402">
        <f>IFERROR(__xludf.DUMMYFUNCTION("""COMPUTED_VALUE"""),44687.0)</f>
        <v>44687</v>
      </c>
      <c r="B57" s="368" t="str">
        <f>IFERROR(__xludf.DUMMYFUNCTION("""COMPUTED_VALUE"""),"Tier 3")</f>
        <v>Tier 3</v>
      </c>
      <c r="C57" s="368" t="str">
        <f>IFERROR(__xludf.DUMMYFUNCTION("""COMPUTED_VALUE"""),"International Investment")</f>
        <v>International Investment</v>
      </c>
      <c r="D57" s="368" t="str">
        <f>IFERROR(__xludf.DUMMYFUNCTION("""COMPUTED_VALUE"""),"Two thirds surge in Dubai property sales to Russians")</f>
        <v>Two thirds surge in Dubai property sales to Russians</v>
      </c>
      <c r="E57" s="507" t="str">
        <f>IFERROR(__xludf.DUMMYFUNCTION("""COMPUTED_VALUE"""),"https://www.internationalinvestment.net/news/4049274/thirds-surge-dubai-property-sales-russians")</f>
        <v>https://www.internationalinvestment.net/news/4049274/thirds-surge-dubai-property-sales-russians</v>
      </c>
      <c r="F57" s="368" t="str">
        <f>IFERROR(__xludf.DUMMYFUNCTION("""COMPUTED_VALUE"""),"Betterhomes")</f>
        <v>Betterhomes</v>
      </c>
    </row>
    <row r="58">
      <c r="A58" s="402">
        <f>IFERROR(__xludf.DUMMYFUNCTION("""COMPUTED_VALUE"""),44687.0)</f>
        <v>44687</v>
      </c>
      <c r="B58" s="368" t="str">
        <f>IFERROR(__xludf.DUMMYFUNCTION("""COMPUTED_VALUE"""),"Tier 3")</f>
        <v>Tier 3</v>
      </c>
      <c r="C58" s="368" t="str">
        <f>IFERROR(__xludf.DUMMYFUNCTION("""COMPUTED_VALUE"""),"Arise news")</f>
        <v>Arise news</v>
      </c>
      <c r="D58" s="368" t="str">
        <f>IFERROR(__xludf.DUMMYFUNCTION("""COMPUTED_VALUE"""),"Wealthy Russians Flee to Dubai to Avoid Sanctions")</f>
        <v>Wealthy Russians Flee to Dubai to Avoid Sanctions</v>
      </c>
      <c r="E58" s="507" t="str">
        <f>IFERROR(__xludf.DUMMYFUNCTION("""COMPUTED_VALUE"""),"https://www.arise.tv/wealthy-russians-flee-to-dubai-to-avoid-sanctions/")</f>
        <v>https://www.arise.tv/wealthy-russians-flee-to-dubai-to-avoid-sanctions/</v>
      </c>
      <c r="F58" s="368" t="str">
        <f>IFERROR(__xludf.DUMMYFUNCTION("""COMPUTED_VALUE"""),"Betterhomes")</f>
        <v>Betterhomes</v>
      </c>
    </row>
    <row r="59">
      <c r="A59" s="402">
        <f>IFERROR(__xludf.DUMMYFUNCTION("""COMPUTED_VALUE"""),44687.0)</f>
        <v>44687</v>
      </c>
      <c r="B59" s="368" t="str">
        <f>IFERROR(__xludf.DUMMYFUNCTION("""COMPUTED_VALUE"""),"Tier 2")</f>
        <v>Tier 2</v>
      </c>
      <c r="C59" s="368" t="str">
        <f>IFERROR(__xludf.DUMMYFUNCTION("""COMPUTED_VALUE"""),"Arab news")</f>
        <v>Arab news</v>
      </c>
      <c r="D59" s="368" t="str">
        <f>IFERROR(__xludf.DUMMYFUNCTION("""COMPUTED_VALUE"""),"Russian billionaires arriving in UAE in 'unprecedented numbers'")</f>
        <v>Russian billionaires arriving in UAE in 'unprecedented numbers'</v>
      </c>
      <c r="E59" s="507" t="str">
        <f>IFERROR(__xludf.DUMMYFUNCTION("""COMPUTED_VALUE"""),"https://www.arabnews.com/node/2076071/business-economy")</f>
        <v>https://www.arabnews.com/node/2076071/business-economy</v>
      </c>
      <c r="F59" s="368" t="str">
        <f>IFERROR(__xludf.DUMMYFUNCTION("""COMPUTED_VALUE"""),"Betterhomes")</f>
        <v>Betterhomes</v>
      </c>
    </row>
    <row r="60">
      <c r="A60" s="402">
        <f>IFERROR(__xludf.DUMMYFUNCTION("""COMPUTED_VALUE"""),44693.0)</f>
        <v>44693</v>
      </c>
      <c r="B60" s="368" t="str">
        <f>IFERROR(__xludf.DUMMYFUNCTION("""COMPUTED_VALUE"""),"Tier 3")</f>
        <v>Tier 3</v>
      </c>
      <c r="C60" s="368" t="str">
        <f>IFERROR(__xludf.DUMMYFUNCTION("""COMPUTED_VALUE"""),"UniverseNews Network")</f>
        <v>UniverseNews Network</v>
      </c>
      <c r="D60" s="368" t="str">
        <f>IFERROR(__xludf.DUMMYFUNCTION("""COMPUTED_VALUE"""),"Ryan Mahoney (Dubai, UAE): CRC Market Report on Commercial Properties")</f>
        <v>Ryan Mahoney (Dubai, UAE): CRC Market Report on Commercial Properties</v>
      </c>
      <c r="E60" s="507" t="str">
        <f>IFERROR(__xludf.DUMMYFUNCTION("""COMPUTED_VALUE"""),"https://www.universenewsnetwork.com/2022/05/12/ryan-mahoney-dubai-uae-crc-market-report-on-commercial-properties/")</f>
        <v>https://www.universenewsnetwork.com/2022/05/12/ryan-mahoney-dubai-uae-crc-market-report-on-commercial-properties/</v>
      </c>
      <c r="F60" s="368" t="str">
        <f>IFERROR(__xludf.DUMMYFUNCTION("""COMPUTED_VALUE"""),"CRC")</f>
        <v>CRC</v>
      </c>
    </row>
    <row r="61">
      <c r="A61" s="402">
        <f>IFERROR(__xludf.DUMMYFUNCTION("""COMPUTED_VALUE"""),44694.0)</f>
        <v>44694</v>
      </c>
      <c r="B61" s="368" t="str">
        <f>IFERROR(__xludf.DUMMYFUNCTION("""COMPUTED_VALUE"""),"Tier 3")</f>
        <v>Tier 3</v>
      </c>
      <c r="C61" s="368" t="str">
        <f>IFERROR(__xludf.DUMMYFUNCTION("""COMPUTED_VALUE"""),"Business Mole")</f>
        <v>Business Mole</v>
      </c>
      <c r="D61" s="368" t="str">
        <f>IFERROR(__xludf.DUMMYFUNCTION("""COMPUTED_VALUE"""),"Ryan Mahoney (Dubai, UAE): CRC Market Report on Commercial Properties")</f>
        <v>Ryan Mahoney (Dubai, UAE): CRC Market Report on Commercial Properties</v>
      </c>
      <c r="E61" s="507" t="str">
        <f>IFERROR(__xludf.DUMMYFUNCTION("""COMPUTED_VALUE"""),"http://www.businessmole.com/ryan-mahoney-dubai-uae-crc-market-report-on-commercial-properties/")</f>
        <v>http://www.businessmole.com/ryan-mahoney-dubai-uae-crc-market-report-on-commercial-properties/</v>
      </c>
      <c r="F61" s="368" t="str">
        <f>IFERROR(__xludf.DUMMYFUNCTION("""COMPUTED_VALUE"""),"CRC")</f>
        <v>CRC</v>
      </c>
    </row>
    <row r="62">
      <c r="A62" s="402">
        <f>IFERROR(__xludf.DUMMYFUNCTION("""COMPUTED_VALUE"""),44700.0)</f>
        <v>44700</v>
      </c>
      <c r="B62" s="368" t="str">
        <f>IFERROR(__xludf.DUMMYFUNCTION("""COMPUTED_VALUE"""),"Tier 2")</f>
        <v>Tier 2</v>
      </c>
      <c r="C62" s="368" t="str">
        <f>IFERROR(__xludf.DUMMYFUNCTION("""COMPUTED_VALUE"""),"Zawya")</f>
        <v>Zawya</v>
      </c>
      <c r="D62" s="368" t="str">
        <f>IFERROR(__xludf.DUMMYFUNCTION("""COMPUTED_VALUE"""),"CRC, pulls off a three-floor office space deal, in One by Omniyat, Business Bay")</f>
        <v>CRC, pulls off a three-floor office space deal, in One by Omniyat, Business Bay</v>
      </c>
      <c r="E62" s="507" t="str">
        <f>IFERROR(__xludf.DUMMYFUNCTION("""COMPUTED_VALUE"""),"https://www.zawya.com/en/press-release/companies-news/crc-pulls-off-a-three-floor-office-space-deal-in-one-by-omniyat-business-bay-xgtmuzna")</f>
        <v>https://www.zawya.com/en/press-release/companies-news/crc-pulls-off-a-three-floor-office-space-deal-in-one-by-omniyat-business-bay-xgtmuzna</v>
      </c>
      <c r="F62" s="368" t="str">
        <f>IFERROR(__xludf.DUMMYFUNCTION("""COMPUTED_VALUE"""),"CRC")</f>
        <v>CRC</v>
      </c>
    </row>
    <row r="63">
      <c r="A63" s="402">
        <f>IFERROR(__xludf.DUMMYFUNCTION("""COMPUTED_VALUE"""),44700.0)</f>
        <v>44700</v>
      </c>
      <c r="B63" s="368" t="str">
        <f>IFERROR(__xludf.DUMMYFUNCTION("""COMPUTED_VALUE"""),"Tier 3")</f>
        <v>Tier 3</v>
      </c>
      <c r="C63" s="368" t="str">
        <f>IFERROR(__xludf.DUMMYFUNCTION("""COMPUTED_VALUE"""),"Leadership News")</f>
        <v>Leadership News</v>
      </c>
      <c r="D63" s="368" t="str">
        <f>IFERROR(__xludf.DUMMYFUNCTION("""COMPUTED_VALUE"""),"Ukraine War: Russians Flee To Dubai To Avoid Sanctions")</f>
        <v>Ukraine War: Russians Flee To Dubai To Avoid Sanctions</v>
      </c>
      <c r="E63" s="507" t="str">
        <f>IFERROR(__xludf.DUMMYFUNCTION("""COMPUTED_VALUE"""),"https://leadership.ng/ukraine-war-russians-flee-to-dubai-to-avoid-sanctions/")</f>
        <v>https://leadership.ng/ukraine-war-russians-flee-to-dubai-to-avoid-sanctions/</v>
      </c>
      <c r="F63" s="368" t="str">
        <f>IFERROR(__xludf.DUMMYFUNCTION("""COMPUTED_VALUE"""),"Betterhomes")</f>
        <v>Betterhomes</v>
      </c>
    </row>
    <row r="64">
      <c r="A64" s="402">
        <f>IFERROR(__xludf.DUMMYFUNCTION("""COMPUTED_VALUE"""),44704.0)</f>
        <v>44704</v>
      </c>
      <c r="B64" s="368" t="str">
        <f>IFERROR(__xludf.DUMMYFUNCTION("""COMPUTED_VALUE"""),"Tier 3")</f>
        <v>Tier 3</v>
      </c>
      <c r="C64" s="368" t="str">
        <f>IFERROR(__xludf.DUMMYFUNCTION("""COMPUTED_VALUE"""),"Cronella News")</f>
        <v>Cronella News</v>
      </c>
      <c r="D64" s="368" t="str">
        <f>IFERROR(__xludf.DUMMYFUNCTION("""COMPUTED_VALUE"""),"To avoid sanctions, Russians flee to Dubai")</f>
        <v>To avoid sanctions, Russians flee to Dubai</v>
      </c>
      <c r="E64" s="507" t="str">
        <f>IFERROR(__xludf.DUMMYFUNCTION("""COMPUTED_VALUE"""),"https://cronullanews.sydney/article/46343/to-avoid-sanctions-russians-flee-to-dubai/")</f>
        <v>https://cronullanews.sydney/article/46343/to-avoid-sanctions-russians-flee-to-dubai/</v>
      </c>
      <c r="F64" s="368" t="str">
        <f>IFERROR(__xludf.DUMMYFUNCTION("""COMPUTED_VALUE"""),"Betterhomes")</f>
        <v>Betterhomes</v>
      </c>
    </row>
    <row r="65">
      <c r="A65" s="402">
        <f>IFERROR(__xludf.DUMMYFUNCTION("""COMPUTED_VALUE"""),44708.0)</f>
        <v>44708</v>
      </c>
      <c r="B65" s="368" t="str">
        <f>IFERROR(__xludf.DUMMYFUNCTION("""COMPUTED_VALUE"""),"Tier 2")</f>
        <v>Tier 2</v>
      </c>
      <c r="C65" s="368" t="str">
        <f>IFERROR(__xludf.DUMMYFUNCTION("""COMPUTED_VALUE"""),"The National")</f>
        <v>The National</v>
      </c>
      <c r="D65" s="368" t="str">
        <f>IFERROR(__xludf.DUMMYFUNCTION("""COMPUTED_VALUE"""),"Nine questions to ask if you plan to rent or buy a property")</f>
        <v>Nine questions to ask if you plan to rent or buy a property</v>
      </c>
      <c r="E65" s="507" t="str">
        <f>IFERROR(__xludf.DUMMYFUNCTION("""COMPUTED_VALUE"""),"https://www.thenationalnews.com/weekend/2022/05/27/nine-questions-to-ask-if-you-plan-to-rent-or-buy-a-property/")</f>
        <v>https://www.thenationalnews.com/weekend/2022/05/27/nine-questions-to-ask-if-you-plan-to-rent-or-buy-a-property/</v>
      </c>
      <c r="F65" s="368" t="str">
        <f>IFERROR(__xludf.DUMMYFUNCTION("""COMPUTED_VALUE"""),"Betterhomes")</f>
        <v>Betterhomes</v>
      </c>
    </row>
    <row r="66">
      <c r="A66" s="402">
        <f>IFERROR(__xludf.DUMMYFUNCTION("""COMPUTED_VALUE"""),44710.0)</f>
        <v>44710</v>
      </c>
      <c r="B66" s="368" t="str">
        <f>IFERROR(__xludf.DUMMYFUNCTION("""COMPUTED_VALUE"""),"Tier 2")</f>
        <v>Tier 2</v>
      </c>
      <c r="C66" s="368" t="str">
        <f>IFERROR(__xludf.DUMMYFUNCTION("""COMPUTED_VALUE"""),"The National")</f>
        <v>The National</v>
      </c>
      <c r="D66" s="368" t="str">
        <f>IFERROR(__xludf.DUMMYFUNCTION("""COMPUTED_VALUE"""),"What UAE families can do to keep down the cost of living")</f>
        <v>What UAE families can do to keep down the cost of living</v>
      </c>
      <c r="E66" s="507" t="str">
        <f>IFERROR(__xludf.DUMMYFUNCTION("""COMPUTED_VALUE"""),"https://www.thenationalnews.com/uae/2022/05/29/what-uae-families-can-do-to-keep-down-the-cost-of-living/")</f>
        <v>https://www.thenationalnews.com/uae/2022/05/29/what-uae-families-can-do-to-keep-down-the-cost-of-living/</v>
      </c>
      <c r="F66" s="368" t="str">
        <f>IFERROR(__xludf.DUMMYFUNCTION("""COMPUTED_VALUE"""),"BH Mortgages")</f>
        <v>BH Mortgages</v>
      </c>
    </row>
    <row r="67">
      <c r="A67" s="402">
        <f>IFERROR(__xludf.DUMMYFUNCTION("""COMPUTED_VALUE"""),44711.0)</f>
        <v>44711</v>
      </c>
      <c r="B67" s="368" t="str">
        <f>IFERROR(__xludf.DUMMYFUNCTION("""COMPUTED_VALUE"""),"Tier 2")</f>
        <v>Tier 2</v>
      </c>
      <c r="C67" s="368" t="str">
        <f>IFERROR(__xludf.DUMMYFUNCTION("""COMPUTED_VALUE"""),"Khaleej Times")</f>
        <v>Khaleej Times</v>
      </c>
      <c r="D67" s="368" t="str">
        <f>IFERROR(__xludf.DUMMYFUNCTION("""COMPUTED_VALUE"""),"Dubai rents to pick up further in 2022")</f>
        <v>Dubai rents to pick up further in 2022</v>
      </c>
      <c r="E67" s="507" t="str">
        <f>IFERROR(__xludf.DUMMYFUNCTION("""COMPUTED_VALUE"""),"https://www.khaleejtimes.com/property/dubai-rents-to-pick-up-further-in-2022")</f>
        <v>https://www.khaleejtimes.com/property/dubai-rents-to-pick-up-further-in-2022</v>
      </c>
      <c r="F67" s="368" t="str">
        <f>IFERROR(__xludf.DUMMYFUNCTION("""COMPUTED_VALUE"""),"Betterhomes")</f>
        <v>Betterhomes</v>
      </c>
    </row>
    <row r="68">
      <c r="A68" s="402">
        <f>IFERROR(__xludf.DUMMYFUNCTION("""COMPUTED_VALUE"""),44711.0)</f>
        <v>44711</v>
      </c>
      <c r="B68" s="368" t="str">
        <f>IFERROR(__xludf.DUMMYFUNCTION("""COMPUTED_VALUE"""),"Tier 2")</f>
        <v>Tier 2</v>
      </c>
      <c r="C68" s="368" t="str">
        <f>IFERROR(__xludf.DUMMYFUNCTION("""COMPUTED_VALUE"""),"Arabian Business ")</f>
        <v>Arabian Business </v>
      </c>
      <c r="D68" s="368" t="str">
        <f>IFERROR(__xludf.DUMMYFUNCTION("""COMPUTED_VALUE"""),"The increase in interest rates has created an all-time high on mortgage applications")</f>
        <v>The increase in interest rates has created an all-time high on mortgage applications</v>
      </c>
      <c r="E68" s="507" t="str">
        <f>IFERROR(__xludf.DUMMYFUNCTION("""COMPUTED_VALUE"""),"https://www.arabianbusiness.com/opinion/the-increase-in-interest-rates-has-created-an-all-time-high-on-mortgage-applications")</f>
        <v>https://www.arabianbusiness.com/opinion/the-increase-in-interest-rates-has-created-an-all-time-high-on-mortgage-applications</v>
      </c>
      <c r="F68" s="368" t="str">
        <f>IFERROR(__xludf.DUMMYFUNCTION("""COMPUTED_VALUE"""),"BH Mortgages")</f>
        <v>BH Mortgages</v>
      </c>
    </row>
    <row r="69">
      <c r="A69" s="402">
        <f>IFERROR(__xludf.DUMMYFUNCTION("""COMPUTED_VALUE"""),44711.0)</f>
        <v>44711</v>
      </c>
      <c r="B69" s="368" t="str">
        <f>IFERROR(__xludf.DUMMYFUNCTION("""COMPUTED_VALUE"""),"Tier 3")</f>
        <v>Tier 3</v>
      </c>
      <c r="C69" s="368" t="str">
        <f>IFERROR(__xludf.DUMMYFUNCTION("""COMPUTED_VALUE"""),"Mena FM")</f>
        <v>Mena FM</v>
      </c>
      <c r="D69" s="368" t="str">
        <f>IFERROR(__xludf.DUMMYFUNCTION("""COMPUTED_VALUE"""),"Dubai Rents To Pick Up Further In 2022")</f>
        <v>Dubai Rents To Pick Up Further In 2022</v>
      </c>
      <c r="E69" s="507" t="str">
        <f>IFERROR(__xludf.DUMMYFUNCTION("""COMPUTED_VALUE"""),"https://menafn.com/1104294803/Dubai-Rents-To-Pick-Up-Further-In-2022")</f>
        <v>https://menafn.com/1104294803/Dubai-Rents-To-Pick-Up-Further-In-2022</v>
      </c>
      <c r="F69" s="368" t="str">
        <f>IFERROR(__xludf.DUMMYFUNCTION("""COMPUTED_VALUE"""),"Betterhomes")</f>
        <v>Betterhomes</v>
      </c>
    </row>
    <row r="70">
      <c r="A70" s="402">
        <f>IFERROR(__xludf.DUMMYFUNCTION("""COMPUTED_VALUE"""),44712.0)</f>
        <v>44712</v>
      </c>
      <c r="B70" s="368" t="str">
        <f>IFERROR(__xludf.DUMMYFUNCTION("""COMPUTED_VALUE"""),"Tier 3")</f>
        <v>Tier 3</v>
      </c>
      <c r="C70" s="368" t="str">
        <f>IFERROR(__xludf.DUMMYFUNCTION("""COMPUTED_VALUE"""),"Reality Titbit")</f>
        <v>Reality Titbit</v>
      </c>
      <c r="D70" s="368" t="str">
        <f>IFERROR(__xludf.DUMMYFUNCTION("""COMPUTED_VALUE"""),"Love Island's Andrew Le Page jets between Dubai and Guernsey as an estate agent")</f>
        <v>Love Island's Andrew Le Page jets between Dubai and Guernsey as an estate agent</v>
      </c>
      <c r="E70" s="507" t="str">
        <f>IFERROR(__xludf.DUMMYFUNCTION("""COMPUTED_VALUE"""),"https://www.realitytitbit.com/dating/love-island/andrew-le-page-estate-agent")</f>
        <v>https://www.realitytitbit.com/dating/love-island/andrew-le-page-estate-agent</v>
      </c>
      <c r="F70" s="368" t="str">
        <f>IFERROR(__xludf.DUMMYFUNCTION("""COMPUTED_VALUE"""),"Betterhomes")</f>
        <v>Betterhomes</v>
      </c>
    </row>
    <row r="71">
      <c r="A71" s="402">
        <f>IFERROR(__xludf.DUMMYFUNCTION("""COMPUTED_VALUE"""),44712.0)</f>
        <v>44712</v>
      </c>
      <c r="B71" s="368" t="str">
        <f>IFERROR(__xludf.DUMMYFUNCTION("""COMPUTED_VALUE"""),"Tier 2")</f>
        <v>Tier 2</v>
      </c>
      <c r="C71" s="368" t="str">
        <f>IFERROR(__xludf.DUMMYFUNCTION("""COMPUTED_VALUE"""),"Whats On")</f>
        <v>Whats On</v>
      </c>
      <c r="D71" s="368" t="str">
        <f>IFERROR(__xludf.DUMMYFUNCTION("""COMPUTED_VALUE"""),"A Dubai real estate agent is on the new series of Love Island")</f>
        <v>A Dubai real estate agent is on the new series of Love Island</v>
      </c>
      <c r="E71" s="507" t="str">
        <f>IFERROR(__xludf.DUMMYFUNCTION("""COMPUTED_VALUE"""),"https://whatson.ae/2022/05/a-dubai-real-estate-agent-is-on-the-new-series-of-love-island/")</f>
        <v>https://whatson.ae/2022/05/a-dubai-real-estate-agent-is-on-the-new-series-of-love-island/</v>
      </c>
      <c r="F71" s="368" t="str">
        <f>IFERROR(__xludf.DUMMYFUNCTION("""COMPUTED_VALUE"""),"Betterhomes")</f>
        <v>Betterhomes</v>
      </c>
    </row>
    <row r="72">
      <c r="A72" s="402">
        <f>IFERROR(__xludf.DUMMYFUNCTION("""COMPUTED_VALUE"""),44713.0)</f>
        <v>44713</v>
      </c>
      <c r="B72" s="368" t="str">
        <f>IFERROR(__xludf.DUMMYFUNCTION("""COMPUTED_VALUE"""),"Tier 3")</f>
        <v>Tier 3</v>
      </c>
      <c r="C72" s="368" t="str">
        <f>IFERROR(__xludf.DUMMYFUNCTION("""COMPUTED_VALUE"""),"Al Bawaba")</f>
        <v>Al Bawaba</v>
      </c>
      <c r="D72" s="368" t="str">
        <f>IFERROR(__xludf.DUMMYFUNCTION("""COMPUTED_VALUE"""),"Bayut &amp; Dubizzle Wow Real Estate Fraternity with the Region’s Biggest Proptech Summit, b3dxb 2022")</f>
        <v>Bayut &amp; Dubizzle Wow Real Estate Fraternity with the Region’s Biggest Proptech Summit, b3dxb 2022</v>
      </c>
      <c r="E72" s="507" t="str">
        <f>IFERROR(__xludf.DUMMYFUNCTION("""COMPUTED_VALUE"""),"https://www.albawaba.com/business/pr/bayut-dubizzle-wow-real-estate-fraternity-region%E2%80%99s-biggest-proptech-summit-b3dxb-2022")</f>
        <v>https://www.albawaba.com/business/pr/bayut-dubizzle-wow-real-estate-fraternity-region%E2%80%99s-biggest-proptech-summit-b3dxb-2022</v>
      </c>
      <c r="F72" s="368" t="str">
        <f>IFERROR(__xludf.DUMMYFUNCTION("""COMPUTED_VALUE"""),"Betterhomes")</f>
        <v>Betterhomes</v>
      </c>
    </row>
    <row r="73">
      <c r="A73" s="402">
        <f>IFERROR(__xludf.DUMMYFUNCTION("""COMPUTED_VALUE"""),44714.0)</f>
        <v>44714</v>
      </c>
      <c r="B73" s="368" t="str">
        <f>IFERROR(__xludf.DUMMYFUNCTION("""COMPUTED_VALUE"""),"Tier 2")</f>
        <v>Tier 2</v>
      </c>
      <c r="C73" s="368" t="str">
        <f>IFERROR(__xludf.DUMMYFUNCTION("""COMPUTED_VALUE"""),"Whats On")</f>
        <v>Whats On</v>
      </c>
      <c r="D73" s="368" t="str">
        <f>IFERROR(__xludf.DUMMYFUNCTION("""COMPUTED_VALUE"""),"This Dubai bar is hosting a Love Island screening party")</f>
        <v>This Dubai bar is hosting a Love Island screening party</v>
      </c>
      <c r="E73" s="507" t="str">
        <f>IFERROR(__xludf.DUMMYFUNCTION("""COMPUTED_VALUE"""),"https://whatson.ae/2022/06/dubai-bar-the-cheeky-camel-love-island-screening-party/")</f>
        <v>https://whatson.ae/2022/06/dubai-bar-the-cheeky-camel-love-island-screening-party/</v>
      </c>
      <c r="F73" s="368" t="str">
        <f>IFERROR(__xludf.DUMMYFUNCTION("""COMPUTED_VALUE"""),"Betterhomes")</f>
        <v>Betterhomes</v>
      </c>
    </row>
    <row r="74">
      <c r="A74" s="402">
        <f>IFERROR(__xludf.DUMMYFUNCTION("""COMPUTED_VALUE"""),44721.0)</f>
        <v>44721</v>
      </c>
      <c r="B74" s="368" t="str">
        <f>IFERROR(__xludf.DUMMYFUNCTION("""COMPUTED_VALUE"""),"Tier 2")</f>
        <v>Tier 2</v>
      </c>
      <c r="C74" s="368" t="str">
        <f>IFERROR(__xludf.DUMMYFUNCTION("""COMPUTED_VALUE"""),"Zawya")</f>
        <v>Zawya</v>
      </c>
      <c r="D74" s="368" t="str">
        <f>IFERROR(__xludf.DUMMYFUNCTION("""COMPUTED_VALUE"""),"CRC witnessed the demand for quality commercial office space hit its highest peak since 2016")</f>
        <v>CRC witnessed the demand for quality commercial office space hit its highest peak since 2016</v>
      </c>
      <c r="E74" s="507" t="str">
        <f>IFERROR(__xludf.DUMMYFUNCTION("""COMPUTED_VALUE"""),"https://www.zawya.com/en/press-release/companies-news/crc-witnessed-the-demand-for-quality-commercial-office-space-hit-its-highest-peak-since-2016-d8jtcq2t")</f>
        <v>https://www.zawya.com/en/press-release/companies-news/crc-witnessed-the-demand-for-quality-commercial-office-space-hit-its-highest-peak-since-2016-d8jtcq2t</v>
      </c>
      <c r="F74" s="368" t="str">
        <f>IFERROR(__xludf.DUMMYFUNCTION("""COMPUTED_VALUE"""),"CRC")</f>
        <v>CRC</v>
      </c>
    </row>
    <row r="75">
      <c r="A75" s="402">
        <f>IFERROR(__xludf.DUMMYFUNCTION("""COMPUTED_VALUE"""),44721.0)</f>
        <v>44721</v>
      </c>
      <c r="B75" s="368" t="str">
        <f>IFERROR(__xludf.DUMMYFUNCTION("""COMPUTED_VALUE"""),"Tier 2")</f>
        <v>Tier 2</v>
      </c>
      <c r="C75" s="368" t="str">
        <f>IFERROR(__xludf.DUMMYFUNCTION("""COMPUTED_VALUE"""),"ME Contruction News")</f>
        <v>ME Contruction News</v>
      </c>
      <c r="D75" s="368" t="str">
        <f>IFERROR(__xludf.DUMMYFUNCTION("""COMPUTED_VALUE"""),"Grade A commercial real estate sees surge in May 2022 says CRC")</f>
        <v>Grade A commercial real estate sees surge in May 2022 says CRC</v>
      </c>
      <c r="E75" s="507" t="str">
        <f>IFERROR(__xludf.DUMMYFUNCTION("""COMPUTED_VALUE"""),"https://meconstructionnews.com/52640/grade-a-commercial-real-estate-sees-surge-in-may-2022-says-crc")</f>
        <v>https://meconstructionnews.com/52640/grade-a-commercial-real-estate-sees-surge-in-may-2022-says-crc</v>
      </c>
      <c r="F75" s="368" t="str">
        <f>IFERROR(__xludf.DUMMYFUNCTION("""COMPUTED_VALUE"""),"CRC")</f>
        <v>CRC</v>
      </c>
    </row>
    <row r="76">
      <c r="A76" s="402">
        <f>IFERROR(__xludf.DUMMYFUNCTION("""COMPUTED_VALUE"""),44724.0)</f>
        <v>44724</v>
      </c>
      <c r="B76" s="368" t="str">
        <f>IFERROR(__xludf.DUMMYFUNCTION("""COMPUTED_VALUE"""),"Tier 2")</f>
        <v>Tier 2</v>
      </c>
      <c r="C76" s="368" t="str">
        <f>IFERROR(__xludf.DUMMYFUNCTION("""COMPUTED_VALUE"""),"The Guardian")</f>
        <v>The Guardian</v>
      </c>
      <c r="D76" s="368" t="str">
        <f>IFERROR(__xludf.DUMMYFUNCTION("""COMPUTED_VALUE"""),"Blacklist Dubai over failure to crack down on Russian oligarchs, say campaigners")</f>
        <v>Blacklist Dubai over failure to crack down on Russian oligarchs, say campaigners</v>
      </c>
      <c r="E76" s="507" t="str">
        <f>IFERROR(__xludf.DUMMYFUNCTION("""COMPUTED_VALUE"""),"https://www.theguardian.com/world/2022/jun/11/blacklist-dubai-uae-over-russian-oligarchs-say-ukraine-campaigners")</f>
        <v>https://www.theguardian.com/world/2022/jun/11/blacklist-dubai-uae-over-russian-oligarchs-say-ukraine-campaigners</v>
      </c>
      <c r="F76" s="368" t="str">
        <f>IFERROR(__xludf.DUMMYFUNCTION("""COMPUTED_VALUE"""),"Betterhomes")</f>
        <v>Betterhomes</v>
      </c>
    </row>
    <row r="77">
      <c r="A77" s="402">
        <f>IFERROR(__xludf.DUMMYFUNCTION("""COMPUTED_VALUE"""),44724.0)</f>
        <v>44724</v>
      </c>
      <c r="B77" s="368" t="str">
        <f>IFERROR(__xludf.DUMMYFUNCTION("""COMPUTED_VALUE"""),"Tier 3")</f>
        <v>Tier 3</v>
      </c>
      <c r="C77" s="368" t="str">
        <f>IFERROR(__xludf.DUMMYFUNCTION("""COMPUTED_VALUE"""),"The New Arab")</f>
        <v>The New Arab</v>
      </c>
      <c r="D77" s="368" t="str">
        <f>IFERROR(__xludf.DUMMYFUNCTION("""COMPUTED_VALUE"""),"UAE a 'haven for oligarchs' that must be blacklisted:critics")</f>
        <v>UAE a 'haven for oligarchs' that must be blacklisted:critics</v>
      </c>
      <c r="E77" s="507" t="str">
        <f>IFERROR(__xludf.DUMMYFUNCTION("""COMPUTED_VALUE"""),"https://english.alaraby.co.uk/news/uae-haven-oligarchs-must-be-blacklistedcritics")</f>
        <v>https://english.alaraby.co.uk/news/uae-haven-oligarchs-must-be-blacklistedcritics</v>
      </c>
      <c r="F77" s="368" t="str">
        <f>IFERROR(__xludf.DUMMYFUNCTION("""COMPUTED_VALUE"""),"Betterhomes")</f>
        <v>Betterhomes</v>
      </c>
    </row>
    <row r="78">
      <c r="A78" s="402">
        <f>IFERROR(__xludf.DUMMYFUNCTION("""COMPUTED_VALUE"""),44727.0)</f>
        <v>44727</v>
      </c>
      <c r="B78" s="368" t="str">
        <f>IFERROR(__xludf.DUMMYFUNCTION("""COMPUTED_VALUE"""),"Tier 3")</f>
        <v>Tier 3</v>
      </c>
      <c r="C78" s="368" t="str">
        <f>IFERROR(__xludf.DUMMYFUNCTION("""COMPUTED_VALUE"""),"Euroeporter")</f>
        <v>Euroeporter</v>
      </c>
      <c r="D78" s="368" t="str">
        <f>IFERROR(__xludf.DUMMYFUNCTION("""COMPUTED_VALUE"""),"United Arab Emirates has emerged as a haven for Russians fleeing the impact of western sanctions - but how long will it last?")</f>
        <v>United Arab Emirates has emerged as a haven for Russians fleeing the impact of western sanctions - but how long will it last?</v>
      </c>
      <c r="E78" s="507" t="str">
        <f>IFERROR(__xludf.DUMMYFUNCTION("""COMPUTED_VALUE"""),"https://www.eureporter.co/world/ukraine/2022/06/14/united-arab-emirates-has-emerged-as-a-haven-for-russians-fleeing-the-impact-of-western-sanctions-but-how-long-will-it-last/")</f>
        <v>https://www.eureporter.co/world/ukraine/2022/06/14/united-arab-emirates-has-emerged-as-a-haven-for-russians-fleeing-the-impact-of-western-sanctions-but-how-long-will-it-last/</v>
      </c>
      <c r="F78" s="368" t="str">
        <f>IFERROR(__xludf.DUMMYFUNCTION("""COMPUTED_VALUE"""),"Betterhomes")</f>
        <v>Betterhomes</v>
      </c>
    </row>
    <row r="79">
      <c r="A79" s="402">
        <f>IFERROR(__xludf.DUMMYFUNCTION("""COMPUTED_VALUE"""),44732.0)</f>
        <v>44732</v>
      </c>
      <c r="B79" s="368" t="str">
        <f>IFERROR(__xludf.DUMMYFUNCTION("""COMPUTED_VALUE"""),"Tier 2")</f>
        <v>Tier 2</v>
      </c>
      <c r="C79" s="368" t="str">
        <f>IFERROR(__xludf.DUMMYFUNCTION("""COMPUTED_VALUE"""),"Zawya")</f>
        <v>Zawya</v>
      </c>
      <c r="D79" s="368" t="str">
        <f>IFERROR(__xludf.DUMMYFUNCTION("""COMPUTED_VALUE"""),"Russian investors in Dubai real estate have doubled in 2022, top brokers say")</f>
        <v>Russian investors in Dubai real estate have doubled in 2022, top brokers say</v>
      </c>
      <c r="E79" s="507" t="str">
        <f>IFERROR(__xludf.DUMMYFUNCTION("""COMPUTED_VALUE"""),"https://www.zawya.com/en/business/real-estate/russian-investors-in-dubai-real-estate-have-doubled-in-2022-top-brokers-say-cdr6sqp0")</f>
        <v>https://www.zawya.com/en/business/real-estate/russian-investors-in-dubai-real-estate-have-doubled-in-2022-top-brokers-say-cdr6sqp0</v>
      </c>
      <c r="F79" s="368" t="str">
        <f>IFERROR(__xludf.DUMMYFUNCTION("""COMPUTED_VALUE"""),"Betterhomes")</f>
        <v>Betterhomes</v>
      </c>
    </row>
    <row r="80">
      <c r="A80" s="402">
        <f>IFERROR(__xludf.DUMMYFUNCTION("""COMPUTED_VALUE"""),44732.0)</f>
        <v>44732</v>
      </c>
      <c r="B80" s="368" t="str">
        <f>IFERROR(__xludf.DUMMYFUNCTION("""COMPUTED_VALUE"""),"Tier 2")</f>
        <v>Tier 2</v>
      </c>
      <c r="C80" s="368" t="str">
        <f>IFERROR(__xludf.DUMMYFUNCTION("""COMPUTED_VALUE"""),"Gulf News")</f>
        <v>Gulf News</v>
      </c>
      <c r="D80" s="368" t="str">
        <f>IFERROR(__xludf.DUMMYFUNCTION("""COMPUTED_VALUE"""),"Dubai developers need to bring back longer post-handover payment plans to help offplan buyers")</f>
        <v>Dubai developers need to bring back longer post-handover payment plans to help offplan buyers</v>
      </c>
      <c r="E80" s="507" t="str">
        <f>IFERROR(__xludf.DUMMYFUNCTION("""COMPUTED_VALUE"""),"https://gulfnews.com/business/property/dubai-developers-need-to-bring-back-longer-post-handover-payment-plans-to-help-offplan-buyers-1.1655783971158")</f>
        <v>https://gulfnews.com/business/property/dubai-developers-need-to-bring-back-longer-post-handover-payment-plans-to-help-offplan-buyers-1.1655783971158</v>
      </c>
      <c r="F80" s="368" t="str">
        <f>IFERROR(__xludf.DUMMYFUNCTION("""COMPUTED_VALUE"""),"BH Off-Plan")</f>
        <v>BH Off-Plan</v>
      </c>
    </row>
    <row r="81">
      <c r="A81" s="402">
        <f>IFERROR(__xludf.DUMMYFUNCTION("""COMPUTED_VALUE"""),44733.0)</f>
        <v>44733</v>
      </c>
      <c r="B81" s="368" t="str">
        <f>IFERROR(__xludf.DUMMYFUNCTION("""COMPUTED_VALUE"""),"Tier 2")</f>
        <v>Tier 2</v>
      </c>
      <c r="C81" s="368" t="str">
        <f>IFERROR(__xludf.DUMMYFUNCTION("""COMPUTED_VALUE"""),"The National ")</f>
        <v>The National </v>
      </c>
      <c r="D81" s="368" t="str">
        <f>IFERROR(__xludf.DUMMYFUNCTION("""COMPUTED_VALUE"""),"Has Dubai’s city centre turned towards Business Bay amid soaring property prices?")</f>
        <v>Has Dubai’s city centre turned towards Business Bay amid soaring property prices?</v>
      </c>
      <c r="E81" s="507" t="str">
        <f>IFERROR(__xludf.DUMMYFUNCTION("""COMPUTED_VALUE"""),"https://www.thenationalnews.com/business/property/2022/06/21/has-dubais-city-centre-turned-towards-business-bay-amid-soaring-property-prices/")</f>
        <v>https://www.thenationalnews.com/business/property/2022/06/21/has-dubais-city-centre-turned-towards-business-bay-amid-soaring-property-prices/</v>
      </c>
      <c r="F81" s="368" t="str">
        <f>IFERROR(__xludf.DUMMYFUNCTION("""COMPUTED_VALUE"""),"Betterhomes")</f>
        <v>Betterhomes</v>
      </c>
    </row>
    <row r="82">
      <c r="A82" s="402">
        <f>IFERROR(__xludf.DUMMYFUNCTION("""COMPUTED_VALUE"""),44735.0)</f>
        <v>44735</v>
      </c>
      <c r="B82" s="368" t="str">
        <f>IFERROR(__xludf.DUMMYFUNCTION("""COMPUTED_VALUE"""),"Tier 2")</f>
        <v>Tier 2</v>
      </c>
      <c r="C82" s="368" t="str">
        <f>IFERROR(__xludf.DUMMYFUNCTION("""COMPUTED_VALUE"""),"Zawya")</f>
        <v>Zawya</v>
      </c>
      <c r="D82" s="368" t="str">
        <f>IFERROR(__xludf.DUMMYFUNCTION("""COMPUTED_VALUE"""),"Untapped areas remain ripe for luxury development amidst market boom")</f>
        <v>Untapped areas remain ripe for luxury development amidst market boom</v>
      </c>
      <c r="E82" s="507" t="str">
        <f>IFERROR(__xludf.DUMMYFUNCTION("""COMPUTED_VALUE"""),"https://www.zawya.com/en/press-release/companies-news/untapped-areas-remain-ripe-for-luxury-development-amidst-market-boom-rk7x6fdr")</f>
        <v>https://www.zawya.com/en/press-release/companies-news/untapped-areas-remain-ripe-for-luxury-development-amidst-market-boom-rk7x6fdr</v>
      </c>
      <c r="F82" s="368" t="str">
        <f>IFERROR(__xludf.DUMMYFUNCTION("""COMPUTED_VALUE"""),"Betterhomes")</f>
        <v>Betterhomes</v>
      </c>
    </row>
    <row r="83">
      <c r="A83" s="402">
        <f>IFERROR(__xludf.DUMMYFUNCTION("""COMPUTED_VALUE"""),44740.0)</f>
        <v>44740</v>
      </c>
      <c r="B83" s="368" t="str">
        <f>IFERROR(__xludf.DUMMYFUNCTION("""COMPUTED_VALUE"""),"Tier 2")</f>
        <v>Tier 2</v>
      </c>
      <c r="C83" s="368" t="str">
        <f>IFERROR(__xludf.DUMMYFUNCTION("""COMPUTED_VALUE"""),"The National ")</f>
        <v>The National </v>
      </c>
      <c r="D83" s="368" t="str">
        <f>IFERROR(__xludf.DUMMYFUNCTION("""COMPUTED_VALUE"""),"Is now the time to invest in UAE property? — 'Pocketful of Dirhams'")</f>
        <v>Is now the time to invest in UAE property? — 'Pocketful of Dirhams'</v>
      </c>
      <c r="E83" s="507" t="str">
        <f>IFERROR(__xludf.DUMMYFUNCTION("""COMPUTED_VALUE"""),"https://www.thenationalnews.com/podcasts/pocketful-of-dirhams/2022/06/28/is-now-the-time-to-invest-in-uae-property-pocketful-of-dirhams/")</f>
        <v>https://www.thenationalnews.com/podcasts/pocketful-of-dirhams/2022/06/28/is-now-the-time-to-invest-in-uae-property-pocketful-of-dirhams/</v>
      </c>
      <c r="F83" s="368" t="str">
        <f>IFERROR(__xludf.DUMMYFUNCTION("""COMPUTED_VALUE"""),"Betterhomes")</f>
        <v>Betterhomes</v>
      </c>
    </row>
    <row r="84">
      <c r="A84" s="402">
        <f>IFERROR(__xludf.DUMMYFUNCTION("""COMPUTED_VALUE"""),44749.0)</f>
        <v>44749</v>
      </c>
      <c r="B84" s="368" t="str">
        <f>IFERROR(__xludf.DUMMYFUNCTION("""COMPUTED_VALUE"""),"Tier 2")</f>
        <v>Tier 2</v>
      </c>
      <c r="C84" s="368" t="str">
        <f>IFERROR(__xludf.DUMMYFUNCTION("""COMPUTED_VALUE"""),"Zawya")</f>
        <v>Zawya</v>
      </c>
      <c r="D84" s="368" t="str">
        <f>IFERROR(__xludf.DUMMYFUNCTION("""COMPUTED_VALUE"""),"Houza.com, the Dubai-based property portal appoints Jean-Pierre Mondalek as CEO")</f>
        <v>Houza.com, the Dubai-based property portal appoints Jean-Pierre Mondalek as CEO</v>
      </c>
      <c r="E84" s="507" t="str">
        <f>IFERROR(__xludf.DUMMYFUNCTION("""COMPUTED_VALUE"""),"https://www.zawya.com/en/press-release/people-in-the-news/houzacom-the-dubai-based-property-portal-appoints-jean-pierre-mondalek-as-ceo-sj0mqcvm")</f>
        <v>https://www.zawya.com/en/press-release/people-in-the-news/houzacom-the-dubai-based-property-portal-appoints-jean-pierre-mondalek-as-ceo-sj0mqcvm</v>
      </c>
      <c r="F84" s="368" t="str">
        <f>IFERROR(__xludf.DUMMYFUNCTION("""COMPUTED_VALUE"""),"Betterhomes")</f>
        <v>Betterhomes</v>
      </c>
    </row>
    <row r="85">
      <c r="A85" s="402">
        <f>IFERROR(__xludf.DUMMYFUNCTION("""COMPUTED_VALUE"""),44750.0)</f>
        <v>44750</v>
      </c>
      <c r="B85" s="368" t="str">
        <f>IFERROR(__xludf.DUMMYFUNCTION("""COMPUTED_VALUE"""),"Tier 1")</f>
        <v>Tier 1</v>
      </c>
      <c r="C85" s="368" t="str">
        <f>IFERROR(__xludf.DUMMYFUNCTION("""COMPUTED_VALUE"""),"CNBC")</f>
        <v>CNBC</v>
      </c>
      <c r="D85" s="368" t="str">
        <f>IFERROR(__xludf.DUMMYFUNCTION("""COMPUTED_VALUE"""),"Villas by the sea: Rich Russians fleeing sanctions are pumping up Dubai’s property sector")</f>
        <v>Villas by the sea: Rich Russians fleeing sanctions are pumping up Dubai’s property sector</v>
      </c>
      <c r="E85" s="507" t="str">
        <f>IFERROR(__xludf.DUMMYFUNCTION("""COMPUTED_VALUE"""),"https://www.cnbc.com/2022/07/07/rich-russians-fleeing-sanctions-are-pumping-up-dubais-property-sector.html")</f>
        <v>https://www.cnbc.com/2022/07/07/rich-russians-fleeing-sanctions-are-pumping-up-dubais-property-sector.html</v>
      </c>
      <c r="F85" s="368" t="str">
        <f>IFERROR(__xludf.DUMMYFUNCTION("""COMPUTED_VALUE"""),"Betterhomes")</f>
        <v>Betterhomes</v>
      </c>
    </row>
    <row r="86">
      <c r="A86" s="402">
        <f>IFERROR(__xludf.DUMMYFUNCTION("""COMPUTED_VALUE"""),44750.0)</f>
        <v>44750</v>
      </c>
      <c r="B86" s="368" t="str">
        <f>IFERROR(__xludf.DUMMYFUNCTION("""COMPUTED_VALUE"""),"Tier 2")</f>
        <v>Tier 2</v>
      </c>
      <c r="C86" s="368" t="str">
        <f>IFERROR(__xludf.DUMMYFUNCTION("""COMPUTED_VALUE"""),"The National ")</f>
        <v>The National </v>
      </c>
      <c r="D86" s="368" t="str">
        <f>IFERROR(__xludf.DUMMYFUNCTION("""COMPUTED_VALUE"""),"Are top Dubai property prices going above Dh300m?")</f>
        <v>Are top Dubai property prices going above Dh300m?</v>
      </c>
      <c r="E86" s="507" t="str">
        <f>IFERROR(__xludf.DUMMYFUNCTION("""COMPUTED_VALUE"""),"https://www.thenationalnews.com/business/property/2022/07/08/are-top-dubai-property-prices-going-above-dh300m/")</f>
        <v>https://www.thenationalnews.com/business/property/2022/07/08/are-top-dubai-property-prices-going-above-dh300m/</v>
      </c>
      <c r="F86" s="368" t="str">
        <f>IFERROR(__xludf.DUMMYFUNCTION("""COMPUTED_VALUE"""),"Betterhomes")</f>
        <v>Betterhomes</v>
      </c>
    </row>
    <row r="87">
      <c r="A87" s="402">
        <f>IFERROR(__xludf.DUMMYFUNCTION("""COMPUTED_VALUE"""),44750.0)</f>
        <v>44750</v>
      </c>
      <c r="B87" s="368" t="str">
        <f>IFERROR(__xludf.DUMMYFUNCTION("""COMPUTED_VALUE"""),"Tier 3")</f>
        <v>Tier 3</v>
      </c>
      <c r="C87" s="368" t="str">
        <f>IFERROR(__xludf.DUMMYFUNCTION("""COMPUTED_VALUE"""),"Kalgoorlie Miner")</f>
        <v>Kalgoorlie Miner</v>
      </c>
      <c r="D87" s="368" t="str">
        <f>IFERROR(__xludf.DUMMYFUNCTION("""COMPUTED_VALUE"""),"Villas by the sea: Rich Russians fleeing sanctions are pumping up Dubai’s property sector")</f>
        <v>Villas by the sea: Rich Russians fleeing sanctions are pumping up Dubai’s property sector</v>
      </c>
      <c r="E87" s="507" t="str">
        <f>IFERROR(__xludf.DUMMYFUNCTION("""COMPUTED_VALUE"""),"https://www.kalminer.com.au/business/cnbc/villas-by-the-sea-rich-russians-fleeing-sanctions-are-pumping-up-dubais-property-sector-c-7449496")</f>
        <v>https://www.kalminer.com.au/business/cnbc/villas-by-the-sea-rich-russians-fleeing-sanctions-are-pumping-up-dubais-property-sector-c-7449496</v>
      </c>
      <c r="F87" s="368" t="str">
        <f>IFERROR(__xludf.DUMMYFUNCTION("""COMPUTED_VALUE"""),"Betterhomes")</f>
        <v>Betterhomes</v>
      </c>
    </row>
    <row r="88">
      <c r="A88" s="402">
        <f>IFERROR(__xludf.DUMMYFUNCTION("""COMPUTED_VALUE"""),44755.0)</f>
        <v>44755</v>
      </c>
      <c r="B88" s="368" t="str">
        <f>IFERROR(__xludf.DUMMYFUNCTION("""COMPUTED_VALUE"""),"Tier 2")</f>
        <v>Tier 2</v>
      </c>
      <c r="C88" s="368" t="str">
        <f>IFERROR(__xludf.DUMMYFUNCTION("""COMPUTED_VALUE"""),"Gulf News")</f>
        <v>Gulf News</v>
      </c>
      <c r="D88" s="368" t="str">
        <f>IFERROR(__xludf.DUMMYFUNCTION("""COMPUTED_VALUE"""),"Planning to rent a new home in Dubai - then just do it fast")</f>
        <v>Planning to rent a new home in Dubai - then just do it fast</v>
      </c>
      <c r="E88" s="507" t="str">
        <f>IFERROR(__xludf.DUMMYFUNCTION("""COMPUTED_VALUE"""),"https://gulfnews.com/business/property/planning-to-rent-a-new-home-in-dubai---then-just-do-it-fast-1.1657682956150")</f>
        <v>https://gulfnews.com/business/property/planning-to-rent-a-new-home-in-dubai---then-just-do-it-fast-1.1657682956150</v>
      </c>
      <c r="F88" s="368" t="str">
        <f>IFERROR(__xludf.DUMMYFUNCTION("""COMPUTED_VALUE"""),"Betterhomes")</f>
        <v>Betterhomes</v>
      </c>
    </row>
    <row r="89">
      <c r="A89" s="402">
        <f>IFERROR(__xludf.DUMMYFUNCTION("""COMPUTED_VALUE"""),44760.0)</f>
        <v>44760</v>
      </c>
      <c r="B89" s="368" t="str">
        <f>IFERROR(__xludf.DUMMYFUNCTION("""COMPUTED_VALUE"""),"Tier 2")</f>
        <v>Tier 2</v>
      </c>
      <c r="C89" s="368" t="str">
        <f>IFERROR(__xludf.DUMMYFUNCTION("""COMPUTED_VALUE"""),"Arabian Business ")</f>
        <v>Arabian Business </v>
      </c>
      <c r="D89" s="368" t="str">
        <f>IFERROR(__xludf.DUMMYFUNCTION("""COMPUTED_VALUE"""),"Dubai commercial real estate sales value jumps 89 percent in first half of 2022: Report")</f>
        <v>Dubai commercial real estate sales value jumps 89 percent in first half of 2022: Report</v>
      </c>
      <c r="E89" s="507" t="str">
        <f>IFERROR(__xludf.DUMMYFUNCTION("""COMPUTED_VALUE"""),"https://www.arabianbusiness.com/money/wealth/money-wealth-real-estate/dubai-commercial-real-estate-sales-value-jumps-89-percent-in-first-half-of-2022-report")</f>
        <v>https://www.arabianbusiness.com/money/wealth/money-wealth-real-estate/dubai-commercial-real-estate-sales-value-jumps-89-percent-in-first-half-of-2022-report</v>
      </c>
      <c r="F89" s="368" t="str">
        <f>IFERROR(__xludf.DUMMYFUNCTION("""COMPUTED_VALUE"""),"CRC")</f>
        <v>CRC</v>
      </c>
    </row>
    <row r="90">
      <c r="A90" s="402">
        <f>IFERROR(__xludf.DUMMYFUNCTION("""COMPUTED_VALUE"""),44761.0)</f>
        <v>44761</v>
      </c>
      <c r="B90" s="368" t="str">
        <f>IFERROR(__xludf.DUMMYFUNCTION("""COMPUTED_VALUE"""),"Tier 2")</f>
        <v>Tier 2</v>
      </c>
      <c r="C90" s="368" t="str">
        <f>IFERROR(__xludf.DUMMYFUNCTION("""COMPUTED_VALUE"""),"Zawya")</f>
        <v>Zawya</v>
      </c>
      <c r="D90" s="368" t="str">
        <f>IFERROR(__xludf.DUMMYFUNCTION("""COMPUTED_VALUE"""),"The commercial real estate market witnessed 89% growth in sales for H1 2022")</f>
        <v>The commercial real estate market witnessed 89% growth in sales for H1 2022</v>
      </c>
      <c r="E90" s="507" t="str">
        <f>IFERROR(__xludf.DUMMYFUNCTION("""COMPUTED_VALUE"""),"https://www.zawya.com/en/press-release/research-and-studies/the-commercial-real-estate-market-witnessed-89-growth-in-sales-for-h1-2022-yke1ratr")</f>
        <v>https://www.zawya.com/en/press-release/research-and-studies/the-commercial-real-estate-market-witnessed-89-growth-in-sales-for-h1-2022-yke1ratr</v>
      </c>
      <c r="F90" s="368" t="str">
        <f>IFERROR(__xludf.DUMMYFUNCTION("""COMPUTED_VALUE"""),"CRC")</f>
        <v>CRC</v>
      </c>
    </row>
    <row r="91">
      <c r="A91" s="402">
        <f>IFERROR(__xludf.DUMMYFUNCTION("""COMPUTED_VALUE"""),44762.0)</f>
        <v>44762</v>
      </c>
      <c r="B91" s="368" t="str">
        <f>IFERROR(__xludf.DUMMYFUNCTION("""COMPUTED_VALUE"""),"Tier 2")</f>
        <v>Tier 2</v>
      </c>
      <c r="C91" s="368" t="str">
        <f>IFERROR(__xludf.DUMMYFUNCTION("""COMPUTED_VALUE"""),"Dubai eye 103.8")</f>
        <v>Dubai eye 103.8</v>
      </c>
      <c r="D91" s="368" t="str">
        <f>IFERROR(__xludf.DUMMYFUNCTION("""COMPUTED_VALUE"""),"Market Report Interview ")</f>
        <v>Market Report Interview </v>
      </c>
      <c r="E91" s="507" t="str">
        <f>IFERROR(__xludf.DUMMYFUNCTION("""COMPUTED_VALUE"""),"https://www.linkedin.com/posts/crc-property_head-of-crc-andrew-elliott-live-on-the-business-activity-6957618158002139136-Osgl?utm_source=linkedin_share&amp;utm_medium=member_desktop_web")</f>
        <v>https://www.linkedin.com/posts/crc-property_head-of-crc-andrew-elliott-live-on-the-business-activity-6957618158002139136-Osgl?utm_source=linkedin_share&amp;utm_medium=member_desktop_web</v>
      </c>
      <c r="F91" s="368" t="str">
        <f>IFERROR(__xludf.DUMMYFUNCTION("""COMPUTED_VALUE"""),"CRC")</f>
        <v>CRC</v>
      </c>
    </row>
    <row r="92">
      <c r="A92" s="402">
        <f>IFERROR(__xludf.DUMMYFUNCTION("""COMPUTED_VALUE"""),44768.0)</f>
        <v>44768</v>
      </c>
      <c r="B92" s="368" t="str">
        <f>IFERROR(__xludf.DUMMYFUNCTION("""COMPUTED_VALUE"""),"Tier 2")</f>
        <v>Tier 2</v>
      </c>
      <c r="C92" s="368" t="str">
        <f>IFERROR(__xludf.DUMMYFUNCTION("""COMPUTED_VALUE"""),"Gulf News")</f>
        <v>Gulf News</v>
      </c>
      <c r="D92" s="368" t="str">
        <f>IFERROR(__xludf.DUMMYFUNCTION("""COMPUTED_VALUE"""),"In Dubai, residents find rent renewals offer cheaper option in H1-2022")</f>
        <v>In Dubai, residents find rent renewals offer cheaper option in H1-2022</v>
      </c>
      <c r="E92" s="507" t="str">
        <f>IFERROR(__xludf.DUMMYFUNCTION("""COMPUTED_VALUE"""),"https://gulfnews.com/business/property/in-dubai-residents-find-rent-renewals-offer-cheaper-option-in-h1-2022-1.89517839")</f>
        <v>https://gulfnews.com/business/property/in-dubai-residents-find-rent-renewals-offer-cheaper-option-in-h1-2022-1.89517839</v>
      </c>
      <c r="F92" s="368" t="str">
        <f>IFERROR(__xludf.DUMMYFUNCTION("""COMPUTED_VALUE"""),"Betterhomes")</f>
        <v>Betterhomes</v>
      </c>
    </row>
    <row r="93">
      <c r="A93" s="402">
        <f>IFERROR(__xludf.DUMMYFUNCTION("""COMPUTED_VALUE"""),44769.0)</f>
        <v>44769</v>
      </c>
      <c r="B93" s="368" t="str">
        <f>IFERROR(__xludf.DUMMYFUNCTION("""COMPUTED_VALUE"""),"Tier 2")</f>
        <v>Tier 2</v>
      </c>
      <c r="C93" s="368" t="str">
        <f>IFERROR(__xludf.DUMMYFUNCTION("""COMPUTED_VALUE"""),"Dubai eye ")</f>
        <v>Dubai eye </v>
      </c>
      <c r="D93" s="368" t="str">
        <f>IFERROR(__xludf.DUMMYFUNCTION("""COMPUTED_VALUE"""),"Market Report Interview ")</f>
        <v>Market Report Interview </v>
      </c>
      <c r="E93" s="507" t="str">
        <f>IFERROR(__xludf.DUMMYFUNCTION("""COMPUTED_VALUE"""),"https://www.linkedin.com/posts/better-homes-llc_richard-waind-on-the-business-breakfast-activity-6958047289240117249-kP3m?utm_source=linkedin_share&amp;utm_medium=member_desktop_web")</f>
        <v>https://www.linkedin.com/posts/better-homes-llc_richard-waind-on-the-business-breakfast-activity-6958047289240117249-kP3m?utm_source=linkedin_share&amp;utm_medium=member_desktop_web</v>
      </c>
      <c r="F93" s="368" t="str">
        <f>IFERROR(__xludf.DUMMYFUNCTION("""COMPUTED_VALUE"""),"Betterhomes")</f>
        <v>Betterhomes</v>
      </c>
    </row>
    <row r="94">
      <c r="A94" s="402">
        <f>IFERROR(__xludf.DUMMYFUNCTION("""COMPUTED_VALUE"""),44770.0)</f>
        <v>44770</v>
      </c>
      <c r="B94" s="368" t="str">
        <f>IFERROR(__xludf.DUMMYFUNCTION("""COMPUTED_VALUE"""),"Tier 2")</f>
        <v>Tier 2</v>
      </c>
      <c r="C94" s="368" t="str">
        <f>IFERROR(__xludf.DUMMYFUNCTION("""COMPUTED_VALUE"""),"Khaleej Times")</f>
        <v>Khaleej Times</v>
      </c>
      <c r="D94" s="368" t="str">
        <f>IFERROR(__xludf.DUMMYFUNCTION("""COMPUTED_VALUE"""),"Dubai remains prime target of property investors")</f>
        <v>Dubai remains prime target of property investors</v>
      </c>
      <c r="E94" s="507" t="str">
        <f>IFERROR(__xludf.DUMMYFUNCTION("""COMPUTED_VALUE"""),"https://www.khaleejtimes.com/business/dubai-remains-prime-target-of-property-investors")</f>
        <v>https://www.khaleejtimes.com/business/dubai-remains-prime-target-of-property-investors</v>
      </c>
      <c r="F94" s="368" t="str">
        <f>IFERROR(__xludf.DUMMYFUNCTION("""COMPUTED_VALUE"""),"Betterhomes")</f>
        <v>Betterhomes</v>
      </c>
    </row>
    <row r="95">
      <c r="A95" s="402">
        <f>IFERROR(__xludf.DUMMYFUNCTION("""COMPUTED_VALUE"""),44770.0)</f>
        <v>44770</v>
      </c>
      <c r="B95" s="368" t="str">
        <f>IFERROR(__xludf.DUMMYFUNCTION("""COMPUTED_VALUE"""),"Tier 2")</f>
        <v>Tier 2</v>
      </c>
      <c r="C95" s="368" t="str">
        <f>IFERROR(__xludf.DUMMYFUNCTION("""COMPUTED_VALUE"""),"Zawya")</f>
        <v>Zawya</v>
      </c>
      <c r="D95" s="368" t="str">
        <f>IFERROR(__xludf.DUMMYFUNCTION("""COMPUTED_VALUE"""),"Dubai remains prime target of property investors")</f>
        <v>Dubai remains prime target of property investors</v>
      </c>
      <c r="E95" s="507" t="str">
        <f>IFERROR(__xludf.DUMMYFUNCTION("""COMPUTED_VALUE"""),"https://www.zawya.com/en/business/real-estate/dubai-remains-prime-target-of-property-investors-rx1gcgeg")</f>
        <v>https://www.zawya.com/en/business/real-estate/dubai-remains-prime-target-of-property-investors-rx1gcgeg</v>
      </c>
      <c r="F95" s="368" t="str">
        <f>IFERROR(__xludf.DUMMYFUNCTION("""COMPUTED_VALUE"""),"Betterhomes")</f>
        <v>Betterhomes</v>
      </c>
    </row>
    <row r="96">
      <c r="A96" s="402">
        <f>IFERROR(__xludf.DUMMYFUNCTION("""COMPUTED_VALUE"""),44770.0)</f>
        <v>44770</v>
      </c>
      <c r="B96" s="368" t="str">
        <f>IFERROR(__xludf.DUMMYFUNCTION("""COMPUTED_VALUE"""),"Tier 2")</f>
        <v>Tier 2</v>
      </c>
      <c r="C96" s="368" t="str">
        <f>IFERROR(__xludf.DUMMYFUNCTION("""COMPUTED_VALUE"""),"Zawya")</f>
        <v>Zawya</v>
      </c>
      <c r="D96" s="368" t="str">
        <f>IFERROR(__xludf.DUMMYFUNCTION("""COMPUTED_VALUE"""),"Russians are fourth-largest homebuyers in Dubai this year")</f>
        <v>Russians are fourth-largest homebuyers in Dubai this year</v>
      </c>
      <c r="E96" s="507" t="str">
        <f>IFERROR(__xludf.DUMMYFUNCTION("""COMPUTED_VALUE"""),"https://www.zawya.com/en/business/real-estate/russians-are-fourth-largest-homebuyers-in-dubai-this-year-llwluic0")</f>
        <v>https://www.zawya.com/en/business/real-estate/russians-are-fourth-largest-homebuyers-in-dubai-this-year-llwluic0</v>
      </c>
      <c r="F96" s="368" t="str">
        <f>IFERROR(__xludf.DUMMYFUNCTION("""COMPUTED_VALUE"""),"Betterhomes")</f>
        <v>Betterhomes</v>
      </c>
    </row>
    <row r="97">
      <c r="A97" s="402">
        <f>IFERROR(__xludf.DUMMYFUNCTION("""COMPUTED_VALUE"""),44771.0)</f>
        <v>44771</v>
      </c>
      <c r="B97" s="368" t="str">
        <f>IFERROR(__xludf.DUMMYFUNCTION("""COMPUTED_VALUE"""),"Tier 1")</f>
        <v>Tier 1</v>
      </c>
      <c r="C97" s="368" t="str">
        <f>IFERROR(__xludf.DUMMYFUNCTION("""COMPUTED_VALUE"""),"Thomson Reuters")</f>
        <v>Thomson Reuters</v>
      </c>
      <c r="D97" s="368" t="str">
        <f>IFERROR(__xludf.DUMMYFUNCTION("""COMPUTED_VALUE"""),"Dubai real estate sales surge 60% as investors, Russians snap up property")</f>
        <v>Dubai real estate sales surge 60% as investors, Russians snap up property</v>
      </c>
      <c r="E97" s="507" t="str">
        <f>IFERROR(__xludf.DUMMYFUNCTION("""COMPUTED_VALUE"""),"https://www.reuters.com/markets/europe/dubai-real-estate-sales-surge-60-investors-russians-snap-up-property-2022-07-28/")</f>
        <v>https://www.reuters.com/markets/europe/dubai-real-estate-sales-surge-60-investors-russians-snap-up-property-2022-07-28/</v>
      </c>
      <c r="F97" s="368" t="str">
        <f>IFERROR(__xludf.DUMMYFUNCTION("""COMPUTED_VALUE"""),"Betterhomes")</f>
        <v>Betterhomes</v>
      </c>
    </row>
    <row r="98">
      <c r="A98" s="402">
        <f>IFERROR(__xludf.DUMMYFUNCTION("""COMPUTED_VALUE"""),44771.0)</f>
        <v>44771</v>
      </c>
      <c r="B98" s="368" t="str">
        <f>IFERROR(__xludf.DUMMYFUNCTION("""COMPUTED_VALUE"""),"Tier 2")</f>
        <v>Tier 2</v>
      </c>
      <c r="C98" s="368" t="str">
        <f>IFERROR(__xludf.DUMMYFUNCTION("""COMPUTED_VALUE"""),"Construction Week")</f>
        <v>Construction Week</v>
      </c>
      <c r="D98" s="368" t="str">
        <f>IFERROR(__xludf.DUMMYFUNCTION("""COMPUTED_VALUE"""),"Betterhomes reports 60% increase in total units sold in Dubai in H1 2022")</f>
        <v>Betterhomes reports 60% increase in total units sold in Dubai in H1 2022</v>
      </c>
      <c r="E98" s="507" t="str">
        <f>IFERROR(__xludf.DUMMYFUNCTION("""COMPUTED_VALUE"""),"https://www.constructionweekonline.com/business/betterhomes-report-h1-2022")</f>
        <v>https://www.constructionweekonline.com/business/betterhomes-report-h1-2022</v>
      </c>
      <c r="F98" s="368" t="str">
        <f>IFERROR(__xludf.DUMMYFUNCTION("""COMPUTED_VALUE"""),"Betterhomes")</f>
        <v>Betterhomes</v>
      </c>
    </row>
    <row r="99">
      <c r="A99" s="402">
        <f>IFERROR(__xludf.DUMMYFUNCTION("""COMPUTED_VALUE"""),44771.0)</f>
        <v>44771</v>
      </c>
      <c r="B99" s="368" t="str">
        <f>IFERROR(__xludf.DUMMYFUNCTION("""COMPUTED_VALUE"""),"Tier 3")</f>
        <v>Tier 3</v>
      </c>
      <c r="C99" s="368" t="str">
        <f>IFERROR(__xludf.DUMMYFUNCTION("""COMPUTED_VALUE"""),"The Economic Times")</f>
        <v>The Economic Times</v>
      </c>
      <c r="D99" s="368" t="str">
        <f>IFERROR(__xludf.DUMMYFUNCTION("""COMPUTED_VALUE"""),"Dubai real estate sales surge 60% as investors, Russians snap up property")</f>
        <v>Dubai real estate sales surge 60% as investors, Russians snap up property</v>
      </c>
      <c r="E99" s="507" t="str">
        <f>IFERROR(__xludf.DUMMYFUNCTION("""COMPUTED_VALUE"""),"https://economictimes.indiatimes.com/news/international/uae/dubai-real-estate-sales-surge-60-as-investors-russians-snap-up-property/articleshow/93194871.cms?from=mdr")</f>
        <v>https://economictimes.indiatimes.com/news/international/uae/dubai-real-estate-sales-surge-60-as-investors-russians-snap-up-property/articleshow/93194871.cms?from=mdr</v>
      </c>
      <c r="F99" s="368" t="str">
        <f>IFERROR(__xludf.DUMMYFUNCTION("""COMPUTED_VALUE"""),"Betterhomes")</f>
        <v>Betterhomes</v>
      </c>
    </row>
    <row r="100">
      <c r="A100" s="402">
        <f>IFERROR(__xludf.DUMMYFUNCTION("""COMPUTED_VALUE"""),44771.0)</f>
        <v>44771</v>
      </c>
      <c r="B100" s="368" t="str">
        <f>IFERROR(__xludf.DUMMYFUNCTION("""COMPUTED_VALUE"""),"Tier 3")</f>
        <v>Tier 3</v>
      </c>
      <c r="C100" s="368" t="str">
        <f>IFERROR(__xludf.DUMMYFUNCTION("""COMPUTED_VALUE"""),"The Business Times")</f>
        <v>The Business Times</v>
      </c>
      <c r="D100" s="368" t="str">
        <f>IFERROR(__xludf.DUMMYFUNCTION("""COMPUTED_VALUE"""),"Dubai real estate sales surge 60% as investors, Russians snap up property")</f>
        <v>Dubai real estate sales surge 60% as investors, Russians snap up property</v>
      </c>
      <c r="E100" s="507" t="str">
        <f>IFERROR(__xludf.DUMMYFUNCTION("""COMPUTED_VALUE"""),"https://www.businesstimes.com.sg/real-estate/dubai-real-estate-sales-surge-60-as-investors-russians-snap-up-property")</f>
        <v>https://www.businesstimes.com.sg/real-estate/dubai-real-estate-sales-surge-60-as-investors-russians-snap-up-property</v>
      </c>
      <c r="F100" s="368" t="str">
        <f>IFERROR(__xludf.DUMMYFUNCTION("""COMPUTED_VALUE"""),"Betterhomes")</f>
        <v>Betterhomes</v>
      </c>
    </row>
    <row r="101">
      <c r="A101" s="402">
        <f>IFERROR(__xludf.DUMMYFUNCTION("""COMPUTED_VALUE"""),44772.0)</f>
        <v>44772</v>
      </c>
      <c r="B101" s="368" t="str">
        <f>IFERROR(__xludf.DUMMYFUNCTION("""COMPUTED_VALUE"""),"Tier 3")</f>
        <v>Tier 3</v>
      </c>
      <c r="C101" s="368" t="str">
        <f>IFERROR(__xludf.DUMMYFUNCTION("""COMPUTED_VALUE"""),"The News International")</f>
        <v>The News International</v>
      </c>
      <c r="D101" s="368" t="str">
        <f>IFERROR(__xludf.DUMMYFUNCTION("""COMPUTED_VALUE"""),"Pakistanis among top 10 buyers of Dubai property")</f>
        <v>Pakistanis among top 10 buyers of Dubai property</v>
      </c>
      <c r="E101" s="507" t="str">
        <f>IFERROR(__xludf.DUMMYFUNCTION("""COMPUTED_VALUE"""),"https://www.thenews.com.pk/print/978208-pakistanis-among-top-10-buyers-of-dubai-property")</f>
        <v>https://www.thenews.com.pk/print/978208-pakistanis-among-top-10-buyers-of-dubai-property</v>
      </c>
      <c r="F101" s="368" t="str">
        <f>IFERROR(__xludf.DUMMYFUNCTION("""COMPUTED_VALUE"""),"Betterhomes")</f>
        <v>Betterhomes</v>
      </c>
    </row>
    <row r="102">
      <c r="A102" s="402">
        <f>IFERROR(__xludf.DUMMYFUNCTION("""COMPUTED_VALUE"""),44772.0)</f>
        <v>44772</v>
      </c>
      <c r="B102" s="368" t="str">
        <f>IFERROR(__xludf.DUMMYFUNCTION("""COMPUTED_VALUE"""),"Tier 2")</f>
        <v>Tier 2</v>
      </c>
      <c r="C102" s="368" t="str">
        <f>IFERROR(__xludf.DUMMYFUNCTION("""COMPUTED_VALUE"""),"Lovin Dubai (Insta)")</f>
        <v>Lovin Dubai (Insta)</v>
      </c>
      <c r="D102" s="368" t="str">
        <f>IFERROR(__xludf.DUMMYFUNCTION("""COMPUTED_VALUE"""),"A recent study shows Indians are the top buyers of property in Dubai ")</f>
        <v>A recent study shows Indians are the top buyers of property in Dubai </v>
      </c>
      <c r="E102" s="507" t="str">
        <f>IFERROR(__xludf.DUMMYFUNCTION("""COMPUTED_VALUE"""),"https://www.instagram.com/p/CgpIFINLnKe/?utm_source=ig_web_copy_link")</f>
        <v>https://www.instagram.com/p/CgpIFINLnKe/?utm_source=ig_web_copy_link</v>
      </c>
      <c r="F102" s="368" t="str">
        <f>IFERROR(__xludf.DUMMYFUNCTION("""COMPUTED_VALUE"""),"Betterhomes")</f>
        <v>Betterhomes</v>
      </c>
    </row>
    <row r="103">
      <c r="A103" s="402">
        <f>IFERROR(__xludf.DUMMYFUNCTION("""COMPUTED_VALUE"""),44772.0)</f>
        <v>44772</v>
      </c>
      <c r="B103" s="368" t="str">
        <f>IFERROR(__xludf.DUMMYFUNCTION("""COMPUTED_VALUE"""),"Tier 3")</f>
        <v>Tier 3</v>
      </c>
      <c r="C103" s="368" t="str">
        <f>IFERROR(__xludf.DUMMYFUNCTION("""COMPUTED_VALUE"""),"El Correo del Golfo")</f>
        <v>El Correo del Golfo</v>
      </c>
      <c r="D103" s="368" t="str">
        <f>IFERROR(__xludf.DUMMYFUNCTION("""COMPUTED_VALUE"""),"Dubai property sales surge 60% with Russians among investors")</f>
        <v>Dubai property sales surge 60% with Russians among investors</v>
      </c>
      <c r="E103" s="507" t="str">
        <f>IFERROR(__xludf.DUMMYFUNCTION("""COMPUTED_VALUE"""),"https://www.elcorreo.ae/articulo/economia/ventas-propiedades-dubai-aumentan-60-rusos-inversores/20220730094403148127.html")</f>
        <v>https://www.elcorreo.ae/articulo/economia/ventas-propiedades-dubai-aumentan-60-rusos-inversores/20220730094403148127.html</v>
      </c>
      <c r="F103" s="368" t="str">
        <f>IFERROR(__xludf.DUMMYFUNCTION("""COMPUTED_VALUE"""),"Betterhomes")</f>
        <v>Betterhomes</v>
      </c>
    </row>
    <row r="104">
      <c r="A104" s="402">
        <f>IFERROR(__xludf.DUMMYFUNCTION("""COMPUTED_VALUE"""),44772.0)</f>
        <v>44772</v>
      </c>
      <c r="B104" s="368" t="str">
        <f>IFERROR(__xludf.DUMMYFUNCTION("""COMPUTED_VALUE"""),"Tier 3")</f>
        <v>Tier 3</v>
      </c>
      <c r="C104" s="368" t="str">
        <f>IFERROR(__xludf.DUMMYFUNCTION("""COMPUTED_VALUE"""),"Investor Bg")</f>
        <v>Investor Bg</v>
      </c>
      <c r="D104" s="368" t="str">
        <f>IFERROR(__xludf.DUMMYFUNCTION("""COMPUTED_VALUE"""),"Home sales in Dubai rose 60% in the first half of the year")</f>
        <v>Home sales in Dubai rose 60% in the first half of the year</v>
      </c>
      <c r="E104" s="507" t="str">
        <f>IFERROR(__xludf.DUMMYFUNCTION("""COMPUTED_VALUE"""),"https://www.investor.bg/po-sveta/453/a/prodajbite-na-jilishta-v-dubai-sa-narasnali-s-60-prez-pyrvoto-polugodie-357226/")</f>
        <v>https://www.investor.bg/po-sveta/453/a/prodajbite-na-jilishta-v-dubai-sa-narasnali-s-60-prez-pyrvoto-polugodie-357226/</v>
      </c>
      <c r="F104" s="368" t="str">
        <f>IFERROR(__xludf.DUMMYFUNCTION("""COMPUTED_VALUE"""),"Betterhomes")</f>
        <v>Betterhomes</v>
      </c>
    </row>
    <row r="105">
      <c r="A105" s="402">
        <f>IFERROR(__xludf.DUMMYFUNCTION("""COMPUTED_VALUE"""),44772.0)</f>
        <v>44772</v>
      </c>
      <c r="B105" s="368" t="str">
        <f>IFERROR(__xludf.DUMMYFUNCTION("""COMPUTED_VALUE"""),"Tier 3")</f>
        <v>Tier 3</v>
      </c>
      <c r="C105" s="368" t="str">
        <f>IFERROR(__xludf.DUMMYFUNCTION("""COMPUTED_VALUE"""),"Money &amp; Banking (Thailand)")</f>
        <v>Money &amp; Banking (Thailand)</v>
      </c>
      <c r="D105" s="368" t="str">
        <f>IFERROR(__xludf.DUMMYFUNCTION("""COMPUTED_VALUE"""),"Dubai real estate market heats up, semi-annual transactions jump 60% as Russian investors flee Western sanctions")</f>
        <v>Dubai real estate market heats up, semi-annual transactions jump 60% as Russian investors flee Western sanctions</v>
      </c>
      <c r="E105" s="507" t="str">
        <f>IFERROR(__xludf.DUMMYFUNCTION("""COMPUTED_VALUE"""),"https://www.moneyandbanking.co.th/article/news/estate-market-dubai-raise-290765")</f>
        <v>https://www.moneyandbanking.co.th/article/news/estate-market-dubai-raise-290765</v>
      </c>
      <c r="F105" s="368" t="str">
        <f>IFERROR(__xludf.DUMMYFUNCTION("""COMPUTED_VALUE"""),"Betterhomes")</f>
        <v>Betterhomes</v>
      </c>
    </row>
    <row r="106">
      <c r="A106" s="402">
        <f>IFERROR(__xludf.DUMMYFUNCTION("""COMPUTED_VALUE"""),44772.0)</f>
        <v>44772</v>
      </c>
      <c r="B106" s="368" t="str">
        <f>IFERROR(__xludf.DUMMYFUNCTION("""COMPUTED_VALUE"""),"Tier 3")</f>
        <v>Tier 3</v>
      </c>
      <c r="C106" s="368" t="str">
        <f>IFERROR(__xludf.DUMMYFUNCTION("""COMPUTED_VALUE"""),"Dawn")</f>
        <v>Dawn</v>
      </c>
      <c r="D106" s="368" t="str">
        <f>IFERROR(__xludf.DUMMYFUNCTION("""COMPUTED_VALUE"""),"Pakistanis among top 10 buyers as Dubai property sales skyrocket")</f>
        <v>Pakistanis among top 10 buyers as Dubai property sales skyrocket</v>
      </c>
      <c r="E106" s="507" t="str">
        <f>IFERROR(__xludf.DUMMYFUNCTION("""COMPUTED_VALUE"""),"https://www.dawn.com/news/1702248")</f>
        <v>https://www.dawn.com/news/1702248</v>
      </c>
      <c r="F106" s="368" t="str">
        <f>IFERROR(__xludf.DUMMYFUNCTION("""COMPUTED_VALUE"""),"Betterhomes")</f>
        <v>Betterhomes</v>
      </c>
    </row>
    <row r="107">
      <c r="A107" s="402">
        <f>IFERROR(__xludf.DUMMYFUNCTION("""COMPUTED_VALUE"""),44772.0)</f>
        <v>44772</v>
      </c>
      <c r="B107" s="368" t="str">
        <f>IFERROR(__xludf.DUMMYFUNCTION("""COMPUTED_VALUE"""),"Tier 3")</f>
        <v>Tier 3</v>
      </c>
      <c r="C107" s="368" t="str">
        <f>IFERROR(__xludf.DUMMYFUNCTION("""COMPUTED_VALUE"""),"Global Village Space")</f>
        <v>Global Village Space</v>
      </c>
      <c r="D107" s="368" t="str">
        <f>IFERROR(__xludf.DUMMYFUNCTION("""COMPUTED_VALUE"""),"Insights of the news “Pakistanis among top 10 buyers of Dubai property”")</f>
        <v>Insights of the news “Pakistanis among top 10 buyers of Dubai property”</v>
      </c>
      <c r="E107" s="507" t="str">
        <f>IFERROR(__xludf.DUMMYFUNCTION("""COMPUTED_VALUE"""),"https://www.globalvillagespace.com/insights-of-the-news-pakistanis-among-top-10-buyers-of-dubai-property/")</f>
        <v>https://www.globalvillagespace.com/insights-of-the-news-pakistanis-among-top-10-buyers-of-dubai-property/</v>
      </c>
      <c r="F107" s="368" t="str">
        <f>IFERROR(__xludf.DUMMYFUNCTION("""COMPUTED_VALUE"""),"Betterhomes")</f>
        <v>Betterhomes</v>
      </c>
    </row>
    <row r="108">
      <c r="A108" s="402">
        <f>IFERROR(__xludf.DUMMYFUNCTION("""COMPUTED_VALUE"""),44772.0)</f>
        <v>44772</v>
      </c>
      <c r="B108" s="368" t="str">
        <f>IFERROR(__xludf.DUMMYFUNCTION("""COMPUTED_VALUE"""),"Tier 2")</f>
        <v>Tier 2</v>
      </c>
      <c r="C108" s="368" t="str">
        <f>IFERROR(__xludf.DUMMYFUNCTION("""COMPUTED_VALUE"""),"Business Recorder")</f>
        <v>Business Recorder</v>
      </c>
      <c r="D108" s="368" t="str">
        <f>IFERROR(__xludf.DUMMYFUNCTION("""COMPUTED_VALUE"""),"Pakistanis among top 10 buyers in Dubai as real estate sales surge in H1 2022")</f>
        <v>Pakistanis among top 10 buyers in Dubai as real estate sales surge in H1 2022</v>
      </c>
      <c r="E108" s="507" t="str">
        <f>IFERROR(__xludf.DUMMYFUNCTION("""COMPUTED_VALUE"""),"https://www.brecorder.com/news/40188927/pakistanis-among-top-10-buyers-in-dubai-as-real-estate-sales-surge-in-h1-2022")</f>
        <v>https://www.brecorder.com/news/40188927/pakistanis-among-top-10-buyers-in-dubai-as-real-estate-sales-surge-in-h1-2022</v>
      </c>
      <c r="F108" s="368" t="str">
        <f>IFERROR(__xludf.DUMMYFUNCTION("""COMPUTED_VALUE"""),"Betterhomes")</f>
        <v>Betterhomes</v>
      </c>
    </row>
    <row r="109">
      <c r="A109" s="402">
        <f>IFERROR(__xludf.DUMMYFUNCTION("""COMPUTED_VALUE"""),44774.0)</f>
        <v>44774</v>
      </c>
      <c r="B109" s="368" t="str">
        <f>IFERROR(__xludf.DUMMYFUNCTION("""COMPUTED_VALUE"""),"Tier 2")</f>
        <v>Tier 2</v>
      </c>
      <c r="C109" s="368" t="str">
        <f>IFERROR(__xludf.DUMMYFUNCTION("""COMPUTED_VALUE"""),"Khaleej Times")</f>
        <v>Khaleej Times</v>
      </c>
      <c r="D109" s="368" t="str">
        <f>IFERROR(__xludf.DUMMYFUNCTION("""COMPUTED_VALUE"""),"Dubai: 5 most affordable areas to rent a villa revealed")</f>
        <v>Dubai: 5 most affordable areas to rent a villa revealed</v>
      </c>
      <c r="E109" s="507" t="str">
        <f>IFERROR(__xludf.DUMMYFUNCTION("""COMPUTED_VALUE"""),"https://www.khaleejtimes.com/uae/dubai-villa-rents-increase-as-demand-for-bigger-homes-soars-post-covid")</f>
        <v>https://www.khaleejtimes.com/uae/dubai-villa-rents-increase-as-demand-for-bigger-homes-soars-post-covid</v>
      </c>
      <c r="F109" s="368" t="str">
        <f>IFERROR(__xludf.DUMMYFUNCTION("""COMPUTED_VALUE"""),"Betterhomes")</f>
        <v>Betterhomes</v>
      </c>
    </row>
    <row r="110">
      <c r="A110" s="402">
        <f>IFERROR(__xludf.DUMMYFUNCTION("""COMPUTED_VALUE"""),44774.0)</f>
        <v>44774</v>
      </c>
      <c r="B110" s="368" t="str">
        <f>IFERROR(__xludf.DUMMYFUNCTION("""COMPUTED_VALUE"""),"Tier 2")</f>
        <v>Tier 2</v>
      </c>
      <c r="C110" s="368" t="str">
        <f>IFERROR(__xludf.DUMMYFUNCTION("""COMPUTED_VALUE"""),"Property News")</f>
        <v>Property News</v>
      </c>
      <c r="D110" s="368" t="str">
        <f>IFERROR(__xludf.DUMMYFUNCTION("""COMPUTED_VALUE"""),"Betterhomes’ H1 2022 Market Report")</f>
        <v>Betterhomes’ H1 2022 Market Report</v>
      </c>
      <c r="E110" s="507" t="str">
        <f>IFERROR(__xludf.DUMMYFUNCTION("""COMPUTED_VALUE"""),"https://www.propertynews.ae/uae/aed1-8-billion-worth-of-real-estate-transactions-were-recorded-in-dubai-on-wednesday/")</f>
        <v>https://www.propertynews.ae/uae/aed1-8-billion-worth-of-real-estate-transactions-were-recorded-in-dubai-on-wednesday/</v>
      </c>
      <c r="F110" s="368" t="str">
        <f>IFERROR(__xludf.DUMMYFUNCTION("""COMPUTED_VALUE"""),"Betterhomes")</f>
        <v>Betterhomes</v>
      </c>
    </row>
    <row r="111">
      <c r="A111" s="402">
        <f>IFERROR(__xludf.DUMMYFUNCTION("""COMPUTED_VALUE"""),44774.0)</f>
        <v>44774</v>
      </c>
      <c r="B111" s="368" t="str">
        <f>IFERROR(__xludf.DUMMYFUNCTION("""COMPUTED_VALUE"""),"Tier 2")</f>
        <v>Tier 2</v>
      </c>
      <c r="C111" s="368" t="str">
        <f>IFERROR(__xludf.DUMMYFUNCTION("""COMPUTED_VALUE"""),"Khaleej Times")</f>
        <v>Khaleej Times</v>
      </c>
      <c r="D111" s="368" t="str">
        <f>IFERROR(__xludf.DUMMYFUNCTION("""COMPUTED_VALUE"""),"UAE: How much mortgage can Dubai property buyers apply for?")</f>
        <v>UAE: How much mortgage can Dubai property buyers apply for?</v>
      </c>
      <c r="E111" s="507" t="str">
        <f>IFERROR(__xludf.DUMMYFUNCTION("""COMPUTED_VALUE"""),"https://www.khaleejtimes.com/property/uae-how-much-mortgage-can-dubai-property-buyers-apply-for")</f>
        <v>https://www.khaleejtimes.com/property/uae-how-much-mortgage-can-dubai-property-buyers-apply-for</v>
      </c>
      <c r="F111" s="368" t="str">
        <f>IFERROR(__xludf.DUMMYFUNCTION("""COMPUTED_VALUE"""),"BH Mortgages")</f>
        <v>BH Mortgages</v>
      </c>
    </row>
    <row r="112">
      <c r="A112" s="402">
        <f>IFERROR(__xludf.DUMMYFUNCTION("""COMPUTED_VALUE"""),44774.0)</f>
        <v>44774</v>
      </c>
      <c r="B112" s="368" t="str">
        <f>IFERROR(__xludf.DUMMYFUNCTION("""COMPUTED_VALUE"""),"Tier 3")</f>
        <v>Tier 3</v>
      </c>
      <c r="C112" s="368" t="str">
        <f>IFERROR(__xludf.DUMMYFUNCTION("""COMPUTED_VALUE"""),"Mena FM")</f>
        <v>Mena FM</v>
      </c>
      <c r="D112" s="368" t="str">
        <f>IFERROR(__xludf.DUMMYFUNCTION("""COMPUTED_VALUE"""),"Dubai real estate market heats up, semi-annual transactions jump 60% as Russian investors flee Western sanctions")</f>
        <v>Dubai real estate market heats up, semi-annual transactions jump 60% as Russian investors flee Western sanctions</v>
      </c>
      <c r="E112" s="507" t="str">
        <f>IFERROR(__xludf.DUMMYFUNCTION("""COMPUTED_VALUE"""),"https://menafn.com/1104628153/UAE-How-Much-Mortgage-Can-Dubai-Property-Buyers-Apply-For")</f>
        <v>https://menafn.com/1104628153/UAE-How-Much-Mortgage-Can-Dubai-Property-Buyers-Apply-For</v>
      </c>
      <c r="F112" s="368" t="str">
        <f>IFERROR(__xludf.DUMMYFUNCTION("""COMPUTED_VALUE"""),"BH Mortgages")</f>
        <v>BH Mortgages</v>
      </c>
    </row>
    <row r="113">
      <c r="A113" s="402">
        <f>IFERROR(__xludf.DUMMYFUNCTION("""COMPUTED_VALUE"""),44774.0)</f>
        <v>44774</v>
      </c>
      <c r="B113" s="368" t="str">
        <f>IFERROR(__xludf.DUMMYFUNCTION("""COMPUTED_VALUE"""),"Tier 3")</f>
        <v>Tier 3</v>
      </c>
      <c r="C113" s="368" t="str">
        <f>IFERROR(__xludf.DUMMYFUNCTION("""COMPUTED_VALUE"""),"Mirchi 9 (India)")</f>
        <v>Mirchi 9 (India)</v>
      </c>
      <c r="D113" s="368" t="str">
        <f>IFERROR(__xludf.DUMMYFUNCTION("""COMPUTED_VALUE"""),"Desis Topping The Real Estate Charts in Dubai")</f>
        <v>Desis Topping The Real Estate Charts in Dubai</v>
      </c>
      <c r="E113" s="507" t="str">
        <f>IFERROR(__xludf.DUMMYFUNCTION("""COMPUTED_VALUE"""),"https://www.mirchi9.com/politics/desis-topping-the-real-estate-charts-in-dubai/")</f>
        <v>https://www.mirchi9.com/politics/desis-topping-the-real-estate-charts-in-dubai/</v>
      </c>
      <c r="F113" s="368" t="str">
        <f>IFERROR(__xludf.DUMMYFUNCTION("""COMPUTED_VALUE"""),"Betterhomes")</f>
        <v>Betterhomes</v>
      </c>
    </row>
    <row r="114">
      <c r="A114" s="402">
        <f>IFERROR(__xludf.DUMMYFUNCTION("""COMPUTED_VALUE"""),44777.0)</f>
        <v>44777</v>
      </c>
      <c r="B114" s="368" t="str">
        <f>IFERROR(__xludf.DUMMYFUNCTION("""COMPUTED_VALUE"""),"Tier 2")</f>
        <v>Tier 2</v>
      </c>
      <c r="C114" s="368" t="str">
        <f>IFERROR(__xludf.DUMMYFUNCTION("""COMPUTED_VALUE"""),"Gulf News")</f>
        <v>Gulf News</v>
      </c>
      <c r="D114" s="368" t="str">
        <f>IFERROR(__xludf.DUMMYFUNCTION("""COMPUTED_VALUE"""),"Dubai developers are finally ready with new villa projects as there is no let up in demand")</f>
        <v>Dubai developers are finally ready with new villa projects as there is no let up in demand</v>
      </c>
      <c r="E114" s="507" t="str">
        <f>IFERROR(__xludf.DUMMYFUNCTION("""COMPUTED_VALUE"""),"https://gulfnews.com/business/property/dubai-developers-are-finally-ready-with-new-villa-projects-as-there-is-no-let-up-in-demand-1.1659586803930")</f>
        <v>https://gulfnews.com/business/property/dubai-developers-are-finally-ready-with-new-villa-projects-as-there-is-no-let-up-in-demand-1.1659586803930</v>
      </c>
      <c r="F114" s="368" t="str">
        <f>IFERROR(__xludf.DUMMYFUNCTION("""COMPUTED_VALUE"""),"BH Off-Plan")</f>
        <v>BH Off-Plan</v>
      </c>
    </row>
    <row r="115">
      <c r="A115" s="402">
        <f>IFERROR(__xludf.DUMMYFUNCTION("""COMPUTED_VALUE"""),44777.0)</f>
        <v>44777</v>
      </c>
      <c r="B115" s="368" t="str">
        <f>IFERROR(__xludf.DUMMYFUNCTION("""COMPUTED_VALUE"""),"Tier 2")</f>
        <v>Tier 2</v>
      </c>
      <c r="C115" s="368" t="str">
        <f>IFERROR(__xludf.DUMMYFUNCTION("""COMPUTED_VALUE"""),"Zawya")</f>
        <v>Zawya</v>
      </c>
      <c r="D115" s="368" t="str">
        <f>IFERROR(__xludf.DUMMYFUNCTION("""COMPUTED_VALUE"""),"Designed to promote a family-oriented lifestyle, California Village is the new and secure community living in Dubai")</f>
        <v>Designed to promote a family-oriented lifestyle, California Village is the new and secure community living in Dubai</v>
      </c>
      <c r="E115" s="507" t="str">
        <f>IFERROR(__xludf.DUMMYFUNCTION("""COMPUTED_VALUE"""),"https://www.zawya.com/en/press-release/companies-news/designed-to-promote-a-family-oriented-lifestyle-california-village-is-the-new-and-secure-community-living-in-dubai-r1x26tyy")</f>
        <v>https://www.zawya.com/en/press-release/companies-news/designed-to-promote-a-family-oriented-lifestyle-california-village-is-the-new-and-secure-community-living-in-dubai-r1x26tyy</v>
      </c>
      <c r="F115" s="368" t="str">
        <f>IFERROR(__xludf.DUMMYFUNCTION("""COMPUTED_VALUE"""),"BH Off-Plan")</f>
        <v>BH Off-Plan</v>
      </c>
    </row>
    <row r="116">
      <c r="A116" s="402">
        <f>IFERROR(__xludf.DUMMYFUNCTION("""COMPUTED_VALUE"""),44778.0)</f>
        <v>44778</v>
      </c>
      <c r="B116" s="368" t="str">
        <f>IFERROR(__xludf.DUMMYFUNCTION("""COMPUTED_VALUE"""),"Tier 2")</f>
        <v>Tier 2</v>
      </c>
      <c r="C116" s="368" t="str">
        <f>IFERROR(__xludf.DUMMYFUNCTION("""COMPUTED_VALUE"""),"Zawya")</f>
        <v>Zawya</v>
      </c>
      <c r="D116" s="368" t="str">
        <f>IFERROR(__xludf.DUMMYFUNCTION("""COMPUTED_VALUE"""),"What are five questions to ask before I buy a property in Dubai?")</f>
        <v>What are five questions to ask before I buy a property in Dubai?</v>
      </c>
      <c r="E116" s="507" t="str">
        <f>IFERROR(__xludf.DUMMYFUNCTION("""COMPUTED_VALUE"""),"https://www.zawya.com/en/business/real-estate/what-are-five-questions-to-ask-before-i-buy-a-property-in-dubai-tey1miy5")</f>
        <v>https://www.zawya.com/en/business/real-estate/what-are-five-questions-to-ask-before-i-buy-a-property-in-dubai-tey1miy5</v>
      </c>
      <c r="F116" s="368" t="str">
        <f>IFERROR(__xludf.DUMMYFUNCTION("""COMPUTED_VALUE"""),"Betterhomes")</f>
        <v>Betterhomes</v>
      </c>
    </row>
    <row r="117">
      <c r="A117" s="402">
        <f>IFERROR(__xludf.DUMMYFUNCTION("""COMPUTED_VALUE"""),44778.0)</f>
        <v>44778</v>
      </c>
      <c r="B117" s="368" t="str">
        <f>IFERROR(__xludf.DUMMYFUNCTION("""COMPUTED_VALUE"""),"Tier 3")</f>
        <v>Tier 3</v>
      </c>
      <c r="C117" s="368" t="str">
        <f>IFERROR(__xludf.DUMMYFUNCTION("""COMPUTED_VALUE"""),"Mena FM")</f>
        <v>Mena FM</v>
      </c>
      <c r="D117" s="368" t="str">
        <f>IFERROR(__xludf.DUMMYFUNCTION("""COMPUTED_VALUE"""),"What are five questions to ask before I buy a property in Dubai?")</f>
        <v>What are five questions to ask before I buy a property in Dubai?</v>
      </c>
      <c r="E117" s="507" t="str">
        <f>IFERROR(__xludf.DUMMYFUNCTION("""COMPUTED_VALUE"""),"https://menafn.com/1104648693/What-Are-5-Questions-To-Ask-Before-I-Buy-A-Property-In-Dubai")</f>
        <v>https://menafn.com/1104648693/What-Are-5-Questions-To-Ask-Before-I-Buy-A-Property-In-Dubai</v>
      </c>
      <c r="F117" s="368" t="str">
        <f>IFERROR(__xludf.DUMMYFUNCTION("""COMPUTED_VALUE"""),"Betterhomes")</f>
        <v>Betterhomes</v>
      </c>
    </row>
    <row r="118">
      <c r="A118" s="402">
        <f>IFERROR(__xludf.DUMMYFUNCTION("""COMPUTED_VALUE"""),44778.0)</f>
        <v>44778</v>
      </c>
      <c r="B118" s="368" t="str">
        <f>IFERROR(__xludf.DUMMYFUNCTION("""COMPUTED_VALUE"""),"Tier 2")</f>
        <v>Tier 2</v>
      </c>
      <c r="C118" s="368" t="str">
        <f>IFERROR(__xludf.DUMMYFUNCTION("""COMPUTED_VALUE"""),"Khaleej Times (Print)")</f>
        <v>Khaleej Times (Print)</v>
      </c>
      <c r="D118" s="368" t="str">
        <f>IFERROR(__xludf.DUMMYFUNCTION("""COMPUTED_VALUE"""),"What are 5 questions to ask before I buy a property in Dubai? ")</f>
        <v>What are 5 questions to ask before I buy a property in Dubai? </v>
      </c>
      <c r="E118" s="368" t="str">
        <f>IFERROR(__xludf.DUMMYFUNCTION("""COMPUTED_VALUE"""),"file:///C:/Users/elsa.angelo/Downloads/Khaleej%20Times-05-08-2022.pdf")</f>
        <v>file:///C:/Users/elsa.angelo/Downloads/Khaleej%20Times-05-08-2022.pdf</v>
      </c>
      <c r="F118" s="368" t="str">
        <f>IFERROR(__xludf.DUMMYFUNCTION("""COMPUTED_VALUE"""),"Betterhomes")</f>
        <v>Betterhomes</v>
      </c>
    </row>
    <row r="119">
      <c r="A119" s="402">
        <f>IFERROR(__xludf.DUMMYFUNCTION("""COMPUTED_VALUE"""),44778.0)</f>
        <v>44778</v>
      </c>
      <c r="B119" s="368" t="str">
        <f>IFERROR(__xludf.DUMMYFUNCTION("""COMPUTED_VALUE"""),"Tier 2")</f>
        <v>Tier 2</v>
      </c>
      <c r="C119" s="368" t="str">
        <f>IFERROR(__xludf.DUMMYFUNCTION("""COMPUTED_VALUE"""),"Khaleej Times")</f>
        <v>Khaleej Times</v>
      </c>
      <c r="D119" s="368" t="str">
        <f>IFERROR(__xludf.DUMMYFUNCTION("""COMPUTED_VALUE"""),"What are 5 questions to ask before I buy a property in Dubai?")</f>
        <v>What are 5 questions to ask before I buy a property in Dubai?</v>
      </c>
      <c r="E119" s="507" t="str">
        <f>IFERROR(__xludf.DUMMYFUNCTION("""COMPUTED_VALUE"""),"https://www.khaleejtimes.com/business/what-are-5-questions-to-ask-before-i-buy-a-property-in-dubai")</f>
        <v>https://www.khaleejtimes.com/business/what-are-5-questions-to-ask-before-i-buy-a-property-in-dubai</v>
      </c>
      <c r="F119" s="368" t="str">
        <f>IFERROR(__xludf.DUMMYFUNCTION("""COMPUTED_VALUE"""),"Betterhomes")</f>
        <v>Betterhomes</v>
      </c>
    </row>
    <row r="120">
      <c r="A120" s="402">
        <f>IFERROR(__xludf.DUMMYFUNCTION("""COMPUTED_VALUE"""),44779.0)</f>
        <v>44779</v>
      </c>
      <c r="B120" s="368" t="str">
        <f>IFERROR(__xludf.DUMMYFUNCTION("""COMPUTED_VALUE"""),"Tier 2")</f>
        <v>Tier 2</v>
      </c>
      <c r="C120" s="368" t="str">
        <f>IFERROR(__xludf.DUMMYFUNCTION("""COMPUTED_VALUE"""),"Money Control")</f>
        <v>Money Control</v>
      </c>
      <c r="D120" s="368" t="str">
        <f>IFERROR(__xludf.DUMMYFUNCTION("""COMPUTED_VALUE"""),"Immigration Central: Why are so many Indians buying property in Dubai?")</f>
        <v>Immigration Central: Why are so many Indians buying property in Dubai?</v>
      </c>
      <c r="E120" s="507" t="str">
        <f>IFERROR(__xludf.DUMMYFUNCTION("""COMPUTED_VALUE"""),"https://www.moneycontrol.com/news/trends/travel-trends/immigration-series-why-are-so-many-indians-buying-property-in-dubai-8964261.html")</f>
        <v>https://www.moneycontrol.com/news/trends/travel-trends/immigration-series-why-are-so-many-indians-buying-property-in-dubai-8964261.html</v>
      </c>
      <c r="F120" s="368" t="str">
        <f>IFERROR(__xludf.DUMMYFUNCTION("""COMPUTED_VALUE"""),"Betterhomes")</f>
        <v>Betterhomes</v>
      </c>
    </row>
    <row r="121">
      <c r="A121" s="402">
        <f>IFERROR(__xludf.DUMMYFUNCTION("""COMPUTED_VALUE"""),44779.0)</f>
        <v>44779</v>
      </c>
      <c r="B121" s="368" t="str">
        <f>IFERROR(__xludf.DUMMYFUNCTION("""COMPUTED_VALUE"""),"Tier 2")</f>
        <v>Tier 2</v>
      </c>
      <c r="C121" s="368" t="str">
        <f>IFERROR(__xludf.DUMMYFUNCTION("""COMPUTED_VALUE"""),"The National")</f>
        <v>The National</v>
      </c>
      <c r="D121" s="368" t="str">
        <f>IFERROR(__xludf.DUMMYFUNCTION("""COMPUTED_VALUE"""),"Bank of England's rate increase makes UK property more appealing to Middle East investors")</f>
        <v>Bank of England's rate increase makes UK property more appealing to Middle East investors</v>
      </c>
      <c r="E121" s="507" t="str">
        <f>IFERROR(__xludf.DUMMYFUNCTION("""COMPUTED_VALUE"""),"https://www.thenationalnews.com/business/money/2022/08/05/bank-of-englands-rate-increase-makes-uk-property-more-appealing-to-middle-east-investors/")</f>
        <v>https://www.thenationalnews.com/business/money/2022/08/05/bank-of-englands-rate-increase-makes-uk-property-more-appealing-to-middle-east-investors/</v>
      </c>
      <c r="F121" s="368" t="str">
        <f>IFERROR(__xludf.DUMMYFUNCTION("""COMPUTED_VALUE"""),"Betterhomes")</f>
        <v>Betterhomes</v>
      </c>
    </row>
    <row r="122">
      <c r="A122" s="402">
        <f>IFERROR(__xludf.DUMMYFUNCTION("""COMPUTED_VALUE"""),44780.0)</f>
        <v>44780</v>
      </c>
      <c r="B122" s="368" t="str">
        <f>IFERROR(__xludf.DUMMYFUNCTION("""COMPUTED_VALUE"""),"Tier 2")</f>
        <v>Tier 2</v>
      </c>
      <c r="C122" s="368" t="str">
        <f>IFERROR(__xludf.DUMMYFUNCTION("""COMPUTED_VALUE"""),"Gulf News")</f>
        <v>Gulf News</v>
      </c>
      <c r="D122" s="368" t="str">
        <f>IFERROR(__xludf.DUMMYFUNCTION("""COMPUTED_VALUE"""),"In UAE, offices emerge as next big deal, with Aldar making Dh4.3b statement")</f>
        <v>In UAE, offices emerge as next big deal, with Aldar making Dh4.3b statement</v>
      </c>
      <c r="E122" s="507" t="str">
        <f>IFERROR(__xludf.DUMMYFUNCTION("""COMPUTED_VALUE"""),"https://gulfnews.com/business/property/in-uae-offices-emerge-as-next-big-deal-with-aldar-making-dh43b-statement-1.1659761770792")</f>
        <v>https://gulfnews.com/business/property/in-uae-offices-emerge-as-next-big-deal-with-aldar-making-dh43b-statement-1.1659761770792</v>
      </c>
      <c r="F122" s="368" t="str">
        <f>IFERROR(__xludf.DUMMYFUNCTION("""COMPUTED_VALUE"""),"CRC")</f>
        <v>CRC</v>
      </c>
    </row>
    <row r="123">
      <c r="A123" s="402">
        <f>IFERROR(__xludf.DUMMYFUNCTION("""COMPUTED_VALUE"""),44782.0)</f>
        <v>44782</v>
      </c>
      <c r="B123" s="368" t="str">
        <f>IFERROR(__xludf.DUMMYFUNCTION("""COMPUTED_VALUE"""),"Tier 1")</f>
        <v>Tier 1</v>
      </c>
      <c r="C123" s="368" t="str">
        <f>IFERROR(__xludf.DUMMYFUNCTION("""COMPUTED_VALUE"""),"Thomson Reuters")</f>
        <v>Thomson Reuters</v>
      </c>
      <c r="D123" s="368" t="str">
        <f>IFERROR(__xludf.DUMMYFUNCTION("""COMPUTED_VALUE"""),"Dubai's biggest bank gives staff a pay rise for inflation ")</f>
        <v>Dubai's biggest bank gives staff a pay rise for inflation </v>
      </c>
      <c r="E123" s="507" t="str">
        <f>IFERROR(__xludf.DUMMYFUNCTION("""COMPUTED_VALUE"""),"https://www.reuters.com/business/finance/dubais-biggest-bank-gives-staff-pay-rise-inflation-sources-2022-08-09/")</f>
        <v>https://www.reuters.com/business/finance/dubais-biggest-bank-gives-staff-pay-rise-inflation-sources-2022-08-09/</v>
      </c>
      <c r="F123" s="368" t="str">
        <f>IFERROR(__xludf.DUMMYFUNCTION("""COMPUTED_VALUE"""),"Betterhomes")</f>
        <v>Betterhomes</v>
      </c>
    </row>
    <row r="124">
      <c r="A124" s="402">
        <f>IFERROR(__xludf.DUMMYFUNCTION("""COMPUTED_VALUE"""),44782.0)</f>
        <v>44782</v>
      </c>
      <c r="B124" s="368" t="str">
        <f>IFERROR(__xludf.DUMMYFUNCTION("""COMPUTED_VALUE"""),"Tier 2")</f>
        <v>Tier 2</v>
      </c>
      <c r="C124" s="368" t="str">
        <f>IFERROR(__xludf.DUMMYFUNCTION("""COMPUTED_VALUE"""),"Zawya")</f>
        <v>Zawya</v>
      </c>
      <c r="D124" s="368" t="str">
        <f>IFERROR(__xludf.DUMMYFUNCTION("""COMPUTED_VALUE"""),"Dubai's biggest bank gives staff a pay rise for inflation - sources")</f>
        <v>Dubai's biggest bank gives staff a pay rise for inflation - sources</v>
      </c>
      <c r="E124" s="507" t="str">
        <f>IFERROR(__xludf.DUMMYFUNCTION("""COMPUTED_VALUE"""),"https://www.zawya.com/en/business/banking-and-insurance/dubais-biggest-bank-gives-staff-a-pay-rise-for-inflation-sources-axdjmqoe")</f>
        <v>https://www.zawya.com/en/business/banking-and-insurance/dubais-biggest-bank-gives-staff-a-pay-rise-for-inflation-sources-axdjmqoe</v>
      </c>
      <c r="F124" s="368" t="str">
        <f>IFERROR(__xludf.DUMMYFUNCTION("""COMPUTED_VALUE"""),"Betterhomes")</f>
        <v>Betterhomes</v>
      </c>
    </row>
    <row r="125">
      <c r="A125" s="402">
        <f>IFERROR(__xludf.DUMMYFUNCTION("""COMPUTED_VALUE"""),44782.0)</f>
        <v>44782</v>
      </c>
      <c r="B125" s="368" t="str">
        <f>IFERROR(__xludf.DUMMYFUNCTION("""COMPUTED_VALUE"""),"Tier 1")</f>
        <v>Tier 1</v>
      </c>
      <c r="C125" s="368" t="str">
        <f>IFERROR(__xludf.DUMMYFUNCTION("""COMPUTED_VALUE"""),"Thomson Reuters")</f>
        <v>Thomson Reuters</v>
      </c>
      <c r="D125" s="368" t="str">
        <f>IFERROR(__xludf.DUMMYFUNCTION("""COMPUTED_VALUE"""),"Conglomerate IHC boosts Abu Dhabi index to record high")</f>
        <v>Conglomerate IHC boosts Abu Dhabi index to record high</v>
      </c>
      <c r="E125" s="507" t="str">
        <f>IFERROR(__xludf.DUMMYFUNCTION("""COMPUTED_VALUE"""),"https://www.reuters.com/business/finance/dubais-biggest-bank-gives-staff-pay-rise-inflation-sources-2022-08-09/")</f>
        <v>https://www.reuters.com/business/finance/dubais-biggest-bank-gives-staff-pay-rise-inflation-sources-2022-08-09/</v>
      </c>
      <c r="F125" s="368" t="str">
        <f>IFERROR(__xludf.DUMMYFUNCTION("""COMPUTED_VALUE"""),"Betterhomes")</f>
        <v>Betterhomes</v>
      </c>
    </row>
    <row r="126">
      <c r="A126" s="402">
        <f>IFERROR(__xludf.DUMMYFUNCTION("""COMPUTED_VALUE"""),44782.0)</f>
        <v>44782</v>
      </c>
      <c r="B126" s="368" t="str">
        <f>IFERROR(__xludf.DUMMYFUNCTION("""COMPUTED_VALUE"""),"Tier 3")</f>
        <v>Tier 3</v>
      </c>
      <c r="C126" s="368" t="str">
        <f>IFERROR(__xludf.DUMMYFUNCTION("""COMPUTED_VALUE"""),"Noticia Del Mundo (Spain)")</f>
        <v>Noticia Del Mundo (Spain)</v>
      </c>
      <c r="D126" s="368" t="str">
        <f>IFERROR(__xludf.DUMMYFUNCTION("""COMPUTED_VALUE"""),"Emiratos Árabes Unidos: el banco más grande de Dubái aumenta el sueldo del personal por la inflación")</f>
        <v>Emiratos Árabes Unidos: el banco más grande de Dubái aumenta el sueldo del personal por la inflación</v>
      </c>
      <c r="E126" s="507" t="str">
        <f>IFERROR(__xludf.DUMMYFUNCTION("""COMPUTED_VALUE"""),"https://noticiasdelmundo.news/emiratos-arabes-unidos-el-banco-mas-grande-de-dubai-aumenta-el-sueldo-del-personal-por-la-inflacion/")</f>
        <v>https://noticiasdelmundo.news/emiratos-arabes-unidos-el-banco-mas-grande-de-dubai-aumenta-el-sueldo-del-personal-por-la-inflacion/</v>
      </c>
      <c r="F126" s="368" t="str">
        <f>IFERROR(__xludf.DUMMYFUNCTION("""COMPUTED_VALUE"""),"Betterhomes")</f>
        <v>Betterhomes</v>
      </c>
    </row>
    <row r="127">
      <c r="A127" s="402">
        <f>IFERROR(__xludf.DUMMYFUNCTION("""COMPUTED_VALUE"""),44782.0)</f>
        <v>44782</v>
      </c>
      <c r="B127" s="368" t="str">
        <f>IFERROR(__xludf.DUMMYFUNCTION("""COMPUTED_VALUE"""),"Tier 3")</f>
        <v>Tier 3</v>
      </c>
      <c r="C127" s="368" t="str">
        <f>IFERROR(__xludf.DUMMYFUNCTION("""COMPUTED_VALUE"""),"Sindobatam (Indonasia)")</f>
        <v>Sindobatam (Indonasia)</v>
      </c>
      <c r="D127" s="368" t="str">
        <f>IFERROR(__xludf.DUMMYFUNCTION("""COMPUTED_VALUE"""),"Dubai's biggest bank gives employees an inflationary raise")</f>
        <v>Dubai's biggest bank gives employees an inflationary raise</v>
      </c>
      <c r="E127" s="507" t="str">
        <f>IFERROR(__xludf.DUMMYFUNCTION("""COMPUTED_VALUE"""),"https://sindobatam.com/bank-terbesar-di-dubai-memberi-karyawan-kenaikan-gaji-inflasi/")</f>
        <v>https://sindobatam.com/bank-terbesar-di-dubai-memberi-karyawan-kenaikan-gaji-inflasi/</v>
      </c>
      <c r="F127" s="368" t="str">
        <f>IFERROR(__xludf.DUMMYFUNCTION("""COMPUTED_VALUE"""),"Betterhomes")</f>
        <v>Betterhomes</v>
      </c>
    </row>
    <row r="128">
      <c r="A128" s="402">
        <f>IFERROR(__xludf.DUMMYFUNCTION("""COMPUTED_VALUE"""),44782.0)</f>
        <v>44782</v>
      </c>
      <c r="B128" s="368" t="str">
        <f>IFERROR(__xludf.DUMMYFUNCTION("""COMPUTED_VALUE"""),"Tier 3")</f>
        <v>Tier 3</v>
      </c>
      <c r="C128" s="368" t="str">
        <f>IFERROR(__xludf.DUMMYFUNCTION("""COMPUTED_VALUE"""),"Buzz News (Italy)")</f>
        <v>Buzz News (Italy)</v>
      </c>
      <c r="D128" s="368" t="str">
        <f>IFERROR(__xludf.DUMMYFUNCTION("""COMPUTED_VALUE"""),"The largest bank in Dubai offers employees an increase in salaries due to inflation")</f>
        <v>The largest bank in Dubai offers employees an increase in salaries due to inflation</v>
      </c>
      <c r="E128" s="507" t="str">
        <f>IFERROR(__xludf.DUMMYFUNCTION("""COMPUTED_VALUE"""),"https://buzznews.it/la-piu-grande-banca-di-dubai-offre-ai-dipendenti-un-aumento-degli-stipendi-dovuti-allinflazione/")</f>
        <v>https://buzznews.it/la-piu-grande-banca-di-dubai-offre-ai-dipendenti-un-aumento-degli-stipendi-dovuti-allinflazione/</v>
      </c>
      <c r="F128" s="368" t="str">
        <f>IFERROR(__xludf.DUMMYFUNCTION("""COMPUTED_VALUE"""),"Betterhomes")</f>
        <v>Betterhomes</v>
      </c>
    </row>
    <row r="129">
      <c r="A129" s="402">
        <f>IFERROR(__xludf.DUMMYFUNCTION("""COMPUTED_VALUE"""),44782.0)</f>
        <v>44782</v>
      </c>
      <c r="B129" s="368" t="str">
        <f>IFERROR(__xludf.DUMMYFUNCTION("""COMPUTED_VALUE"""),"Tier 3")</f>
        <v>Tier 3</v>
      </c>
      <c r="C129" s="368" t="str">
        <f>IFERROR(__xludf.DUMMYFUNCTION("""COMPUTED_VALUE"""),"GDN Online (Bahrain)")</f>
        <v>GDN Online (Bahrain)</v>
      </c>
      <c r="D129" s="368" t="str">
        <f>IFERROR(__xludf.DUMMYFUNCTION("""COMPUTED_VALUE"""),"Dubai's biggest bank gives staff a pay rise for inflation")</f>
        <v>Dubai's biggest bank gives staff a pay rise for inflation</v>
      </c>
      <c r="E129" s="507" t="str">
        <f>IFERROR(__xludf.DUMMYFUNCTION("""COMPUTED_VALUE"""),"https://www.gdnonline.com/Details/1139529")</f>
        <v>https://www.gdnonline.com/Details/1139529</v>
      </c>
      <c r="F129" s="368" t="str">
        <f>IFERROR(__xludf.DUMMYFUNCTION("""COMPUTED_VALUE"""),"Betterhomes")</f>
        <v>Betterhomes</v>
      </c>
    </row>
    <row r="130">
      <c r="A130" s="402">
        <f>IFERROR(__xludf.DUMMYFUNCTION("""COMPUTED_VALUE"""),44783.0)</f>
        <v>44783</v>
      </c>
      <c r="B130" s="368" t="str">
        <f>IFERROR(__xludf.DUMMYFUNCTION("""COMPUTED_VALUE"""),"Tier 1")</f>
        <v>Tier 1</v>
      </c>
      <c r="C130" s="368" t="str">
        <f>IFERROR(__xludf.DUMMYFUNCTION("""COMPUTED_VALUE"""),"Thomson Reuters")</f>
        <v>Thomson Reuters</v>
      </c>
      <c r="D130" s="368" t="str">
        <f>IFERROR(__xludf.DUMMYFUNCTION("""COMPUTED_VALUE"""),"Major Gulf bourses trade mixed; Abu Dhabi at record high")</f>
        <v>Major Gulf bourses trade mixed; Abu Dhabi at record high</v>
      </c>
      <c r="E130" s="507" t="str">
        <f>IFERROR(__xludf.DUMMYFUNCTION("""COMPUTED_VALUE"""),"https://www.reuters.com/world/middle-east/major-gulf-bourses-trade-mixed-abu-dhabi-record-high-2022-08-10/")</f>
        <v>https://www.reuters.com/world/middle-east/major-gulf-bourses-trade-mixed-abu-dhabi-record-high-2022-08-10/</v>
      </c>
      <c r="F130" s="368" t="str">
        <f>IFERROR(__xludf.DUMMYFUNCTION("""COMPUTED_VALUE"""),"Betterhomes")</f>
        <v>Betterhomes</v>
      </c>
    </row>
    <row r="131">
      <c r="A131" s="402">
        <f>IFERROR(__xludf.DUMMYFUNCTION("""COMPUTED_VALUE"""),44783.0)</f>
        <v>44783</v>
      </c>
      <c r="B131" s="368" t="str">
        <f>IFERROR(__xludf.DUMMYFUNCTION("""COMPUTED_VALUE"""),"Tier 2")</f>
        <v>Tier 2</v>
      </c>
      <c r="C131" s="368" t="str">
        <f>IFERROR(__xludf.DUMMYFUNCTION("""COMPUTED_VALUE"""),"Gulf News")</f>
        <v>Gulf News</v>
      </c>
      <c r="D131" s="368" t="str">
        <f>IFERROR(__xludf.DUMMYFUNCTION("""COMPUTED_VALUE"""),"As rents rise 20-30%, more Dubai residents see better value in renewing contracts than chase new ones")</f>
        <v>As rents rise 20-30%, more Dubai residents see better value in renewing contracts than chase new ones</v>
      </c>
      <c r="E131" s="507" t="str">
        <f>IFERROR(__xludf.DUMMYFUNCTION("""COMPUTED_VALUE"""),"https://gulfnews.com/business/property/as-rents-rise-20-30-more-dubai-residents-see-better-value-in-renewing-contracts-than-chase-new-ones-1.1660102666420")</f>
        <v>https://gulfnews.com/business/property/as-rents-rise-20-30-more-dubai-residents-see-better-value-in-renewing-contracts-than-chase-new-ones-1.1660102666420</v>
      </c>
      <c r="F131" s="368" t="str">
        <f>IFERROR(__xludf.DUMMYFUNCTION("""COMPUTED_VALUE"""),"Betterhomes")</f>
        <v>Betterhomes</v>
      </c>
    </row>
    <row r="132">
      <c r="A132" s="402">
        <f>IFERROR(__xludf.DUMMYFUNCTION("""COMPUTED_VALUE"""),44783.0)</f>
        <v>44783</v>
      </c>
      <c r="B132" s="368" t="str">
        <f>IFERROR(__xludf.DUMMYFUNCTION("""COMPUTED_VALUE"""),"Tier 3")</f>
        <v>Tier 3</v>
      </c>
      <c r="C132" s="368" t="str">
        <f>IFERROR(__xludf.DUMMYFUNCTION("""COMPUTED_VALUE"""),"Bdnews24 (Bangladesh)")</f>
        <v>Bdnews24 (Bangladesh)</v>
      </c>
      <c r="D132" s="368" t="str">
        <f>IFERROR(__xludf.DUMMYFUNCTION("""COMPUTED_VALUE"""),"Dubai's biggest bank gives staff a pay rise for inflation")</f>
        <v>Dubai's biggest bank gives staff a pay rise for inflation</v>
      </c>
      <c r="E132" s="507" t="str">
        <f>IFERROR(__xludf.DUMMYFUNCTION("""COMPUTED_VALUE"""),"https://bdnews24.com/economy/pg5abbgrnq")</f>
        <v>https://bdnews24.com/economy/pg5abbgrnq</v>
      </c>
      <c r="F132" s="368" t="str">
        <f>IFERROR(__xludf.DUMMYFUNCTION("""COMPUTED_VALUE"""),"Betterhomes")</f>
        <v>Betterhomes</v>
      </c>
    </row>
    <row r="133">
      <c r="A133" s="402">
        <f>IFERROR(__xludf.DUMMYFUNCTION("""COMPUTED_VALUE"""),44783.0)</f>
        <v>44783</v>
      </c>
      <c r="B133" s="368" t="str">
        <f>IFERROR(__xludf.DUMMYFUNCTION("""COMPUTED_VALUE"""),"Tier 2")</f>
        <v>Tier 2</v>
      </c>
      <c r="C133" s="368" t="str">
        <f>IFERROR(__xludf.DUMMYFUNCTION("""COMPUTED_VALUE"""),"Arab News")</f>
        <v>Arab News</v>
      </c>
      <c r="D133" s="368" t="str">
        <f>IFERROR(__xludf.DUMMYFUNCTION("""COMPUTED_VALUE"""),"MIDEAST STOCKS-Major Gulf bourses trade mixed; Abu Dhabi at record high")</f>
        <v>MIDEAST STOCKS-Major Gulf bourses trade mixed; Abu Dhabi at record high</v>
      </c>
      <c r="E133" s="507" t="str">
        <f>IFERROR(__xludf.DUMMYFUNCTION("""COMPUTED_VALUE"""),"https://www.arabnews.com/node/2139816/business-economy")</f>
        <v>https://www.arabnews.com/node/2139816/business-economy</v>
      </c>
      <c r="F133" s="368" t="str">
        <f>IFERROR(__xludf.DUMMYFUNCTION("""COMPUTED_VALUE"""),"Betterhomes")</f>
        <v>Betterhomes</v>
      </c>
    </row>
    <row r="134">
      <c r="A134" s="402">
        <f>IFERROR(__xludf.DUMMYFUNCTION("""COMPUTED_VALUE"""),44784.0)</f>
        <v>44784</v>
      </c>
      <c r="B134" s="368" t="str">
        <f>IFERROR(__xludf.DUMMYFUNCTION("""COMPUTED_VALUE"""),"Tier 3")</f>
        <v>Tier 3</v>
      </c>
      <c r="C134" s="368" t="str">
        <f>IFERROR(__xludf.DUMMYFUNCTION("""COMPUTED_VALUE"""),"Financial Investor")</f>
        <v>Financial Investor</v>
      </c>
      <c r="D134" s="368" t="str">
        <f>IFERROR(__xludf.DUMMYFUNCTION("""COMPUTED_VALUE"""),"Ryan Mahoney (Dubai, UAE): The CRC Commercial Property Market Report FY 2021")</f>
        <v>Ryan Mahoney (Dubai, UAE): The CRC Commercial Property Market Report FY 2021</v>
      </c>
      <c r="E134" s="507" t="str">
        <f>IFERROR(__xludf.DUMMYFUNCTION("""COMPUTED_VALUE"""),"https://www.financialinvestor24.com/property/1903/ryan-mahoney-dubai-uae-the-crc-commercial-property-market-report-fy-2021/")</f>
        <v>https://www.financialinvestor24.com/property/1903/ryan-mahoney-dubai-uae-the-crc-commercial-property-market-report-fy-2021/</v>
      </c>
      <c r="F134" s="368" t="str">
        <f>IFERROR(__xludf.DUMMYFUNCTION("""COMPUTED_VALUE"""),"CRC")</f>
        <v>CRC</v>
      </c>
    </row>
    <row r="135">
      <c r="A135" s="402">
        <f>IFERROR(__xludf.DUMMYFUNCTION("""COMPUTED_VALUE"""),44785.0)</f>
        <v>44785</v>
      </c>
      <c r="B135" s="368" t="str">
        <f>IFERROR(__xludf.DUMMYFUNCTION("""COMPUTED_VALUE"""),"Tier 2")</f>
        <v>Tier 2</v>
      </c>
      <c r="C135" s="368" t="str">
        <f>IFERROR(__xludf.DUMMYFUNCTION("""COMPUTED_VALUE"""),"The National News")</f>
        <v>The National News</v>
      </c>
      <c r="D135" s="368" t="str">
        <f>IFERROR(__xludf.DUMMYFUNCTION("""COMPUTED_VALUE"""),"How ‘Fomo’ is driving UAE residents to take out mortgages while they still can")</f>
        <v>How ‘Fomo’ is driving UAE residents to take out mortgages while they still can</v>
      </c>
      <c r="E135" s="507" t="str">
        <f>IFERROR(__xludf.DUMMYFUNCTION("""COMPUTED_VALUE"""),"https://www.thenationalnews.com/weekend/2022/08/12/fomo-drives-uae-residents-to-take-out-mortgages-amid-rate-rises/")</f>
        <v>https://www.thenationalnews.com/weekend/2022/08/12/fomo-drives-uae-residents-to-take-out-mortgages-amid-rate-rises/</v>
      </c>
      <c r="F135" s="368" t="str">
        <f>IFERROR(__xludf.DUMMYFUNCTION("""COMPUTED_VALUE"""),"Betterhomes")</f>
        <v>Betterhomes</v>
      </c>
    </row>
    <row r="136">
      <c r="A136" s="402">
        <f>IFERROR(__xludf.DUMMYFUNCTION("""COMPUTED_VALUE"""),44785.0)</f>
        <v>44785</v>
      </c>
      <c r="B136" s="368" t="str">
        <f>IFERROR(__xludf.DUMMYFUNCTION("""COMPUTED_VALUE"""),"Tier 3")</f>
        <v>Tier 3</v>
      </c>
      <c r="C136" s="368" t="str">
        <f>IFERROR(__xludf.DUMMYFUNCTION("""COMPUTED_VALUE"""),"El Correo del Golfo (Spain)")</f>
        <v>El Correo del Golfo (Spain)</v>
      </c>
      <c r="D136" s="368" t="str">
        <f>IFERROR(__xludf.DUMMYFUNCTION("""COMPUTED_VALUE"""),"The largest bank in Dubai raises the salary of its employees")</f>
        <v>The largest bank in Dubai raises the salary of its employees</v>
      </c>
      <c r="E136" s="507" t="str">
        <f>IFERROR(__xludf.DUMMYFUNCTION("""COMPUTED_VALUE"""),"https://www.elcorreo.ae/articulo/economia/banco-mas-grande-dubai-sube-sueldo-empleados/20220812090626148406.html")</f>
        <v>https://www.elcorreo.ae/articulo/economia/banco-mas-grande-dubai-sube-sueldo-empleados/20220812090626148406.html</v>
      </c>
      <c r="F136" s="368" t="str">
        <f>IFERROR(__xludf.DUMMYFUNCTION("""COMPUTED_VALUE"""),"Betterhomes")</f>
        <v>Betterhomes</v>
      </c>
    </row>
    <row r="137">
      <c r="A137" s="402">
        <f>IFERROR(__xludf.DUMMYFUNCTION("""COMPUTED_VALUE"""),44787.0)</f>
        <v>44787</v>
      </c>
      <c r="B137" s="368" t="str">
        <f>IFERROR(__xludf.DUMMYFUNCTION("""COMPUTED_VALUE"""),"Tier 2")</f>
        <v>Tier 2</v>
      </c>
      <c r="C137" s="368" t="str">
        <f>IFERROR(__xludf.DUMMYFUNCTION("""COMPUTED_VALUE"""),"Khaleej TImes")</f>
        <v>Khaleej TImes</v>
      </c>
      <c r="D137" s="368" t="str">
        <f>IFERROR(__xludf.DUMMYFUNCTION("""COMPUTED_VALUE"""),"New tenants to pay higher rents in Dubai")</f>
        <v>New tenants to pay higher rents in Dubai</v>
      </c>
      <c r="E137" s="507" t="str">
        <f>IFERROR(__xludf.DUMMYFUNCTION("""COMPUTED_VALUE"""),"https://www.khaleejtimes.com/business/new-tenants-to-pay-higher-rents-in-dubai")</f>
        <v>https://www.khaleejtimes.com/business/new-tenants-to-pay-higher-rents-in-dubai</v>
      </c>
      <c r="F137" s="368" t="str">
        <f>IFERROR(__xludf.DUMMYFUNCTION("""COMPUTED_VALUE"""),"Betterhomes")</f>
        <v>Betterhomes</v>
      </c>
    </row>
    <row r="138">
      <c r="A138" s="402">
        <f>IFERROR(__xludf.DUMMYFUNCTION("""COMPUTED_VALUE"""),44788.0)</f>
        <v>44788</v>
      </c>
      <c r="B138" s="368" t="str">
        <f>IFERROR(__xludf.DUMMYFUNCTION("""COMPUTED_VALUE"""),"Tier 2")</f>
        <v>Tier 2</v>
      </c>
      <c r="C138" s="368" t="str">
        <f>IFERROR(__xludf.DUMMYFUNCTION("""COMPUTED_VALUE"""),"Zawya")</f>
        <v>Zawya</v>
      </c>
      <c r="D138" s="368" t="str">
        <f>IFERROR(__xludf.DUMMYFUNCTION("""COMPUTED_VALUE"""),"New tenants to pay higher rents in Dubai")</f>
        <v>New tenants to pay higher rents in Dubai</v>
      </c>
      <c r="E138" s="507" t="str">
        <f>IFERROR(__xludf.DUMMYFUNCTION("""COMPUTED_VALUE"""),"https://www.zawya.com/en/business/real-estate/new-tenants-to-pay-higher-rents-in-dubai-tppmufae")</f>
        <v>https://www.zawya.com/en/business/real-estate/new-tenants-to-pay-higher-rents-in-dubai-tppmufae</v>
      </c>
      <c r="F138" s="368" t="str">
        <f>IFERROR(__xludf.DUMMYFUNCTION("""COMPUTED_VALUE"""),"Betterhomes")</f>
        <v>Betterhomes</v>
      </c>
    </row>
    <row r="139">
      <c r="A139" s="402">
        <f>IFERROR(__xludf.DUMMYFUNCTION("""COMPUTED_VALUE"""),44789.0)</f>
        <v>44789</v>
      </c>
      <c r="B139" s="368" t="str">
        <f>IFERROR(__xludf.DUMMYFUNCTION("""COMPUTED_VALUE"""),"Tier 2")</f>
        <v>Tier 2</v>
      </c>
      <c r="C139" s="368" t="str">
        <f>IFERROR(__xludf.DUMMYFUNCTION("""COMPUTED_VALUE"""),"Gulf News")</f>
        <v>Gulf News</v>
      </c>
      <c r="D139" s="368" t="str">
        <f>IFERROR(__xludf.DUMMYFUNCTION("""COMPUTED_VALUE"""),"Travelling for a month or two - can I put up my Dubai home for rent?")</f>
        <v>Travelling for a month or two - can I put up my Dubai home for rent?</v>
      </c>
      <c r="E139" s="507" t="str">
        <f>IFERROR(__xludf.DUMMYFUNCTION("""COMPUTED_VALUE"""),"https://gulfnews.com/living-in-uae/housing/travelling-for-a-month-or-two---can-i-put-up-my-dubai-home-for-rent-1.1660661106061")</f>
        <v>https://gulfnews.com/living-in-uae/housing/travelling-for-a-month-or-two---can-i-put-up-my-dubai-home-for-rent-1.1660661106061</v>
      </c>
      <c r="F139" s="368" t="str">
        <f>IFERROR(__xludf.DUMMYFUNCTION("""COMPUTED_VALUE"""),"STR BH")</f>
        <v>STR BH</v>
      </c>
    </row>
    <row r="140">
      <c r="A140" s="402">
        <f>IFERROR(__xludf.DUMMYFUNCTION("""COMPUTED_VALUE"""),44789.0)</f>
        <v>44789</v>
      </c>
      <c r="B140" s="368" t="str">
        <f>IFERROR(__xludf.DUMMYFUNCTION("""COMPUTED_VALUE"""),"Tier 3")</f>
        <v>Tier 3</v>
      </c>
      <c r="C140" s="368" t="str">
        <f>IFERROR(__xludf.DUMMYFUNCTION("""COMPUTED_VALUE"""),"News Week (US)")</f>
        <v>News Week (US)</v>
      </c>
      <c r="D140" s="368" t="str">
        <f>IFERROR(__xludf.DUMMYFUNCTION("""COMPUTED_VALUE"""),"Wealthy Russians Are Racing To Buy Homes in Turkey—Here's Why")</f>
        <v>Wealthy Russians Are Racing To Buy Homes in Turkey—Here's Why</v>
      </c>
      <c r="E140" s="507" t="str">
        <f>IFERROR(__xludf.DUMMYFUNCTION("""COMPUTED_VALUE"""),"https://www.newsweek.com/wealthy-russians-racing-buy-homes-turkey-why-explained-1734028")</f>
        <v>https://www.newsweek.com/wealthy-russians-racing-buy-homes-turkey-why-explained-1734028</v>
      </c>
      <c r="F140" s="368" t="str">
        <f>IFERROR(__xludf.DUMMYFUNCTION("""COMPUTED_VALUE"""),"Betterhomes")</f>
        <v>Betterhomes</v>
      </c>
    </row>
    <row r="141">
      <c r="A141" s="402">
        <f>IFERROR(__xludf.DUMMYFUNCTION("""COMPUTED_VALUE"""),44789.0)</f>
        <v>44789</v>
      </c>
      <c r="B141" s="368" t="str">
        <f>IFERROR(__xludf.DUMMYFUNCTION("""COMPUTED_VALUE"""),"Tier 3")</f>
        <v>Tier 3</v>
      </c>
      <c r="C141" s="368" t="str">
        <f>IFERROR(__xludf.DUMMYFUNCTION("""COMPUTED_VALUE"""),"The Latest News (Germany)")</f>
        <v>The Latest News (Germany)</v>
      </c>
      <c r="D141" s="368" t="str">
        <f>IFERROR(__xludf.DUMMYFUNCTION("""COMPUTED_VALUE"""),"Wealthy Russians are racing to buy houses in Turkey — here's why")</f>
        <v>Wealthy Russians are racing to buy houses in Turkey — here's why</v>
      </c>
      <c r="E141" s="507" t="str">
        <f>IFERROR(__xludf.DUMMYFUNCTION("""COMPUTED_VALUE"""),"https://www.theaktuellenews.com/nachrichten/wohlhabende-russen-rennen-um-den-kauf-von-haeusern-in-der-tuerkei-hier-ist-der-grund/")</f>
        <v>https://www.theaktuellenews.com/nachrichten/wohlhabende-russen-rennen-um-den-kauf-von-haeusern-in-der-tuerkei-hier-ist-der-grund/</v>
      </c>
      <c r="F141" s="368" t="str">
        <f>IFERROR(__xludf.DUMMYFUNCTION("""COMPUTED_VALUE"""),"Betterhomes")</f>
        <v>Betterhomes</v>
      </c>
    </row>
    <row r="142">
      <c r="A142" s="402">
        <f>IFERROR(__xludf.DUMMYFUNCTION("""COMPUTED_VALUE"""),44790.0)</f>
        <v>44790</v>
      </c>
      <c r="B142" s="368" t="str">
        <f>IFERROR(__xludf.DUMMYFUNCTION("""COMPUTED_VALUE"""),"Tier 2")</f>
        <v>Tier 2</v>
      </c>
      <c r="C142" s="368" t="str">
        <f>IFERROR(__xludf.DUMMYFUNCTION("""COMPUTED_VALUE"""),"Zawya")</f>
        <v>Zawya</v>
      </c>
      <c r="D142" s="368" t="str">
        <f>IFERROR(__xludf.DUMMYFUNCTION("""COMPUTED_VALUE"""),"Dubai: Real estate firm’s name, escrow account, other details must on ads")</f>
        <v>Dubai: Real estate firm’s name, escrow account, other details must on ads</v>
      </c>
      <c r="E142" s="507" t="str">
        <f>IFERROR(__xludf.DUMMYFUNCTION("""COMPUTED_VALUE"""),"https://www.zawya.com/en/business/real-estate/dubai-real-estate-firms-name-escrow-account-other-details-must-on-ads-axl3oipj")</f>
        <v>https://www.zawya.com/en/business/real-estate/dubai-real-estate-firms-name-escrow-account-other-details-must-on-ads-axl3oipj</v>
      </c>
      <c r="F142" s="368" t="str">
        <f>IFERROR(__xludf.DUMMYFUNCTION("""COMPUTED_VALUE"""),"Betterhomes")</f>
        <v>Betterhomes</v>
      </c>
    </row>
    <row r="143">
      <c r="A143" s="402">
        <f>IFERROR(__xludf.DUMMYFUNCTION("""COMPUTED_VALUE"""),44790.0)</f>
        <v>44790</v>
      </c>
      <c r="B143" s="368" t="str">
        <f>IFERROR(__xludf.DUMMYFUNCTION("""COMPUTED_VALUE"""),"Tier 3")</f>
        <v>Tier 3</v>
      </c>
      <c r="C143" s="368" t="str">
        <f>IFERROR(__xludf.DUMMYFUNCTION("""COMPUTED_VALUE"""),"Ahval (Turkey)")</f>
        <v>Ahval (Turkey)</v>
      </c>
      <c r="D143" s="368" t="str">
        <f>IFERROR(__xludf.DUMMYFUNCTION("""COMPUTED_VALUE"""),"Wealthy Russians vying to purchase homes in Turkey")</f>
        <v>Wealthy Russians vying to purchase homes in Turkey</v>
      </c>
      <c r="E143" s="507" t="str">
        <f>IFERROR(__xludf.DUMMYFUNCTION("""COMPUTED_VALUE"""),"https://ahvalnews.com/turkish-property/wealthy-russians-vying-purchase-homes-turkey")</f>
        <v>https://ahvalnews.com/turkish-property/wealthy-russians-vying-purchase-homes-turkey</v>
      </c>
      <c r="F143" s="368" t="str">
        <f>IFERROR(__xludf.DUMMYFUNCTION("""COMPUTED_VALUE"""),"Betterhomes")</f>
        <v>Betterhomes</v>
      </c>
    </row>
    <row r="144">
      <c r="A144" s="402">
        <f>IFERROR(__xludf.DUMMYFUNCTION("""COMPUTED_VALUE"""),44796.0)</f>
        <v>44796</v>
      </c>
      <c r="B144" s="368" t="str">
        <f>IFERROR(__xludf.DUMMYFUNCTION("""COMPUTED_VALUE"""),"Tier 3")</f>
        <v>Tier 3</v>
      </c>
      <c r="C144" s="368" t="str">
        <f>IFERROR(__xludf.DUMMYFUNCTION("""COMPUTED_VALUE"""),"MediaFax (Romania)")</f>
        <v>MediaFax (Romania)</v>
      </c>
      <c r="D144" s="368" t="str">
        <f>IFERROR(__xludf.DUMMYFUNCTION("""COMPUTED_VALUE"""),"Romanias bought apartments woth 75M")</f>
        <v>Romanias bought apartments woth 75M</v>
      </c>
      <c r="E144" s="507" t="str">
        <f>IFERROR(__xludf.DUMMYFUNCTION("""COMPUTED_VALUE"""),"https://www.mediafax.ro/economic/romanii-au-cumparat-de-la-un-dezvoltator-apartamente-de-75-milioane-euro-in-dubai-in-primele-sapte-luni-21105824")</f>
        <v>https://www.mediafax.ro/economic/romanii-au-cumparat-de-la-un-dezvoltator-apartamente-de-75-milioane-euro-in-dubai-in-primele-sapte-luni-21105824</v>
      </c>
      <c r="F144" s="368" t="str">
        <f>IFERROR(__xludf.DUMMYFUNCTION("""COMPUTED_VALUE"""),"Betterhomes")</f>
        <v>Betterhomes</v>
      </c>
    </row>
    <row r="145">
      <c r="A145" s="402">
        <f>IFERROR(__xludf.DUMMYFUNCTION("""COMPUTED_VALUE"""),44799.0)</f>
        <v>44799</v>
      </c>
      <c r="B145" s="368" t="str">
        <f>IFERROR(__xludf.DUMMYFUNCTION("""COMPUTED_VALUE"""),"Tier 2")</f>
        <v>Tier 2</v>
      </c>
      <c r="C145" s="368" t="str">
        <f>IFERROR(__xludf.DUMMYFUNCTION("""COMPUTED_VALUE"""),"Gulf News ")</f>
        <v>Gulf News </v>
      </c>
      <c r="D145" s="368" t="str">
        <f>IFERROR(__xludf.DUMMYFUNCTION("""COMPUTED_VALUE"""),"In Dubai, property buyers find ready homes costing a lot less than new launches")</f>
        <v>In Dubai, property buyers find ready homes costing a lot less than new launches</v>
      </c>
      <c r="E145" s="507" t="str">
        <f>IFERROR(__xludf.DUMMYFUNCTION("""COMPUTED_VALUE"""),"https://gulfnews.com/business/property/in-dubai-property-buyers-find-ready-homes-costing-a-lot-less-than-new-launches-1.1661484948660")</f>
        <v>https://gulfnews.com/business/property/in-dubai-property-buyers-find-ready-homes-costing-a-lot-less-than-new-launches-1.1661484948660</v>
      </c>
      <c r="F145" s="368" t="str">
        <f>IFERROR(__xludf.DUMMYFUNCTION("""COMPUTED_VALUE"""),"Betterhomes")</f>
        <v>Betterhomes</v>
      </c>
    </row>
    <row r="146">
      <c r="A146" s="402">
        <f>IFERROR(__xludf.DUMMYFUNCTION("""COMPUTED_VALUE"""),44799.0)</f>
        <v>44799</v>
      </c>
      <c r="B146" s="368" t="str">
        <f>IFERROR(__xludf.DUMMYFUNCTION("""COMPUTED_VALUE"""),"Tier 1")</f>
        <v>Tier 1</v>
      </c>
      <c r="C146" s="368" t="str">
        <f>IFERROR(__xludf.DUMMYFUNCTION("""COMPUTED_VALUE"""),"Euro News")</f>
        <v>Euro News</v>
      </c>
      <c r="D146" s="368" t="str">
        <f>IFERROR(__xludf.DUMMYFUNCTION("""COMPUTED_VALUE"""),"Meet The Entrepreneurs")</f>
        <v>Meet The Entrepreneurs</v>
      </c>
      <c r="E146" s="507" t="str">
        <f>IFERROR(__xludf.DUMMYFUNCTION("""COMPUTED_VALUE"""),"https://www.euronews.com/2022/08/26/meet-the-entrepreneurs")</f>
        <v>https://www.euronews.com/2022/08/26/meet-the-entrepreneurs</v>
      </c>
      <c r="F146" s="368" t="str">
        <f>IFERROR(__xludf.DUMMYFUNCTION("""COMPUTED_VALUE"""),"Betterhomes")</f>
        <v>Betterhomes</v>
      </c>
    </row>
    <row r="147">
      <c r="A147" s="402">
        <f>IFERROR(__xludf.DUMMYFUNCTION("""COMPUTED_VALUE"""),44799.0)</f>
        <v>44799</v>
      </c>
      <c r="B147" s="368" t="str">
        <f>IFERROR(__xludf.DUMMYFUNCTION("""COMPUTED_VALUE"""),"Tier 1")</f>
        <v>Tier 1</v>
      </c>
      <c r="C147" s="368" t="str">
        <f>IFERROR(__xludf.DUMMYFUNCTION("""COMPUTED_VALUE"""),"Euro News (Turkey)")</f>
        <v>Euro News (Turkey)</v>
      </c>
      <c r="D147" s="368" t="str">
        <f>IFERROR(__xludf.DUMMYFUNCTION("""COMPUTED_VALUE"""),"Meet The Entrepreneurs")</f>
        <v>Meet The Entrepreneurs</v>
      </c>
      <c r="E147" s="507" t="str">
        <f>IFERROR(__xludf.DUMMYFUNCTION("""COMPUTED_VALUE"""),"https://tr.euronews.com/2022/08/26/betterhomes-kurucusu-linda-mahoney-dubai-dogru-zamanda-dogru-yerdi")</f>
        <v>https://tr.euronews.com/2022/08/26/betterhomes-kurucusu-linda-mahoney-dubai-dogru-zamanda-dogru-yerdi</v>
      </c>
      <c r="F147" s="368" t="str">
        <f>IFERROR(__xludf.DUMMYFUNCTION("""COMPUTED_VALUE"""),"Betterhomes")</f>
        <v>Betterhomes</v>
      </c>
    </row>
    <row r="148">
      <c r="A148" s="402">
        <f>IFERROR(__xludf.DUMMYFUNCTION("""COMPUTED_VALUE"""),44799.0)</f>
        <v>44799</v>
      </c>
      <c r="B148" s="368" t="str">
        <f>IFERROR(__xludf.DUMMYFUNCTION("""COMPUTED_VALUE"""),"Tier 1")</f>
        <v>Tier 1</v>
      </c>
      <c r="C148" s="368" t="str">
        <f>IFERROR(__xludf.DUMMYFUNCTION("""COMPUTED_VALUE"""),"Euro News (Germany)")</f>
        <v>Euro News (Germany)</v>
      </c>
      <c r="D148" s="368" t="str">
        <f>IFERROR(__xludf.DUMMYFUNCTION("""COMPUTED_VALUE"""),"Meet The Entrepreneurs")</f>
        <v>Meet The Entrepreneurs</v>
      </c>
      <c r="E148" s="507" t="str">
        <f>IFERROR(__xludf.DUMMYFUNCTION("""COMPUTED_VALUE"""),"https://de.euronews.com/2022/08/26/grunder-in-dubai-erst-krankenschwester-dann-immobilienmaklerin")</f>
        <v>https://de.euronews.com/2022/08/26/grunder-in-dubai-erst-krankenschwester-dann-immobilienmaklerin</v>
      </c>
      <c r="F148" s="368" t="str">
        <f>IFERROR(__xludf.DUMMYFUNCTION("""COMPUTED_VALUE"""),"Betterhomes")</f>
        <v>Betterhomes</v>
      </c>
    </row>
    <row r="149">
      <c r="A149" s="402">
        <f>IFERROR(__xludf.DUMMYFUNCTION("""COMPUTED_VALUE"""),44799.0)</f>
        <v>44799</v>
      </c>
      <c r="B149" s="368" t="str">
        <f>IFERROR(__xludf.DUMMYFUNCTION("""COMPUTED_VALUE"""),"Tier 1")</f>
        <v>Tier 1</v>
      </c>
      <c r="C149" s="368" t="str">
        <f>IFERROR(__xludf.DUMMYFUNCTION("""COMPUTED_VALUE"""),"Euro News (Italy)")</f>
        <v>Euro News (Italy)</v>
      </c>
      <c r="D149" s="368" t="str">
        <f>IFERROR(__xludf.DUMMYFUNCTION("""COMPUTED_VALUE"""),"Meet The Entrepreneurs")</f>
        <v>Meet The Entrepreneurs</v>
      </c>
      <c r="E149" s="507" t="str">
        <f>IFERROR(__xludf.DUMMYFUNCTION("""COMPUTED_VALUE"""),"https://it.euronews.com/2022/08/26/la-seconda-vita-di-linda-a-dubai-da-infermiera-ad-agente-immobiliare")</f>
        <v>https://it.euronews.com/2022/08/26/la-seconda-vita-di-linda-a-dubai-da-infermiera-ad-agente-immobiliare</v>
      </c>
      <c r="F149" s="368" t="str">
        <f>IFERROR(__xludf.DUMMYFUNCTION("""COMPUTED_VALUE"""),"Betterhomes")</f>
        <v>Betterhomes</v>
      </c>
    </row>
    <row r="150">
      <c r="A150" s="402">
        <f>IFERROR(__xludf.DUMMYFUNCTION("""COMPUTED_VALUE"""),44799.0)</f>
        <v>44799</v>
      </c>
      <c r="B150" s="368" t="str">
        <f>IFERROR(__xludf.DUMMYFUNCTION("""COMPUTED_VALUE"""),"Tier 1")</f>
        <v>Tier 1</v>
      </c>
      <c r="C150" s="368" t="str">
        <f>IFERROR(__xludf.DUMMYFUNCTION("""COMPUTED_VALUE"""),"Euro News (Spain)")</f>
        <v>Euro News (Spain)</v>
      </c>
      <c r="D150" s="368" t="str">
        <f>IFERROR(__xludf.DUMMYFUNCTION("""COMPUTED_VALUE"""),"Meet The Entrepreneurs")</f>
        <v>Meet The Entrepreneurs</v>
      </c>
      <c r="E150" s="507" t="str">
        <f>IFERROR(__xludf.DUMMYFUNCTION("""COMPUTED_VALUE"""),"https://es.euronews.com/2022/08/26/linda-mahoney-o-una-mujer-pionera-que-cambio-el-panorama-del-sector-inmobiliario-en-dubai")</f>
        <v>https://es.euronews.com/2022/08/26/linda-mahoney-o-una-mujer-pionera-que-cambio-el-panorama-del-sector-inmobiliario-en-dubai</v>
      </c>
      <c r="F150" s="368" t="str">
        <f>IFERROR(__xludf.DUMMYFUNCTION("""COMPUTED_VALUE"""),"Betterhomes")</f>
        <v>Betterhomes</v>
      </c>
    </row>
    <row r="151">
      <c r="A151" s="402">
        <f>IFERROR(__xludf.DUMMYFUNCTION("""COMPUTED_VALUE"""),44799.0)</f>
        <v>44799</v>
      </c>
      <c r="B151" s="368" t="str">
        <f>IFERROR(__xludf.DUMMYFUNCTION("""COMPUTED_VALUE"""),"Tier 1")</f>
        <v>Tier 1</v>
      </c>
      <c r="C151" s="368" t="str">
        <f>IFERROR(__xludf.DUMMYFUNCTION("""COMPUTED_VALUE"""),"Euro News (Portugal)")</f>
        <v>Euro News (Portugal)</v>
      </c>
      <c r="D151" s="368" t="str">
        <f>IFERROR(__xludf.DUMMYFUNCTION("""COMPUTED_VALUE"""),"Meet The Entrepreneurs")</f>
        <v>Meet The Entrepreneurs</v>
      </c>
      <c r="E151" s="507" t="str">
        <f>IFERROR(__xludf.DUMMYFUNCTION("""COMPUTED_VALUE"""),"https://pt.euronews.com/2022/08/26/uma-historia-de-sucesso-que-comecou-com-um-casamento-falhado")</f>
        <v>https://pt.euronews.com/2022/08/26/uma-historia-de-sucesso-que-comecou-com-um-casamento-falhado</v>
      </c>
      <c r="F151" s="368" t="str">
        <f>IFERROR(__xludf.DUMMYFUNCTION("""COMPUTED_VALUE"""),"Betterhomes")</f>
        <v>Betterhomes</v>
      </c>
    </row>
    <row r="152">
      <c r="A152" s="402">
        <f>IFERROR(__xludf.DUMMYFUNCTION("""COMPUTED_VALUE"""),44800.0)</f>
        <v>44800</v>
      </c>
      <c r="B152" s="368" t="str">
        <f>IFERROR(__xludf.DUMMYFUNCTION("""COMPUTED_VALUE"""),"Tier 3")</f>
        <v>Tier 3</v>
      </c>
      <c r="C152" s="368" t="str">
        <f>IFERROR(__xludf.DUMMYFUNCTION("""COMPUTED_VALUE"""),"Shortlist Dubai")</f>
        <v>Shortlist Dubai</v>
      </c>
      <c r="D152" s="368" t="str">
        <f>IFERROR(__xludf.DUMMYFUNCTION("""COMPUTED_VALUE"""),"Best Property Management Companies In Dubai- An Overview!")</f>
        <v>Best Property Management Companies In Dubai- An Overview!</v>
      </c>
      <c r="E152" s="507" t="str">
        <f>IFERROR(__xludf.DUMMYFUNCTION("""COMPUTED_VALUE"""),"https://www.shortlistdubai.com/article/best-property-management-companies-dubai/")</f>
        <v>https://www.shortlistdubai.com/article/best-property-management-companies-dubai/</v>
      </c>
      <c r="F152" s="368" t="str">
        <f>IFERROR(__xludf.DUMMYFUNCTION("""COMPUTED_VALUE"""),"Betterhomes")</f>
        <v>Betterhomes</v>
      </c>
    </row>
    <row r="153">
      <c r="A153" s="402">
        <f>IFERROR(__xludf.DUMMYFUNCTION("""COMPUTED_VALUE"""),44800.0)</f>
        <v>44800</v>
      </c>
      <c r="B153" s="368" t="str">
        <f>IFERROR(__xludf.DUMMYFUNCTION("""COMPUTED_VALUE"""),"Tier 3")</f>
        <v>Tier 3</v>
      </c>
      <c r="C153" s="368" t="str">
        <f>IFERROR(__xludf.DUMMYFUNCTION("""COMPUTED_VALUE"""),"Play Tech (Romania)")</f>
        <v>Play Tech (Romania)</v>
      </c>
      <c r="D153" s="368" t="str">
        <f>IFERROR(__xludf.DUMMYFUNCTION("""COMPUTED_VALUE"""),"The real estate bubble in Romania has exploded, and rich Romanians are moving to Dubai: how much money they put into apartments")</f>
        <v>The real estate bubble in Romania has exploded, and rich Romanians are moving to Dubai: how much money they put into apartments</v>
      </c>
      <c r="E153" s="507" t="str">
        <f>IFERROR(__xludf.DUMMYFUNCTION("""COMPUTED_VALUE"""),"https://playtech.ro/2022/bula-imobiliara-din-romania-a-explodat-iar-romanii-bogati-se-muta-la-dubai-cati-bani-au-bagat-in-apartamente/")</f>
        <v>https://playtech.ro/2022/bula-imobiliara-din-romania-a-explodat-iar-romanii-bogati-se-muta-la-dubai-cati-bani-au-bagat-in-apartamente/</v>
      </c>
      <c r="F153" s="368" t="str">
        <f>IFERROR(__xludf.DUMMYFUNCTION("""COMPUTED_VALUE"""),"Betterhomes")</f>
        <v>Betterhomes</v>
      </c>
    </row>
    <row r="154">
      <c r="A154" s="402">
        <f>IFERROR(__xludf.DUMMYFUNCTION("""COMPUTED_VALUE"""),44800.0)</f>
        <v>44800</v>
      </c>
      <c r="B154" s="368" t="str">
        <f>IFERROR(__xludf.DUMMYFUNCTION("""COMPUTED_VALUE"""),"Tier 3")</f>
        <v>Tier 3</v>
      </c>
      <c r="C154" s="368" t="str">
        <f>IFERROR(__xludf.DUMMYFUNCTION("""COMPUTED_VALUE"""),"Info (Israel)")</f>
        <v>Info (Israel)</v>
      </c>
      <c r="D154" s="368" t="str">
        <f>IFERROR(__xludf.DUMMYFUNCTION("""COMPUTED_VALUE"""),"2009 crisis forgotten in Dubai: luxury real estate jumps by 87%")</f>
        <v>2009 crisis forgotten in Dubai: luxury real estate jumps by 87%</v>
      </c>
      <c r="E154" s="507" t="str">
        <f>IFERROR(__xludf.DUMMYFUNCTION("""COMPUTED_VALUE"""),"https://infos-israel.news/crise-de-2009-oubliee-a-dubai-limmobilier-de-luxe-bondit-de-87/")</f>
        <v>https://infos-israel.news/crise-de-2009-oubliee-a-dubai-limmobilier-de-luxe-bondit-de-87/</v>
      </c>
      <c r="F154" s="368" t="str">
        <f>IFERROR(__xludf.DUMMYFUNCTION("""COMPUTED_VALUE"""),"Betterhomes")</f>
        <v>Betterhomes</v>
      </c>
    </row>
    <row r="155">
      <c r="A155" s="402">
        <f>IFERROR(__xludf.DUMMYFUNCTION("""COMPUTED_VALUE"""),44805.0)</f>
        <v>44805</v>
      </c>
      <c r="B155" s="368" t="str">
        <f>IFERROR(__xludf.DUMMYFUNCTION("""COMPUTED_VALUE"""),"Tier 3")</f>
        <v>Tier 3</v>
      </c>
      <c r="C155" s="368" t="str">
        <f>IFERROR(__xludf.DUMMYFUNCTION("""COMPUTED_VALUE"""),"Business Recorder")</f>
        <v>Business Recorder</v>
      </c>
      <c r="D155" s="368" t="str">
        <f>IFERROR(__xludf.DUMMYFUNCTION("""COMPUTED_VALUE"""),"Dubai is emerging as a favourite for the ultra-rich, and Ambani's reported purchase cements this status")</f>
        <v>Dubai is emerging as a favourite for the ultra-rich, and Ambani's reported purchase cements this status</v>
      </c>
      <c r="E155" s="507" t="str">
        <f>IFERROR(__xludf.DUMMYFUNCTION("""COMPUTED_VALUE"""),"https://www.brecorder.com/news/40194446")</f>
        <v>https://www.brecorder.com/news/40194446</v>
      </c>
      <c r="F155" s="368" t="str">
        <f>IFERROR(__xludf.DUMMYFUNCTION("""COMPUTED_VALUE"""),"Betterhomes")</f>
        <v>Betterhomes</v>
      </c>
    </row>
    <row r="156">
      <c r="A156" s="402">
        <f>IFERROR(__xludf.DUMMYFUNCTION("""COMPUTED_VALUE"""),44805.0)</f>
        <v>44805</v>
      </c>
      <c r="B156" s="368" t="str">
        <f>IFERROR(__xludf.DUMMYFUNCTION("""COMPUTED_VALUE"""),"Tier 3")</f>
        <v>Tier 3</v>
      </c>
      <c r="C156" s="368" t="str">
        <f>IFERROR(__xludf.DUMMYFUNCTION("""COMPUTED_VALUE"""),"Haberler (Turkey)")</f>
        <v>Haberler (Turkey)</v>
      </c>
      <c r="D156" s="368" t="str">
        <f>IFERROR(__xludf.DUMMYFUNCTION("""COMPUTED_VALUE"""),"BetterHomes founder Linda Mahoney: Dubai was the right place at the right time")</f>
        <v>BetterHomes founder Linda Mahoney: Dubai was the right place at the right time</v>
      </c>
      <c r="E156" s="507" t="str">
        <f>IFERROR(__xludf.DUMMYFUNCTION("""COMPUTED_VALUE"""),"https://www.haberler.com/guncel/betterhomes-kurucusu-linda-mahoney-dubai-dogru-15226716-haberi/")</f>
        <v>https://www.haberler.com/guncel/betterhomes-kurucusu-linda-mahoney-dubai-dogru-15226716-haberi/</v>
      </c>
      <c r="F156" s="368" t="str">
        <f>IFERROR(__xludf.DUMMYFUNCTION("""COMPUTED_VALUE"""),"Betterhomes")</f>
        <v>Betterhomes</v>
      </c>
    </row>
    <row r="157">
      <c r="A157" s="402">
        <f>IFERROR(__xludf.DUMMYFUNCTION("""COMPUTED_VALUE"""),44810.0)</f>
        <v>44810</v>
      </c>
      <c r="B157" s="368" t="str">
        <f>IFERROR(__xludf.DUMMYFUNCTION("""COMPUTED_VALUE"""),"Tier 2")</f>
        <v>Tier 2</v>
      </c>
      <c r="C157" s="368" t="str">
        <f>IFERROR(__xludf.DUMMYFUNCTION("""COMPUTED_VALUE"""),"Gulf News")</f>
        <v>Gulf News</v>
      </c>
      <c r="D157" s="368" t="str">
        <f>IFERROR(__xludf.DUMMYFUNCTION("""COMPUTED_VALUE"""),"Moving out: Who cancels Ejari - the landlord or tenant?")</f>
        <v>Moving out: Who cancels Ejari - the landlord or tenant?</v>
      </c>
      <c r="E157" s="507" t="str">
        <f>IFERROR(__xludf.DUMMYFUNCTION("""COMPUTED_VALUE"""),"https://gulfnews.com/living-in-uae/housing/moving-out-who-cancels-ejari---the-landlord-or-tenant-1.1662382091757")</f>
        <v>https://gulfnews.com/living-in-uae/housing/moving-out-who-cancels-ejari---the-landlord-or-tenant-1.1662382091757</v>
      </c>
      <c r="F157" s="368" t="str">
        <f>IFERROR(__xludf.DUMMYFUNCTION("""COMPUTED_VALUE"""),"Betterhomes")</f>
        <v>Betterhomes</v>
      </c>
    </row>
    <row r="158">
      <c r="A158" s="402">
        <f>IFERROR(__xludf.DUMMYFUNCTION("""COMPUTED_VALUE"""),44810.0)</f>
        <v>44810</v>
      </c>
      <c r="B158" s="368" t="str">
        <f>IFERROR(__xludf.DUMMYFUNCTION("""COMPUTED_VALUE"""),"Tier 3")</f>
        <v>Tier 3</v>
      </c>
      <c r="C158" s="368" t="str">
        <f>IFERROR(__xludf.DUMMYFUNCTION("""COMPUTED_VALUE"""),"Act Media (Romania)")</f>
        <v>Act Media (Romania)</v>
      </c>
      <c r="D158" s="368" t="str">
        <f>IFERROR(__xludf.DUMMYFUNCTION("""COMPUTED_VALUE"""),"Real estate : Romanians bought apartments of 75 million euros from Sobha Dubai developer in first 7 months of 2022")</f>
        <v>Real estate : Romanians bought apartments of 75 million euros from Sobha Dubai developer in first 7 months of 2022</v>
      </c>
      <c r="E158" s="507" t="str">
        <f>IFERROR(__xludf.DUMMYFUNCTION("""COMPUTED_VALUE"""),"https://actmedia.eu/economic/real-estate-romanians-bought-apartments-of-75-million-euros-from-sobha-dubai-developer-in-first-7-months-of-2022/99363")</f>
        <v>https://actmedia.eu/economic/real-estate-romanians-bought-apartments-of-75-million-euros-from-sobha-dubai-developer-in-first-7-months-of-2022/99363</v>
      </c>
      <c r="F158" s="368" t="str">
        <f>IFERROR(__xludf.DUMMYFUNCTION("""COMPUTED_VALUE"""),"Betterhomes")</f>
        <v>Betterhomes</v>
      </c>
    </row>
    <row r="159">
      <c r="A159" s="402">
        <f>IFERROR(__xludf.DUMMYFUNCTION("""COMPUTED_VALUE"""),44811.0)</f>
        <v>44811</v>
      </c>
      <c r="B159" s="368" t="str">
        <f>IFERROR(__xludf.DUMMYFUNCTION("""COMPUTED_VALUE"""),"Tier 2")</f>
        <v>Tier 2</v>
      </c>
      <c r="C159" s="368" t="str">
        <f>IFERROR(__xludf.DUMMYFUNCTION("""COMPUTED_VALUE"""),"Khaleej Times")</f>
        <v>Khaleej Times</v>
      </c>
      <c r="D159" s="368" t="str">
        <f>IFERROR(__xludf.DUMMYFUNCTION("""COMPUTED_VALUE"""),"Why the wealthy are attracted to Dubai's luxury homes")</f>
        <v>Why the wealthy are attracted to Dubai's luxury homes</v>
      </c>
      <c r="E159" s="507" t="str">
        <f>IFERROR(__xludf.DUMMYFUNCTION("""COMPUTED_VALUE"""),"https://www.khaleejtimes.com/opinion/why-the-wealthy-are-attracted-to-dubais-luxury-homes")</f>
        <v>https://www.khaleejtimes.com/opinion/why-the-wealthy-are-attracted-to-dubais-luxury-homes</v>
      </c>
      <c r="F159" s="368" t="str">
        <f>IFERROR(__xludf.DUMMYFUNCTION("""COMPUTED_VALUE"""),"PRIME")</f>
        <v>PRIME</v>
      </c>
    </row>
    <row r="160">
      <c r="A160" s="402">
        <f>IFERROR(__xludf.DUMMYFUNCTION("""COMPUTED_VALUE"""),44811.0)</f>
        <v>44811</v>
      </c>
      <c r="B160" s="368" t="str">
        <f>IFERROR(__xludf.DUMMYFUNCTION("""COMPUTED_VALUE"""),"Tier 2")</f>
        <v>Tier 2</v>
      </c>
      <c r="C160" s="368" t="str">
        <f>IFERROR(__xludf.DUMMYFUNCTION("""COMPUTED_VALUE"""),"Khaleej Times (Print)")</f>
        <v>Khaleej Times (Print)</v>
      </c>
      <c r="D160" s="368" t="str">
        <f>IFERROR(__xludf.DUMMYFUNCTION("""COMPUTED_VALUE"""),"Why the wealthy are attracted to Dubai's luxury homes")</f>
        <v>Why the wealthy are attracted to Dubai's luxury homes</v>
      </c>
      <c r="E160" s="507" t="str">
        <f>IFERROR(__xludf.DUMMYFUNCTION("""COMPUTED_VALUE"""),"https://epaper.khaleejtimes.com/835/05-09-2022")</f>
        <v>https://epaper.khaleejtimes.com/835/05-09-2022</v>
      </c>
      <c r="F160" s="368" t="str">
        <f>IFERROR(__xludf.DUMMYFUNCTION("""COMPUTED_VALUE"""),"PRIME ")</f>
        <v>PRIME </v>
      </c>
    </row>
    <row r="161">
      <c r="A161" s="402">
        <f>IFERROR(__xludf.DUMMYFUNCTION("""COMPUTED_VALUE"""),44811.0)</f>
        <v>44811</v>
      </c>
      <c r="B161" s="368" t="str">
        <f>IFERROR(__xludf.DUMMYFUNCTION("""COMPUTED_VALUE"""),"Tier 2")</f>
        <v>Tier 2</v>
      </c>
      <c r="C161" s="368" t="str">
        <f>IFERROR(__xludf.DUMMYFUNCTION("""COMPUTED_VALUE"""),"Zawya ")</f>
        <v>Zawya </v>
      </c>
      <c r="D161" s="368" t="str">
        <f>IFERROR(__xludf.DUMMYFUNCTION("""COMPUTED_VALUE"""),"Why the wealthy are attracted to Dubai's luxury homes")</f>
        <v>Why the wealthy are attracted to Dubai's luxury homes</v>
      </c>
      <c r="E161" s="507" t="str">
        <f>IFERROR(__xludf.DUMMYFUNCTION("""COMPUTED_VALUE"""),"https://www.zawya.com/en/business/real-estate/why-the-wealthy-are-attracted-to-dubais-luxury-homes-rg1maetg")</f>
        <v>https://www.zawya.com/en/business/real-estate/why-the-wealthy-are-attracted-to-dubais-luxury-homes-rg1maetg</v>
      </c>
      <c r="F161" s="368" t="str">
        <f>IFERROR(__xludf.DUMMYFUNCTION("""COMPUTED_VALUE"""),"PRIME ")</f>
        <v>PRIME </v>
      </c>
    </row>
    <row r="162">
      <c r="A162" s="402">
        <f>IFERROR(__xludf.DUMMYFUNCTION("""COMPUTED_VALUE"""),44814.0)</f>
        <v>44814</v>
      </c>
      <c r="B162" s="368" t="str">
        <f>IFERROR(__xludf.DUMMYFUNCTION("""COMPUTED_VALUE"""),"Tier 2")</f>
        <v>Tier 2</v>
      </c>
      <c r="C162" s="368" t="str">
        <f>IFERROR(__xludf.DUMMYFUNCTION("""COMPUTED_VALUE"""),"Arabian Business ")</f>
        <v>Arabian Business </v>
      </c>
      <c r="D162" s="368" t="str">
        <f>IFERROR(__xludf.DUMMYFUNCTION("""COMPUTED_VALUE"""),"Real estate brokers in the UAE: Do we need them? ")</f>
        <v>Real estate brokers in the UAE: Do we need them? </v>
      </c>
      <c r="E162" s="507" t="str">
        <f>IFERROR(__xludf.DUMMYFUNCTION("""COMPUTED_VALUE"""),"https://www.arabianbusiness.com/opinion/real-estate-brokers-in-the-uae-do-we-need-them")</f>
        <v>https://www.arabianbusiness.com/opinion/real-estate-brokers-in-the-uae-do-we-need-them</v>
      </c>
      <c r="F162" s="368" t="str">
        <f>IFERROR(__xludf.DUMMYFUNCTION("""COMPUTED_VALUE"""),"Betterhomes")</f>
        <v>Betterhomes</v>
      </c>
    </row>
    <row r="163">
      <c r="A163" s="402">
        <f>IFERROR(__xludf.DUMMYFUNCTION("""COMPUTED_VALUE"""),44816.0)</f>
        <v>44816</v>
      </c>
      <c r="B163" s="368" t="str">
        <f>IFERROR(__xludf.DUMMYFUNCTION("""COMPUTED_VALUE"""),"Tier 2")</f>
        <v>Tier 2</v>
      </c>
      <c r="C163" s="368" t="str">
        <f>IFERROR(__xludf.DUMMYFUNCTION("""COMPUTED_VALUE"""),"Arabian Gulf Business Insight")</f>
        <v>Arabian Gulf Business Insight</v>
      </c>
      <c r="D163" s="368" t="str">
        <f>IFERROR(__xludf.DUMMYFUNCTION("""COMPUTED_VALUE"""),"Dubai on alert as distressed assets become a real possibility")</f>
        <v>Dubai on alert as distressed assets become a real possibility</v>
      </c>
      <c r="E163" s="507" t="str">
        <f>IFERROR(__xludf.DUMMYFUNCTION("""COMPUTED_VALUE"""),"https://www.agbi.com/articles/dubai-on-alert-as-distressed-assets-become-a-real-possibility/")</f>
        <v>https://www.agbi.com/articles/dubai-on-alert-as-distressed-assets-become-a-real-possibility/</v>
      </c>
      <c r="F163" s="368" t="str">
        <f>IFERROR(__xludf.DUMMYFUNCTION("""COMPUTED_VALUE"""),"CRC")</f>
        <v>CRC</v>
      </c>
    </row>
    <row r="164">
      <c r="A164" s="402">
        <f>IFERROR(__xludf.DUMMYFUNCTION("""COMPUTED_VALUE"""),44817.0)</f>
        <v>44817</v>
      </c>
      <c r="B164" s="368" t="str">
        <f>IFERROR(__xludf.DUMMYFUNCTION("""COMPUTED_VALUE"""),"Tier 2")</f>
        <v>Tier 2</v>
      </c>
      <c r="C164" s="368" t="str">
        <f>IFERROR(__xludf.DUMMYFUNCTION("""COMPUTED_VALUE"""),"Arabian Gulf Business Insight")</f>
        <v>Arabian Gulf Business Insight</v>
      </c>
      <c r="D164" s="368" t="str">
        <f>IFERROR(__xludf.DUMMYFUNCTION("""COMPUTED_VALUE"""),"Burj Khalifa broke its sales record in 2021 – and is set to do it again")</f>
        <v>Burj Khalifa broke its sales record in 2021 – and is set to do it again</v>
      </c>
      <c r="E164" s="507" t="str">
        <f>IFERROR(__xludf.DUMMYFUNCTION("""COMPUTED_VALUE"""),"https://www.agbi.com/articles/burj-khalifa-surging-sales/")</f>
        <v>https://www.agbi.com/articles/burj-khalifa-surging-sales/</v>
      </c>
      <c r="F164" s="368" t="str">
        <f>IFERROR(__xludf.DUMMYFUNCTION("""COMPUTED_VALUE"""),"Betterhomes")</f>
        <v>Betterhomes</v>
      </c>
    </row>
    <row r="165">
      <c r="A165" s="402">
        <f>IFERROR(__xludf.DUMMYFUNCTION("""COMPUTED_VALUE"""),44824.0)</f>
        <v>44824</v>
      </c>
      <c r="B165" s="368" t="str">
        <f>IFERROR(__xludf.DUMMYFUNCTION("""COMPUTED_VALUE"""),"Tier 2")</f>
        <v>Tier 2</v>
      </c>
      <c r="C165" s="368" t="str">
        <f>IFERROR(__xludf.DUMMYFUNCTION("""COMPUTED_VALUE"""),"The National ")</f>
        <v>The National </v>
      </c>
      <c r="D165" s="368" t="str">
        <f>IFERROR(__xludf.DUMMYFUNCTION("""COMPUTED_VALUE"""),"Dubai’s economy holding up well amid the global slowdown")</f>
        <v>Dubai’s economy holding up well amid the global slowdown</v>
      </c>
      <c r="E165" s="507" t="str">
        <f>IFERROR(__xludf.DUMMYFUNCTION("""COMPUTED_VALUE"""),"https://www.thenationalnews.com/business/comment/2022/09/20/dubais-economy-holding-up-well-amid-the-global-slowdown/")</f>
        <v>https://www.thenationalnews.com/business/comment/2022/09/20/dubais-economy-holding-up-well-amid-the-global-slowdown/</v>
      </c>
      <c r="F165" s="368" t="str">
        <f>IFERROR(__xludf.DUMMYFUNCTION("""COMPUTED_VALUE"""),"Betterhomes")</f>
        <v>Betterhomes</v>
      </c>
    </row>
    <row r="166">
      <c r="A166" s="402">
        <f>IFERROR(__xludf.DUMMYFUNCTION("""COMPUTED_VALUE"""),44825.0)</f>
        <v>44825</v>
      </c>
      <c r="B166" s="368" t="str">
        <f>IFERROR(__xludf.DUMMYFUNCTION("""COMPUTED_VALUE"""),"Tier 3")</f>
        <v>Tier 3</v>
      </c>
      <c r="C166" s="368" t="str">
        <f>IFERROR(__xludf.DUMMYFUNCTION("""COMPUTED_VALUE"""),"El Correo del Golfo (Spain)")</f>
        <v>El Correo del Golfo (Spain)</v>
      </c>
      <c r="D166" s="368" t="str">
        <f>IFERROR(__xludf.DUMMYFUNCTION("""COMPUTED_VALUE"""),"Dubai economy remains stable after global slowdown")</f>
        <v>Dubai economy remains stable after global slowdown</v>
      </c>
      <c r="E166" s="507" t="str">
        <f>IFERROR(__xludf.DUMMYFUNCTION("""COMPUTED_VALUE"""),"https://www.elcorreo.ae/articulo/economia/economia-dubai-mantiene-estable-desaceleracion-mundial/20220921084624149342.html")</f>
        <v>https://www.elcorreo.ae/articulo/economia/economia-dubai-mantiene-estable-desaceleracion-mundial/20220921084624149342.html</v>
      </c>
      <c r="F166" s="368" t="str">
        <f>IFERROR(__xludf.DUMMYFUNCTION("""COMPUTED_VALUE"""),"Betterhomes")</f>
        <v>Betterhomes</v>
      </c>
    </row>
    <row r="167">
      <c r="A167" s="402">
        <f>IFERROR(__xludf.DUMMYFUNCTION("""COMPUTED_VALUE"""),44830.0)</f>
        <v>44830</v>
      </c>
      <c r="B167" s="368" t="str">
        <f>IFERROR(__xludf.DUMMYFUNCTION("""COMPUTED_VALUE"""),"Tier 2")</f>
        <v>Tier 2</v>
      </c>
      <c r="C167" s="368" t="str">
        <f>IFERROR(__xludf.DUMMYFUNCTION("""COMPUTED_VALUE"""),"Euro News")</f>
        <v>Euro News</v>
      </c>
      <c r="D167" s="368" t="str">
        <f>IFERROR(__xludf.DUMMYFUNCTION("""COMPUTED_VALUE"""),"Expo City Dubai: UAE's first 15-minute city &amp; a smart city for the future")</f>
        <v>Expo City Dubai: UAE's first 15-minute city &amp; a smart city for the future</v>
      </c>
      <c r="E167" s="507" t="str">
        <f>IFERROR(__xludf.DUMMYFUNCTION("""COMPUTED_VALUE"""),"https://www.euronews.com/next/2022/09/26/expo-city-dubai-larger-than-hong-kong-the-uaes-first-15-minute-city")</f>
        <v>https://www.euronews.com/next/2022/09/26/expo-city-dubai-larger-than-hong-kong-the-uaes-first-15-minute-city</v>
      </c>
      <c r="F167" s="368" t="str">
        <f>IFERROR(__xludf.DUMMYFUNCTION("""COMPUTED_VALUE"""),"Betterhomes")</f>
        <v>Betterhomes</v>
      </c>
    </row>
    <row r="168">
      <c r="A168" s="402">
        <f>IFERROR(__xludf.DUMMYFUNCTION("""COMPUTED_VALUE"""),44830.0)</f>
        <v>44830</v>
      </c>
      <c r="B168" s="368" t="str">
        <f>IFERROR(__xludf.DUMMYFUNCTION("""COMPUTED_VALUE"""),"Tier 2")</f>
        <v>Tier 2</v>
      </c>
      <c r="C168" s="368" t="str">
        <f>IFERROR(__xludf.DUMMYFUNCTION("""COMPUTED_VALUE"""),"Euro News (Italy)")</f>
        <v>Euro News (Italy)</v>
      </c>
      <c r="D168" s="368" t="str">
        <f>IFERROR(__xludf.DUMMYFUNCTION("""COMPUTED_VALUE"""),"Expo City Dubai: UAE's first 15-minute city &amp; a smart city for the future")</f>
        <v>Expo City Dubai: UAE's first 15-minute city &amp; a smart city for the future</v>
      </c>
      <c r="E168" s="507" t="str">
        <f>IFERROR(__xludf.DUMMYFUNCTION("""COMPUTED_VALUE"""),"https://it.euronews.com/next/2022/09/26/dubai-leredita-dellexpo-una-citta-intelligente-nellarea-dellesposizione")</f>
        <v>https://it.euronews.com/next/2022/09/26/dubai-leredita-dellexpo-una-citta-intelligente-nellarea-dellesposizione</v>
      </c>
      <c r="F168" s="368" t="str">
        <f>IFERROR(__xludf.DUMMYFUNCTION("""COMPUTED_VALUE"""),"Betterhomes")</f>
        <v>Betterhomes</v>
      </c>
    </row>
    <row r="169">
      <c r="A169" s="402">
        <f>IFERROR(__xludf.DUMMYFUNCTION("""COMPUTED_VALUE"""),44830.0)</f>
        <v>44830</v>
      </c>
      <c r="B169" s="368" t="str">
        <f>IFERROR(__xludf.DUMMYFUNCTION("""COMPUTED_VALUE"""),"Tier 2")</f>
        <v>Tier 2</v>
      </c>
      <c r="C169" s="368" t="str">
        <f>IFERROR(__xludf.DUMMYFUNCTION("""COMPUTED_VALUE"""),"Euro News (France)")</f>
        <v>Euro News (France)</v>
      </c>
      <c r="D169" s="368" t="str">
        <f>IFERROR(__xludf.DUMMYFUNCTION("""COMPUTED_VALUE"""),"Expo City Dubai: UAE's first 15-minute city &amp; a smart city for the future")</f>
        <v>Expo City Dubai: UAE's first 15-minute city &amp; a smart city for the future</v>
      </c>
      <c r="E169" s="507" t="str">
        <f>IFERROR(__xludf.DUMMYFUNCTION("""COMPUTED_VALUE"""),"https://fr.euronews.com/next/2022/09/26/dubai-transforme-le-site-de-son-expo-2020-en-ville-du-futur")</f>
        <v>https://fr.euronews.com/next/2022/09/26/dubai-transforme-le-site-de-son-expo-2020-en-ville-du-futur</v>
      </c>
      <c r="F169" s="368" t="str">
        <f>IFERROR(__xludf.DUMMYFUNCTION("""COMPUTED_VALUE"""),"Betterhomes")</f>
        <v>Betterhomes</v>
      </c>
    </row>
    <row r="170">
      <c r="A170" s="402">
        <f>IFERROR(__xludf.DUMMYFUNCTION("""COMPUTED_VALUE"""),44830.0)</f>
        <v>44830</v>
      </c>
      <c r="B170" s="368" t="str">
        <f>IFERROR(__xludf.DUMMYFUNCTION("""COMPUTED_VALUE"""),"Tier 2")</f>
        <v>Tier 2</v>
      </c>
      <c r="C170" s="368" t="str">
        <f>IFERROR(__xludf.DUMMYFUNCTION("""COMPUTED_VALUE"""),"Euro News (Germany)")</f>
        <v>Euro News (Germany)</v>
      </c>
      <c r="D170" s="368" t="str">
        <f>IFERROR(__xludf.DUMMYFUNCTION("""COMPUTED_VALUE"""),"Expo City Dubai: UAE's first 15-minute city &amp; a smart city for the future")</f>
        <v>Expo City Dubai: UAE's first 15-minute city &amp; a smart city for the future</v>
      </c>
      <c r="E170" s="507" t="str">
        <f>IFERROR(__xludf.DUMMYFUNCTION("""COMPUTED_VALUE"""),"https://de.euronews.com/next/2022/09/26/die-erste-15-minuten-stadt-der-vereinigten-arabischen-emirate")</f>
        <v>https://de.euronews.com/next/2022/09/26/die-erste-15-minuten-stadt-der-vereinigten-arabischen-emirate</v>
      </c>
      <c r="F170" s="368" t="str">
        <f>IFERROR(__xludf.DUMMYFUNCTION("""COMPUTED_VALUE"""),"Betterhomes")</f>
        <v>Betterhomes</v>
      </c>
    </row>
    <row r="171">
      <c r="A171" s="402">
        <f>IFERROR(__xludf.DUMMYFUNCTION("""COMPUTED_VALUE"""),44830.0)</f>
        <v>44830</v>
      </c>
      <c r="B171" s="368" t="str">
        <f>IFERROR(__xludf.DUMMYFUNCTION("""COMPUTED_VALUE"""),"Tier 2")</f>
        <v>Tier 2</v>
      </c>
      <c r="C171" s="368" t="str">
        <f>IFERROR(__xludf.DUMMYFUNCTION("""COMPUTED_VALUE"""),"Euro News (Spain)")</f>
        <v>Euro News (Spain)</v>
      </c>
      <c r="D171" s="368" t="str">
        <f>IFERROR(__xludf.DUMMYFUNCTION("""COMPUTED_VALUE"""),"Expo City Dubai: UAE's first 15-minute city &amp; a smart city for the future")</f>
        <v>Expo City Dubai: UAE's first 15-minute city &amp; a smart city for the future</v>
      </c>
      <c r="E171" s="507" t="str">
        <f>IFERROR(__xludf.DUMMYFUNCTION("""COMPUTED_VALUE"""),"https://es.euronews.com/next/2022/09/26/expo-city-dubai-o-la-ciudad-del-futuro-que-mantendra-vivo-el-legado-de-la-expo-2020")</f>
        <v>https://es.euronews.com/next/2022/09/26/expo-city-dubai-o-la-ciudad-del-futuro-que-mantendra-vivo-el-legado-de-la-expo-2020</v>
      </c>
      <c r="F171" s="368" t="str">
        <f>IFERROR(__xludf.DUMMYFUNCTION("""COMPUTED_VALUE"""),"Betterhomes")</f>
        <v>Betterhomes</v>
      </c>
    </row>
    <row r="172">
      <c r="A172" s="402">
        <f>IFERROR(__xludf.DUMMYFUNCTION("""COMPUTED_VALUE"""),44832.0)</f>
        <v>44832</v>
      </c>
      <c r="B172" s="368" t="str">
        <f>IFERROR(__xludf.DUMMYFUNCTION("""COMPUTED_VALUE"""),"Tier 2")</f>
        <v>Tier 2</v>
      </c>
      <c r="C172" s="368" t="str">
        <f>IFERROR(__xludf.DUMMYFUNCTION("""COMPUTED_VALUE"""),"The National ")</f>
        <v>The National </v>
      </c>
      <c r="D172" s="368" t="str">
        <f>IFERROR(__xludf.DUMMYFUNCTION("""COMPUTED_VALUE"""),"World Cup to provide Dubai property market with ‘mini-Expo effect’")</f>
        <v>World Cup to provide Dubai property market with ‘mini-Expo effect’</v>
      </c>
      <c r="E172" s="507" t="str">
        <f>IFERROR(__xludf.DUMMYFUNCTION("""COMPUTED_VALUE"""),"https://www.thenationalnews.com/business/property/2022/09/28/world-cup-to-provide-dubai-property-market-with-mini-expo-effect/")</f>
        <v>https://www.thenationalnews.com/business/property/2022/09/28/world-cup-to-provide-dubai-property-market-with-mini-expo-effect/</v>
      </c>
      <c r="F172" s="368" t="str">
        <f>IFERROR(__xludf.DUMMYFUNCTION("""COMPUTED_VALUE"""),"PRIME")</f>
        <v>PRIME</v>
      </c>
    </row>
    <row r="173">
      <c r="A173" s="402">
        <f>IFERROR(__xludf.DUMMYFUNCTION("""COMPUTED_VALUE"""),44841.0)</f>
        <v>44841</v>
      </c>
      <c r="B173" s="368" t="str">
        <f>IFERROR(__xludf.DUMMYFUNCTION("""COMPUTED_VALUE"""),"Tier 2")</f>
        <v>Tier 2</v>
      </c>
      <c r="C173" s="368" t="str">
        <f>IFERROR(__xludf.DUMMYFUNCTION("""COMPUTED_VALUE"""),"The National ")</f>
        <v>The National </v>
      </c>
      <c r="D173" s="368" t="str">
        <f>IFERROR(__xludf.DUMMYFUNCTION("""COMPUTED_VALUE"""),"Important real estate terms UAE property investors should know before buying")</f>
        <v>Important real estate terms UAE property investors should know before buying</v>
      </c>
      <c r="E173" s="507" t="str">
        <f>IFERROR(__xludf.DUMMYFUNCTION("""COMPUTED_VALUE"""),"https://www.thenationalnews.com/weekend/2022/10/07/important-real-estate-terms-uae-property-investors-should-know-before-buying/")</f>
        <v>https://www.thenationalnews.com/weekend/2022/10/07/important-real-estate-terms-uae-property-investors-should-know-before-buying/</v>
      </c>
      <c r="F173" s="368" t="str">
        <f>IFERROR(__xludf.DUMMYFUNCTION("""COMPUTED_VALUE"""),"Betterhomes")</f>
        <v>Betterhomes</v>
      </c>
    </row>
    <row r="174">
      <c r="A174" s="402">
        <f>IFERROR(__xludf.DUMMYFUNCTION("""COMPUTED_VALUE"""),44844.0)</f>
        <v>44844</v>
      </c>
      <c r="B174" s="368" t="str">
        <f>IFERROR(__xludf.DUMMYFUNCTION("""COMPUTED_VALUE"""),"Tier 2")</f>
        <v>Tier 2</v>
      </c>
      <c r="C174" s="368" t="str">
        <f>IFERROR(__xludf.DUMMYFUNCTION("""COMPUTED_VALUE"""),"TimeOut Dubai")</f>
        <v>TimeOut Dubai</v>
      </c>
      <c r="D174" s="368" t="str">
        <f>IFERROR(__xludf.DUMMYFUNCTION("""COMPUTED_VALUE"""),"Expo 2020 Dubai and FIFA World Cup contribute to rent hikes")</f>
        <v>Expo 2020 Dubai and FIFA World Cup contribute to rent hikes</v>
      </c>
      <c r="E174" s="507" t="str">
        <f>IFERROR(__xludf.DUMMYFUNCTION("""COMPUTED_VALUE"""),"https://www.timeoutdubai.com/moving-to-dubai/rent-hikes-in-dubai")</f>
        <v>https://www.timeoutdubai.com/moving-to-dubai/rent-hikes-in-dubai</v>
      </c>
      <c r="F174" s="368" t="str">
        <f>IFERROR(__xludf.DUMMYFUNCTION("""COMPUTED_VALUE"""),"Betterhomes")</f>
        <v>Betterhomes</v>
      </c>
    </row>
    <row r="175">
      <c r="A175" s="402">
        <f>IFERROR(__xludf.DUMMYFUNCTION("""COMPUTED_VALUE"""),44846.0)</f>
        <v>44846</v>
      </c>
      <c r="B175" s="368" t="str">
        <f>IFERROR(__xludf.DUMMYFUNCTION("""COMPUTED_VALUE"""),"Tier 2")</f>
        <v>Tier 2</v>
      </c>
      <c r="C175" s="368" t="str">
        <f>IFERROR(__xludf.DUMMYFUNCTION("""COMPUTED_VALUE"""),"TimeOut Dubai")</f>
        <v>TimeOut Dubai</v>
      </c>
      <c r="D175" s="368" t="str">
        <f>IFERROR(__xludf.DUMMYFUNCTION("""COMPUTED_VALUE"""),"Moving house? 7 top tips to make renting in Dubai easier")</f>
        <v>Moving house? 7 top tips to make renting in Dubai easier</v>
      </c>
      <c r="E175" s="507" t="str">
        <f>IFERROR(__xludf.DUMMYFUNCTION("""COMPUTED_VALUE"""),"https://www.timeoutdubai.com/news/top-tips-for-renting-in-dubai")</f>
        <v>https://www.timeoutdubai.com/news/top-tips-for-renting-in-dubai</v>
      </c>
      <c r="F175" s="368" t="str">
        <f>IFERROR(__xludf.DUMMYFUNCTION("""COMPUTED_VALUE"""),"Betterhomes")</f>
        <v>Betterhomes</v>
      </c>
    </row>
    <row r="176">
      <c r="A176" s="402">
        <f>IFERROR(__xludf.DUMMYFUNCTION("""COMPUTED_VALUE"""),44852.0)</f>
        <v>44852</v>
      </c>
      <c r="B176" s="368" t="str">
        <f>IFERROR(__xludf.DUMMYFUNCTION("""COMPUTED_VALUE"""),"Tier 2")</f>
        <v>Tier 2</v>
      </c>
      <c r="C176" s="368" t="str">
        <f>IFERROR(__xludf.DUMMYFUNCTION("""COMPUTED_VALUE"""),"The National")</f>
        <v>The National</v>
      </c>
      <c r="D176" s="368" t="str">
        <f>IFERROR(__xludf.DUMMYFUNCTION("""COMPUTED_VALUE"""),"UAE: Russians are top property buyers in Dubai; Indians come third")</f>
        <v>UAE: Russians are top property buyers in Dubai; Indians come third</v>
      </c>
      <c r="E176" s="507" t="str">
        <f>IFERROR(__xludf.DUMMYFUNCTION("""COMPUTED_VALUE"""),"https://www.khaleejtimes.com/property/dubai-russians-are-top-property-buyers-in-dubai-indians-come-third")</f>
        <v>https://www.khaleejtimes.com/property/dubai-russians-are-top-property-buyers-in-dubai-indians-come-third</v>
      </c>
      <c r="F176" s="368" t="str">
        <f>IFERROR(__xludf.DUMMYFUNCTION("""COMPUTED_VALUE"""),"Betterhomes")</f>
        <v>Betterhomes</v>
      </c>
    </row>
    <row r="177">
      <c r="A177" s="402">
        <f>IFERROR(__xludf.DUMMYFUNCTION("""COMPUTED_VALUE"""),44852.0)</f>
        <v>44852</v>
      </c>
      <c r="B177" s="368" t="str">
        <f>IFERROR(__xludf.DUMMYFUNCTION("""COMPUTED_VALUE"""),"Tier 3")</f>
        <v>Tier 3</v>
      </c>
      <c r="C177" s="368" t="str">
        <f>IFERROR(__xludf.DUMMYFUNCTION("""COMPUTED_VALUE"""),"MENA FN")</f>
        <v>MENA FN</v>
      </c>
      <c r="D177" s="368" t="str">
        <f>IFERROR(__xludf.DUMMYFUNCTION("""COMPUTED_VALUE"""),"Dubai Tenants Find It Cheaper To Stay In Existing Apartments As Rents Soar")</f>
        <v>Dubai Tenants Find It Cheaper To Stay In Existing Apartments As Rents Soar</v>
      </c>
      <c r="E177" s="507" t="str">
        <f>IFERROR(__xludf.DUMMYFUNCTION("""COMPUTED_VALUE"""),"https://menafn.com/1105043884/Dubai-Tenants-Find-It-Cheaper-To-Stay-In-Existing-Apartments-As-Rents-Soar")</f>
        <v>https://menafn.com/1105043884/Dubai-Tenants-Find-It-Cheaper-To-Stay-In-Existing-Apartments-As-Rents-Soar</v>
      </c>
      <c r="F177" s="368" t="str">
        <f>IFERROR(__xludf.DUMMYFUNCTION("""COMPUTED_VALUE"""),"Betterhomes")</f>
        <v>Betterhomes</v>
      </c>
    </row>
    <row r="178">
      <c r="A178" s="402">
        <f>IFERROR(__xludf.DUMMYFUNCTION("""COMPUTED_VALUE"""),44853.0)</f>
        <v>44853</v>
      </c>
      <c r="B178" s="368" t="str">
        <f>IFERROR(__xludf.DUMMYFUNCTION("""COMPUTED_VALUE"""),"Tier 2")</f>
        <v>Tier 2</v>
      </c>
      <c r="C178" s="368" t="str">
        <f>IFERROR(__xludf.DUMMYFUNCTION("""COMPUTED_VALUE"""),"Khaleej Times")</f>
        <v>Khaleej Times</v>
      </c>
      <c r="D178" s="368" t="str">
        <f>IFERROR(__xludf.DUMMYFUNCTION("""COMPUTED_VALUE"""),"Dubai tenants find it cheaper to stay in existing apartments as rents soar")</f>
        <v>Dubai tenants find it cheaper to stay in existing apartments as rents soar</v>
      </c>
      <c r="E178" s="507" t="str">
        <f>IFERROR(__xludf.DUMMYFUNCTION("""COMPUTED_VALUE"""),"https://www.khaleejtimes.com/uae/dubai-tenants-find-it-cheaper-to-stay-in-existing-apartments-as-rents-soar")</f>
        <v>https://www.khaleejtimes.com/uae/dubai-tenants-find-it-cheaper-to-stay-in-existing-apartments-as-rents-soar</v>
      </c>
      <c r="F178" s="368" t="str">
        <f>IFERROR(__xludf.DUMMYFUNCTION("""COMPUTED_VALUE"""),"Betterhomes")</f>
        <v>Betterhomes</v>
      </c>
    </row>
    <row r="179">
      <c r="A179" s="402">
        <f>IFERROR(__xludf.DUMMYFUNCTION("""COMPUTED_VALUE"""),44853.0)</f>
        <v>44853</v>
      </c>
      <c r="B179" s="368" t="str">
        <f>IFERROR(__xludf.DUMMYFUNCTION("""COMPUTED_VALUE"""),"Tier 2")</f>
        <v>Tier 2</v>
      </c>
      <c r="C179" s="368" t="str">
        <f>IFERROR(__xludf.DUMMYFUNCTION("""COMPUTED_VALUE"""),"Gulf News")</f>
        <v>Gulf News</v>
      </c>
      <c r="D179" s="368" t="str">
        <f>IFERROR(__xludf.DUMMYFUNCTION("""COMPUTED_VALUE"""),"Dubai rents in for more increases as occupancy levels hit 5-year highs")</f>
        <v>Dubai rents in for more increases as occupancy levels hit 5-year highs</v>
      </c>
      <c r="E179" s="507" t="str">
        <f>IFERROR(__xludf.DUMMYFUNCTION("""COMPUTED_VALUE"""),"https://gulfnews.com/business/property/dubai-rents-in-for-more-increases-as-occupancy-levels-hit-5-year-highs-1.1666153660083")</f>
        <v>https://gulfnews.com/business/property/dubai-rents-in-for-more-increases-as-occupancy-levels-hit-5-year-highs-1.1666153660083</v>
      </c>
      <c r="F179" s="368" t="str">
        <f>IFERROR(__xludf.DUMMYFUNCTION("""COMPUTED_VALUE"""),"Betterhomes")</f>
        <v>Betterhomes</v>
      </c>
    </row>
    <row r="180">
      <c r="A180" s="402">
        <f>IFERROR(__xludf.DUMMYFUNCTION("""COMPUTED_VALUE"""),44853.0)</f>
        <v>44853</v>
      </c>
      <c r="B180" s="368" t="str">
        <f>IFERROR(__xludf.DUMMYFUNCTION("""COMPUTED_VALUE"""),"Tier 3")</f>
        <v>Tier 3</v>
      </c>
      <c r="C180" s="368" t="str">
        <f>IFERROR(__xludf.DUMMYFUNCTION("""COMPUTED_VALUE"""),"NDTV")</f>
        <v>NDTV</v>
      </c>
      <c r="D180" s="368" t="str">
        <f>IFERROR(__xludf.DUMMYFUNCTION("""COMPUTED_VALUE"""),"Mukesh Ambani, Lakshmi Mittal Part Of Dubai's Luxury Property Boom")</f>
        <v>Mukesh Ambani, Lakshmi Mittal Part Of Dubai's Luxury Property Boom</v>
      </c>
      <c r="E180" s="507" t="str">
        <f>IFERROR(__xludf.DUMMYFUNCTION("""COMPUTED_VALUE"""),"https://www.ndtv.com/india-news/mukesh-ambani-lakshmi-mittal-part-of-dubais-luxury-property-boom-3444535")</f>
        <v>https://www.ndtv.com/india-news/mukesh-ambani-lakshmi-mittal-part-of-dubais-luxury-property-boom-3444535</v>
      </c>
      <c r="F180" s="368" t="str">
        <f>IFERROR(__xludf.DUMMYFUNCTION("""COMPUTED_VALUE"""),"Betterhomes")</f>
        <v>Betterhomes</v>
      </c>
    </row>
    <row r="181">
      <c r="A181" s="402">
        <f>IFERROR(__xludf.DUMMYFUNCTION("""COMPUTED_VALUE"""),44853.0)</f>
        <v>44853</v>
      </c>
      <c r="B181" s="368" t="str">
        <f>IFERROR(__xludf.DUMMYFUNCTION("""COMPUTED_VALUE"""),"Tier 1")</f>
        <v>Tier 1</v>
      </c>
      <c r="C181" s="368" t="str">
        <f>IFERROR(__xludf.DUMMYFUNCTION("""COMPUTED_VALUE"""),"Bloomberg")</f>
        <v>Bloomberg</v>
      </c>
      <c r="D181" s="368" t="str">
        <f>IFERROR(__xludf.DUMMYFUNCTION("""COMPUTED_VALUE"""),"Dubai’s Luxury Property Market Is Cashing In on the Global Slowdown")</f>
        <v>Dubai’s Luxury Property Market Is Cashing In on the Global Slowdown</v>
      </c>
      <c r="E181" s="507" t="str">
        <f>IFERROR(__xludf.DUMMYFUNCTION("""COMPUTED_VALUE"""),"https://www.bloomberg.com/news/features/2022-10-19/how-dubai-luxury-property-market-went-from-crash-to-boom")</f>
        <v>https://www.bloomberg.com/news/features/2022-10-19/how-dubai-luxury-property-market-went-from-crash-to-boom</v>
      </c>
      <c r="F181" s="368" t="str">
        <f>IFERROR(__xludf.DUMMYFUNCTION("""COMPUTED_VALUE"""),"Betterhomes")</f>
        <v>Betterhomes</v>
      </c>
    </row>
    <row r="182">
      <c r="A182" s="402">
        <f>IFERROR(__xludf.DUMMYFUNCTION("""COMPUTED_VALUE"""),44853.0)</f>
        <v>44853</v>
      </c>
      <c r="B182" s="368" t="str">
        <f>IFERROR(__xludf.DUMMYFUNCTION("""COMPUTED_VALUE"""),"Tier 3")</f>
        <v>Tier 3</v>
      </c>
      <c r="C182" s="368" t="str">
        <f>IFERROR(__xludf.DUMMYFUNCTION("""COMPUTED_VALUE"""),"BizNews")</f>
        <v>BizNews</v>
      </c>
      <c r="D182" s="368" t="str">
        <f>IFERROR(__xludf.DUMMYFUNCTION("""COMPUTED_VALUE"""),"Gupta favoured hub, Dubai, is cashing in on global slowdown")</f>
        <v>Gupta favoured hub, Dubai, is cashing in on global slowdown</v>
      </c>
      <c r="E182" s="507" t="str">
        <f>IFERROR(__xludf.DUMMYFUNCTION("""COMPUTED_VALUE"""),"https://www.biznews.com/premium-signup?mepr-unauth-page=989424&amp;redirect_to=%2Fpremium%2F2022%2F10%2F19%2Fgupta-hub-dubai-cashing-in-on-global-slowdown")</f>
        <v>https://www.biznews.com/premium-signup?mepr-unauth-page=989424&amp;redirect_to=%2Fpremium%2F2022%2F10%2F19%2Fgupta-hub-dubai-cashing-in-on-global-slowdown</v>
      </c>
      <c r="F182" s="368" t="str">
        <f>IFERROR(__xludf.DUMMYFUNCTION("""COMPUTED_VALUE"""),"Betterhomes")</f>
        <v>Betterhomes</v>
      </c>
    </row>
    <row r="183">
      <c r="A183" s="402">
        <f>IFERROR(__xludf.DUMMYFUNCTION("""COMPUTED_VALUE"""),44854.0)</f>
        <v>44854</v>
      </c>
      <c r="B183" s="368" t="str">
        <f>IFERROR(__xludf.DUMMYFUNCTION("""COMPUTED_VALUE"""),"Tier 2")</f>
        <v>Tier 2</v>
      </c>
      <c r="C183" s="368" t="str">
        <f>IFERROR(__xludf.DUMMYFUNCTION("""COMPUTED_VALUE"""),"Zawya")</f>
        <v>Zawya</v>
      </c>
      <c r="D183" s="368" t="str">
        <f>IFERROR(__xludf.DUMMYFUNCTION("""COMPUTED_VALUE"""),"Russians are Dubai's top non-resident property buyers in Q3: report")</f>
        <v>Russians are Dubai's top non-resident property buyers in Q3: report</v>
      </c>
      <c r="E183" s="507" t="str">
        <f>IFERROR(__xludf.DUMMYFUNCTION("""COMPUTED_VALUE"""),"https://www.zawya.com/en/business/real-estate/russians-are-dubais-top-non-resident-property-buyers-in-q3-report-vetsg12v")</f>
        <v>https://www.zawya.com/en/business/real-estate/russians-are-dubais-top-non-resident-property-buyers-in-q3-report-vetsg12v</v>
      </c>
      <c r="F183" s="368" t="str">
        <f>IFERROR(__xludf.DUMMYFUNCTION("""COMPUTED_VALUE"""),"Betterhomes")</f>
        <v>Betterhomes</v>
      </c>
    </row>
    <row r="184">
      <c r="A184" s="402">
        <f>IFERROR(__xludf.DUMMYFUNCTION("""COMPUTED_VALUE"""),44854.0)</f>
        <v>44854</v>
      </c>
      <c r="B184" s="368" t="str">
        <f>IFERROR(__xludf.DUMMYFUNCTION("""COMPUTED_VALUE"""),"Tier 2")</f>
        <v>Tier 2</v>
      </c>
      <c r="C184" s="368" t="str">
        <f>IFERROR(__xludf.DUMMYFUNCTION("""COMPUTED_VALUE"""),"The National")</f>
        <v>The National</v>
      </c>
      <c r="D184" s="368" t="str">
        <f>IFERROR(__xludf.DUMMYFUNCTION("""COMPUTED_VALUE"""),"Dubai property deal worth $163m closed as Palm Jumeirah prices continue to spiral upwards")</f>
        <v>Dubai property deal worth $163m closed as Palm Jumeirah prices continue to spiral upwards</v>
      </c>
      <c r="E184" s="507" t="str">
        <f>IFERROR(__xludf.DUMMYFUNCTION("""COMPUTED_VALUE"""),"https://www.thenationalnews.com/business/property/2022/10/20/dubai-property-deal-worth-163m-closed-as-palm-jumeirah-prices-continue-to-spiral-upwards/")</f>
        <v>https://www.thenationalnews.com/business/property/2022/10/20/dubai-property-deal-worth-163m-closed-as-palm-jumeirah-prices-continue-to-spiral-upwards/</v>
      </c>
      <c r="F184" s="368" t="str">
        <f>IFERROR(__xludf.DUMMYFUNCTION("""COMPUTED_VALUE"""),"Betterhomes")</f>
        <v>Betterhomes</v>
      </c>
    </row>
    <row r="185">
      <c r="A185" s="402">
        <f>IFERROR(__xludf.DUMMYFUNCTION("""COMPUTED_VALUE"""),44854.0)</f>
        <v>44854</v>
      </c>
      <c r="B185" s="368" t="str">
        <f>IFERROR(__xludf.DUMMYFUNCTION("""COMPUTED_VALUE"""),"Tier 1")</f>
        <v>Tier 1</v>
      </c>
      <c r="C185" s="368" t="str">
        <f>IFERROR(__xludf.DUMMYFUNCTION("""COMPUTED_VALUE"""),"Thomson Reuters")</f>
        <v>Thomson Reuters</v>
      </c>
      <c r="D185" s="368" t="str">
        <f>IFERROR(__xludf.DUMMYFUNCTION("""COMPUTED_VALUE"""),"Dubai property firm Deyaar's Q3 profit up on improving outlook")</f>
        <v>Dubai property firm Deyaar's Q3 profit up on improving outlook</v>
      </c>
      <c r="E185" s="507" t="str">
        <f>IFERROR(__xludf.DUMMYFUNCTION("""COMPUTED_VALUE"""),"https://www.reuters.com/article/deyaar-results/dubai-property-firm-deyaars-q3-profit-up-on-improving-outlook-idUKL8N31L257")</f>
        <v>https://www.reuters.com/article/deyaar-results/dubai-property-firm-deyaars-q3-profit-up-on-improving-outlook-idUKL8N31L257</v>
      </c>
      <c r="F185" s="368" t="str">
        <f>IFERROR(__xludf.DUMMYFUNCTION("""COMPUTED_VALUE"""),"Betterhomes")</f>
        <v>Betterhomes</v>
      </c>
    </row>
    <row r="186">
      <c r="A186" s="402">
        <f>IFERROR(__xludf.DUMMYFUNCTION("""COMPUTED_VALUE"""),44854.0)</f>
        <v>44854</v>
      </c>
      <c r="B186" s="368" t="str">
        <f>IFERROR(__xludf.DUMMYFUNCTION("""COMPUTED_VALUE"""),"Tier 2")</f>
        <v>Tier 2</v>
      </c>
      <c r="C186" s="368" t="str">
        <f>IFERROR(__xludf.DUMMYFUNCTION("""COMPUTED_VALUE"""),"Nasdaq")</f>
        <v>Nasdaq</v>
      </c>
      <c r="D186" s="368" t="str">
        <f>IFERROR(__xludf.DUMMYFUNCTION("""COMPUTED_VALUE"""),"Dubai property firm Deyaar's Q3 profit up on improving outlook")</f>
        <v>Dubai property firm Deyaar's Q3 profit up on improving outlook</v>
      </c>
      <c r="E186" s="507" t="str">
        <f>IFERROR(__xludf.DUMMYFUNCTION("""COMPUTED_VALUE"""),"https://www.nasdaq.com/articles/dubai-property-firm-deyaars-q3-profit-up-on-improving-outlook")</f>
        <v>https://www.nasdaq.com/articles/dubai-property-firm-deyaars-q3-profit-up-on-improving-outlook</v>
      </c>
      <c r="F186" s="368" t="str">
        <f>IFERROR(__xludf.DUMMYFUNCTION("""COMPUTED_VALUE"""),"Betterhomes")</f>
        <v>Betterhomes</v>
      </c>
    </row>
    <row r="187">
      <c r="A187" s="402">
        <f>IFERROR(__xludf.DUMMYFUNCTION("""COMPUTED_VALUE"""),44854.0)</f>
        <v>44854</v>
      </c>
      <c r="B187" s="368" t="str">
        <f>IFERROR(__xludf.DUMMYFUNCTION("""COMPUTED_VALUE"""),"Tier 2")</f>
        <v>Tier 2</v>
      </c>
      <c r="C187" s="368" t="str">
        <f>IFERROR(__xludf.DUMMYFUNCTION("""COMPUTED_VALUE"""),"Khaleej Times")</f>
        <v>Khaleej Times</v>
      </c>
      <c r="D187" s="368" t="str">
        <f>IFERROR(__xludf.DUMMYFUNCTION("""COMPUTED_VALUE"""),"Deyaar’s Q3 profit up on improving outlook")</f>
        <v>Deyaar’s Q3 profit up on improving outlook</v>
      </c>
      <c r="E187" s="507" t="str">
        <f>IFERROR(__xludf.DUMMYFUNCTION("""COMPUTED_VALUE"""),"https://www.khaleejtimes.com/business/deyaars-q3-profit-up-on-improving-outlook")</f>
        <v>https://www.khaleejtimes.com/business/deyaars-q3-profit-up-on-improving-outlook</v>
      </c>
      <c r="F187" s="368" t="str">
        <f>IFERROR(__xludf.DUMMYFUNCTION("""COMPUTED_VALUE"""),"Betterhomes")</f>
        <v>Betterhomes</v>
      </c>
    </row>
    <row r="188">
      <c r="A188" s="402">
        <f>IFERROR(__xludf.DUMMYFUNCTION("""COMPUTED_VALUE"""),44854.0)</f>
        <v>44854</v>
      </c>
      <c r="B188" s="368" t="str">
        <f>IFERROR(__xludf.DUMMYFUNCTION("""COMPUTED_VALUE"""),"Tier 3")</f>
        <v>Tier 3</v>
      </c>
      <c r="C188" s="368" t="str">
        <f>IFERROR(__xludf.DUMMYFUNCTION("""COMPUTED_VALUE"""),"Business Live ")</f>
        <v>Business Live </v>
      </c>
      <c r="D188" s="368" t="str">
        <f>IFERROR(__xludf.DUMMYFUNCTION("""COMPUTED_VALUE"""),"Dubai developer Deyaar reports leap in third-quarter profit")</f>
        <v>Dubai developer Deyaar reports leap in third-quarter profit</v>
      </c>
      <c r="E188" s="507" t="str">
        <f>IFERROR(__xludf.DUMMYFUNCTION("""COMPUTED_VALUE"""),"https://www.businesslive.co.za/bd/companies/property/2022-10-20-dubai-developer-deyaar-reports-leap-in-third-quarter-profit/")</f>
        <v>https://www.businesslive.co.za/bd/companies/property/2022-10-20-dubai-developer-deyaar-reports-leap-in-third-quarter-profit/</v>
      </c>
      <c r="F188" s="368" t="str">
        <f>IFERROR(__xludf.DUMMYFUNCTION("""COMPUTED_VALUE"""),"Betterhomes")</f>
        <v>Betterhomes</v>
      </c>
    </row>
    <row r="189">
      <c r="A189" s="402">
        <f>IFERROR(__xludf.DUMMYFUNCTION("""COMPUTED_VALUE"""),44854.0)</f>
        <v>44854</v>
      </c>
      <c r="B189" s="368" t="str">
        <f>IFERROR(__xludf.DUMMYFUNCTION("""COMPUTED_VALUE"""),"Tier 3")</f>
        <v>Tier 3</v>
      </c>
      <c r="C189" s="368" t="str">
        <f>IFERROR(__xludf.DUMMYFUNCTION("""COMPUTED_VALUE"""),"MENA FN")</f>
        <v>MENA FN</v>
      </c>
      <c r="D189" s="368" t="str">
        <f>IFERROR(__xludf.DUMMYFUNCTION("""COMPUTED_VALUE"""),"Deyaar's Q3 Profit Up On Improving Outlook")</f>
        <v>Deyaar's Q3 Profit Up On Improving Outlook</v>
      </c>
      <c r="E189" s="507" t="str">
        <f>IFERROR(__xludf.DUMMYFUNCTION("""COMPUTED_VALUE"""),"https://menafn.com/1105055683/Deyaars-Q3-Profit-Up-On-Improving-Outlook")</f>
        <v>https://menafn.com/1105055683/Deyaars-Q3-Profit-Up-On-Improving-Outlook</v>
      </c>
      <c r="F189" s="368" t="str">
        <f>IFERROR(__xludf.DUMMYFUNCTION("""COMPUTED_VALUE"""),"Betterhomes")</f>
        <v>Betterhomes</v>
      </c>
    </row>
    <row r="190">
      <c r="A190" s="402">
        <f>IFERROR(__xludf.DUMMYFUNCTION("""COMPUTED_VALUE"""),44854.0)</f>
        <v>44854</v>
      </c>
      <c r="B190" s="368" t="str">
        <f>IFERROR(__xludf.DUMMYFUNCTION("""COMPUTED_VALUE"""),"Tier 3")</f>
        <v>Tier 3</v>
      </c>
      <c r="C190" s="368" t="str">
        <f>IFERROR(__xludf.DUMMYFUNCTION("""COMPUTED_VALUE"""),"Al-monitor")</f>
        <v>Al-monitor</v>
      </c>
      <c r="D190" s="368" t="str">
        <f>IFERROR(__xludf.DUMMYFUNCTION("""COMPUTED_VALUE"""),"Russian, British citizens top buyers of nonresidential property in Dubai")</f>
        <v>Russian, British citizens top buyers of nonresidential property in Dubai</v>
      </c>
      <c r="E190" s="507" t="str">
        <f>IFERROR(__xludf.DUMMYFUNCTION("""COMPUTED_VALUE"""),"https://www.al-monitor.com/originals/2022/10/russian-british-citizens-top-buyers-nonresidential-property-dubai")</f>
        <v>https://www.al-monitor.com/originals/2022/10/russian-british-citizens-top-buyers-nonresidential-property-dubai</v>
      </c>
      <c r="F190" s="368" t="str">
        <f>IFERROR(__xludf.DUMMYFUNCTION("""COMPUTED_VALUE"""),"Betterhomes")</f>
        <v>Betterhomes</v>
      </c>
    </row>
    <row r="191">
      <c r="A191" s="402">
        <f>IFERROR(__xludf.DUMMYFUNCTION("""COMPUTED_VALUE"""),44855.0)</f>
        <v>44855</v>
      </c>
      <c r="B191" s="368" t="str">
        <f>IFERROR(__xludf.DUMMYFUNCTION("""COMPUTED_VALUE"""),"Tier 3")</f>
        <v>Tier 3</v>
      </c>
      <c r="C191" s="368" t="str">
        <f>IFERROR(__xludf.DUMMYFUNCTION("""COMPUTED_VALUE"""),"Gulf Daily News")</f>
        <v>Gulf Daily News</v>
      </c>
      <c r="D191" s="368" t="str">
        <f>IFERROR(__xludf.DUMMYFUNCTION("""COMPUTED_VALUE"""),"Deyaar’s Q3 profit soars to $9.88m")</f>
        <v>Deyaar’s Q3 profit soars to $9.88m</v>
      </c>
      <c r="E191" s="507" t="str">
        <f>IFERROR(__xludf.DUMMYFUNCTION("""COMPUTED_VALUE"""),"https://www.gdnonline.com/Details/1145566/Deyaar%E2%80%99s-Q3-profit-soars-to-$988m")</f>
        <v>https://www.gdnonline.com/Details/1145566/Deyaar%E2%80%99s-Q3-profit-soars-to-$988m</v>
      </c>
      <c r="F191" s="368" t="str">
        <f>IFERROR(__xludf.DUMMYFUNCTION("""COMPUTED_VALUE"""),"Betterhomes")</f>
        <v>Betterhomes</v>
      </c>
    </row>
    <row r="192">
      <c r="A192" s="402">
        <f>IFERROR(__xludf.DUMMYFUNCTION("""COMPUTED_VALUE"""),44855.0)</f>
        <v>44855</v>
      </c>
      <c r="B192" s="368" t="str">
        <f>IFERROR(__xludf.DUMMYFUNCTION("""COMPUTED_VALUE"""),"Tier 2")</f>
        <v>Tier 2</v>
      </c>
      <c r="C192" s="368" t="str">
        <f>IFERROR(__xludf.DUMMYFUNCTION("""COMPUTED_VALUE"""),"The National")</f>
        <v>The National</v>
      </c>
      <c r="D192" s="368" t="str">
        <f>IFERROR(__xludf.DUMMYFUNCTION("""COMPUTED_VALUE"""),"One-cheque rents on the rise as many Dubai tenants stay put to avoid rising costs")</f>
        <v>One-cheque rents on the rise as many Dubai tenants stay put to avoid rising costs</v>
      </c>
      <c r="E192" s="507" t="str">
        <f>IFERROR(__xludf.DUMMYFUNCTION("""COMPUTED_VALUE"""),"https://www.thenationalnews.com/uae/2022/10/21/one-cheque-rents-on-the-rise-as-many-dubai-tenants-stay-put-to-avoid-rising-costs/")</f>
        <v>https://www.thenationalnews.com/uae/2022/10/21/one-cheque-rents-on-the-rise-as-many-dubai-tenants-stay-put-to-avoid-rising-costs/</v>
      </c>
      <c r="F192" s="368" t="str">
        <f>IFERROR(__xludf.DUMMYFUNCTION("""COMPUTED_VALUE"""),"Betterhomes")</f>
        <v>Betterhomes</v>
      </c>
    </row>
    <row r="193">
      <c r="A193" s="402">
        <f>IFERROR(__xludf.DUMMYFUNCTION("""COMPUTED_VALUE"""),44855.0)</f>
        <v>44855</v>
      </c>
      <c r="B193" s="368" t="str">
        <f>IFERROR(__xludf.DUMMYFUNCTION("""COMPUTED_VALUE"""),"Tier 2")</f>
        <v>Tier 2</v>
      </c>
      <c r="C193" s="368" t="str">
        <f>IFERROR(__xludf.DUMMYFUNCTION("""COMPUTED_VALUE"""),"Business Recorder")</f>
        <v>Business Recorder</v>
      </c>
      <c r="D193" s="368" t="str">
        <f>IFERROR(__xludf.DUMMYFUNCTION("""COMPUTED_VALUE"""),"Dubai-based Huspy has Pakistan property buyers on its radar")</f>
        <v>Dubai-based Huspy has Pakistan property buyers on its radar</v>
      </c>
      <c r="E193" s="507" t="str">
        <f>IFERROR(__xludf.DUMMYFUNCTION("""COMPUTED_VALUE"""),"https://www.brecorder.com/news/40204281")</f>
        <v>https://www.brecorder.com/news/40204281</v>
      </c>
      <c r="F193" s="368" t="str">
        <f>IFERROR(__xludf.DUMMYFUNCTION("""COMPUTED_VALUE"""),"Betterhomes")</f>
        <v>Betterhomes</v>
      </c>
    </row>
    <row r="194">
      <c r="A194" s="402">
        <f>IFERROR(__xludf.DUMMYFUNCTION("""COMPUTED_VALUE"""),44859.0)</f>
        <v>44859</v>
      </c>
      <c r="B194" s="368" t="str">
        <f>IFERROR(__xludf.DUMMYFUNCTION("""COMPUTED_VALUE"""),"Tier 2")</f>
        <v>Tier 2</v>
      </c>
      <c r="C194" s="368" t="str">
        <f>IFERROR(__xludf.DUMMYFUNCTION("""COMPUTED_VALUE"""),"The National")</f>
        <v>The National</v>
      </c>
      <c r="D194" s="368" t="str">
        <f>IFERROR(__xludf.DUMMYFUNCTION("""COMPUTED_VALUE"""),"Why Dubai apartments are the choice ahead of villas for property hunters again")</f>
        <v>Why Dubai apartments are the choice ahead of villas for property hunters again</v>
      </c>
      <c r="E194" s="507" t="str">
        <f>IFERROR(__xludf.DUMMYFUNCTION("""COMPUTED_VALUE"""),"https://www.thenationalnews.com/business/property/2022/10/25/why-dubai-apartments-are-the-choice-ahead-of-villas-for-property-hunters-again/")</f>
        <v>https://www.thenationalnews.com/business/property/2022/10/25/why-dubai-apartments-are-the-choice-ahead-of-villas-for-property-hunters-again/</v>
      </c>
      <c r="F194" s="368" t="str">
        <f>IFERROR(__xludf.DUMMYFUNCTION("""COMPUTED_VALUE"""),"Betterhomes")</f>
        <v>Betterhomes</v>
      </c>
    </row>
    <row r="195">
      <c r="A195" s="402">
        <f>IFERROR(__xludf.DUMMYFUNCTION("""COMPUTED_VALUE"""),44859.0)</f>
        <v>44859</v>
      </c>
      <c r="B195" s="368" t="str">
        <f>IFERROR(__xludf.DUMMYFUNCTION("""COMPUTED_VALUE"""),"Tier 2")</f>
        <v>Tier 2</v>
      </c>
      <c r="C195" s="368" t="str">
        <f>IFERROR(__xludf.DUMMYFUNCTION("""COMPUTED_VALUE"""),"Gulf News")</f>
        <v>Gulf News</v>
      </c>
      <c r="D195" s="368" t="str">
        <f>IFERROR(__xludf.DUMMYFUNCTION("""COMPUTED_VALUE"""),"Dubai landlords serve even 12-month notices for tenants to vacate - and then get higher rents")</f>
        <v>Dubai landlords serve even 12-month notices for tenants to vacate - and then get higher rents</v>
      </c>
      <c r="E195" s="507" t="str">
        <f>IFERROR(__xludf.DUMMYFUNCTION("""COMPUTED_VALUE"""),"https://gulfnews.com/business/property/dubai-landlords-serve-even-12-month-notices-for-tenants-to-vacate---and-then-get-higher-rents-1.1666669716827")</f>
        <v>https://gulfnews.com/business/property/dubai-landlords-serve-even-12-month-notices-for-tenants-to-vacate---and-then-get-higher-rents-1.1666669716827</v>
      </c>
      <c r="F195" s="368" t="str">
        <f>IFERROR(__xludf.DUMMYFUNCTION("""COMPUTED_VALUE"""),"Betterhomes")</f>
        <v>Betterhomes</v>
      </c>
    </row>
    <row r="196">
      <c r="A196" s="402">
        <f>IFERROR(__xludf.DUMMYFUNCTION("""COMPUTED_VALUE"""),44860.0)</f>
        <v>44860</v>
      </c>
      <c r="B196" s="368" t="str">
        <f>IFERROR(__xludf.DUMMYFUNCTION("""COMPUTED_VALUE"""),"Tier 3")</f>
        <v>Tier 3</v>
      </c>
      <c r="C196" s="368" t="str">
        <f>IFERROR(__xludf.DUMMYFUNCTION("""COMPUTED_VALUE"""),"DC News (Romania)")</f>
        <v>DC News (Romania)</v>
      </c>
      <c r="D196" s="368" t="str">
        <f>IFERROR(__xludf.DUMMYFUNCTION("""COMPUTED_VALUE"""),"The press from Brussels, concerned about the economy in Romania: ""The Romanian people should be the central point of any development initiatives""")</f>
        <v>The press from Brussels, concerned about the economy in Romania: "The Romanian people should be the central point of any development initiatives"</v>
      </c>
      <c r="E196" s="507" t="str">
        <f>IFERROR(__xludf.DUMMYFUNCTION("""COMPUTED_VALUE"""),"https://www.dcnews.ro/presa-la-bruxelles-ingrijorata-de-economia-din-romania-poporul-romaniei-ar-trebui-sa-fie-punctul-central-al-oricaror-initiative-de-dezvoltare_892574.html")</f>
        <v>https://www.dcnews.ro/presa-la-bruxelles-ingrijorata-de-economia-din-romania-poporul-romaniei-ar-trebui-sa-fie-punctul-central-al-oricaror-initiative-de-dezvoltare_892574.html</v>
      </c>
      <c r="F196" s="368" t="str">
        <f>IFERROR(__xludf.DUMMYFUNCTION("""COMPUTED_VALUE"""),"Betterhomes")</f>
        <v>Betterhomes</v>
      </c>
    </row>
    <row r="197">
      <c r="A197" s="402">
        <f>IFERROR(__xludf.DUMMYFUNCTION("""COMPUTED_VALUE"""),44860.0)</f>
        <v>44860</v>
      </c>
      <c r="B197" s="368" t="str">
        <f>IFERROR(__xludf.DUMMYFUNCTION("""COMPUTED_VALUE"""),"Tier 3")</f>
        <v>Tier 3</v>
      </c>
      <c r="C197" s="368" t="str">
        <f>IFERROR(__xludf.DUMMYFUNCTION("""COMPUTED_VALUE"""),"DC News (Romania)")</f>
        <v>DC News (Romania)</v>
      </c>
      <c r="D197" s="368" t="str">
        <f>IFERROR(__xludf.DUMMYFUNCTION("""COMPUTED_VALUE"""),"Romanians, in the top 10 on the list of big investors in Dubai. Russia, Great Britain and India take the top spots")</f>
        <v>Romanians, in the top 10 on the list of big investors in Dubai. Russia, Great Britain and India take the top spots</v>
      </c>
      <c r="E197" s="507" t="str">
        <f>IFERROR(__xludf.DUMMYFUNCTION("""COMPUTED_VALUE"""),"https://www.dcnews.ro/romanii-in-top-10-in-lista-marilor-investitori-in-dubai-rusia-marea-britanie-si-india-ocupa-primele-locuri_892563.html")</f>
        <v>https://www.dcnews.ro/romanii-in-top-10-in-lista-marilor-investitori-in-dubai-rusia-marea-britanie-si-india-ocupa-primele-locuri_892563.html</v>
      </c>
      <c r="F197" s="368" t="str">
        <f>IFERROR(__xludf.DUMMYFUNCTION("""COMPUTED_VALUE"""),"Betterhomes")</f>
        <v>Betterhomes</v>
      </c>
    </row>
    <row r="198">
      <c r="A198" s="402">
        <f>IFERROR(__xludf.DUMMYFUNCTION("""COMPUTED_VALUE"""),44860.0)</f>
        <v>44860</v>
      </c>
      <c r="B198" s="368" t="str">
        <f>IFERROR(__xludf.DUMMYFUNCTION("""COMPUTED_VALUE"""),"Tier 3")</f>
        <v>Tier 3</v>
      </c>
      <c r="C198" s="368" t="str">
        <f>IFERROR(__xludf.DUMMYFUNCTION("""COMPUTED_VALUE"""),"Financial News (Netherlands)")</f>
        <v>Financial News (Netherlands)</v>
      </c>
      <c r="D198" s="368" t="str">
        <f>IFERROR(__xludf.DUMMYFUNCTION("""COMPUTED_VALUE"""),"Real Estate party in Dubai is now in full swing")</f>
        <v>Real Estate party in Dubai is now in full swing</v>
      </c>
      <c r="E198" s="507" t="str">
        <f>IFERROR(__xludf.DUMMYFUNCTION("""COMPUTED_VALUE"""),"https://fd.nl/economie/1455831/vastgoedfeest-in-dubai-is-nog-in-volle-gang")</f>
        <v>https://fd.nl/economie/1455831/vastgoedfeest-in-dubai-is-nog-in-volle-gang</v>
      </c>
      <c r="F198" s="368" t="str">
        <f>IFERROR(__xludf.DUMMYFUNCTION("""COMPUTED_VALUE"""),"Betterhomes")</f>
        <v>Betterhomes</v>
      </c>
    </row>
    <row r="199">
      <c r="A199" s="402">
        <f>IFERROR(__xludf.DUMMYFUNCTION("""COMPUTED_VALUE"""),44860.0)</f>
        <v>44860</v>
      </c>
      <c r="B199" s="368" t="str">
        <f>IFERROR(__xludf.DUMMYFUNCTION("""COMPUTED_VALUE"""),"Tier 3")</f>
        <v>Tier 3</v>
      </c>
      <c r="C199" s="368" t="str">
        <f>IFERROR(__xludf.DUMMYFUNCTION("""COMPUTED_VALUE"""),"Russian Emirate (Russia)")</f>
        <v>Russian Emirate (Russia)</v>
      </c>
      <c r="D199" s="368" t="str">
        <f>IFERROR(__xludf.DUMMYFUNCTION("""COMPUTED_VALUE"""),"Hotels across Dubai are recruiting Russian-speaking staff")</f>
        <v>Hotels across Dubai are recruiting Russian-speaking staff</v>
      </c>
      <c r="E199" s="507" t="str">
        <f>IFERROR(__xludf.DUMMYFUNCTION("""COMPUTED_VALUE"""),"https://russianemirates.com/news/uae-news/oteli-po-vsemu-dubayu-nabirayut-russkoyazychnyy-personal/")</f>
        <v>https://russianemirates.com/news/uae-news/oteli-po-vsemu-dubayu-nabirayut-russkoyazychnyy-personal/</v>
      </c>
      <c r="F199" s="368" t="str">
        <f>IFERROR(__xludf.DUMMYFUNCTION("""COMPUTED_VALUE"""),"Betterhomes")</f>
        <v>Betterhomes</v>
      </c>
    </row>
    <row r="200">
      <c r="A200" s="402">
        <f>IFERROR(__xludf.DUMMYFUNCTION("""COMPUTED_VALUE"""),44861.0)</f>
        <v>44861</v>
      </c>
      <c r="B200" s="368" t="str">
        <f>IFERROR(__xludf.DUMMYFUNCTION("""COMPUTED_VALUE"""),"Tier 2")</f>
        <v>Tier 2</v>
      </c>
      <c r="C200" s="368" t="str">
        <f>IFERROR(__xludf.DUMMYFUNCTION("""COMPUTED_VALUE"""),"Digital Journal")</f>
        <v>Digital Journal</v>
      </c>
      <c r="D200" s="368" t="str">
        <f>IFERROR(__xludf.DUMMYFUNCTION("""COMPUTED_VALUE"""),"Business In Dubai Is Expected To Grow At A Fast Pace In 2022 And 2023")</f>
        <v>Business In Dubai Is Expected To Grow At A Fast Pace In 2022 And 2023</v>
      </c>
      <c r="E200" s="507" t="str">
        <f>IFERROR(__xludf.DUMMYFUNCTION("""COMPUTED_VALUE"""),"https://www.digitaljournal.com/pr/business-in-dubai-is-expected-to-grow-at-a-fast-pace-in-2022-and-2023")</f>
        <v>https://www.digitaljournal.com/pr/business-in-dubai-is-expected-to-grow-at-a-fast-pace-in-2022-and-2023</v>
      </c>
      <c r="F200" s="368" t="str">
        <f>IFERROR(__xludf.DUMMYFUNCTION("""COMPUTED_VALUE"""),"Betterhomes")</f>
        <v>Betterhomes</v>
      </c>
    </row>
    <row r="201">
      <c r="A201" s="402">
        <f>IFERROR(__xludf.DUMMYFUNCTION("""COMPUTED_VALUE"""),44866.0)</f>
        <v>44866</v>
      </c>
      <c r="B201" s="368" t="str">
        <f>IFERROR(__xludf.DUMMYFUNCTION("""COMPUTED_VALUE"""),"Tier 2")</f>
        <v>Tier 2</v>
      </c>
      <c r="C201" s="368" t="str">
        <f>IFERROR(__xludf.DUMMYFUNCTION("""COMPUTED_VALUE"""),"Construction Week")</f>
        <v>Construction Week</v>
      </c>
      <c r="D201" s="368" t="str">
        <f>IFERROR(__xludf.DUMMYFUNCTION("""COMPUTED_VALUE"""),"PRIME by Betterhomes to rank top 50 homes in Dubai")</f>
        <v>PRIME by Betterhomes to rank top 50 homes in Dubai</v>
      </c>
      <c r="E201" s="507" t="str">
        <f>IFERROR(__xludf.DUMMYFUNCTION("""COMPUTED_VALUE"""),"https://www.constructionweekonline.com/business/prime-by-betterhomes-to-rank-top-50-homes-in-dubai")</f>
        <v>https://www.constructionweekonline.com/business/prime-by-betterhomes-to-rank-top-50-homes-in-dubai</v>
      </c>
      <c r="F201" s="368" t="str">
        <f>IFERROR(__xludf.DUMMYFUNCTION("""COMPUTED_VALUE"""),"Top 50 Homes")</f>
        <v>Top 50 Homes</v>
      </c>
    </row>
    <row r="202">
      <c r="A202" s="402">
        <f>IFERROR(__xludf.DUMMYFUNCTION("""COMPUTED_VALUE"""),44866.0)</f>
        <v>44866</v>
      </c>
      <c r="B202" s="368" t="str">
        <f>IFERROR(__xludf.DUMMYFUNCTION("""COMPUTED_VALUE"""),"Tier 2")</f>
        <v>Tier 2</v>
      </c>
      <c r="C202" s="368" t="str">
        <f>IFERROR(__xludf.DUMMYFUNCTION("""COMPUTED_VALUE"""),"The National")</f>
        <v>The National</v>
      </c>
      <c r="D202" s="368" t="str">
        <f>IFERROR(__xludf.DUMMYFUNCTION("""COMPUTED_VALUE"""),"Dubai property rents: where they rose and fell in Q3, 2022")</f>
        <v>Dubai property rents: where they rose and fell in Q3, 2022</v>
      </c>
      <c r="E202" s="507" t="str">
        <f>IFERROR(__xludf.DUMMYFUNCTION("""COMPUTED_VALUE"""),"https://www.thenationalnews.com/business/property/2022/11/01/dubai-property-rents-where-they-rose-and-fell-in-q3-2022/")</f>
        <v>https://www.thenationalnews.com/business/property/2022/11/01/dubai-property-rents-where-they-rose-and-fell-in-q3-2022/</v>
      </c>
      <c r="F202" s="368" t="str">
        <f>IFERROR(__xludf.DUMMYFUNCTION("""COMPUTED_VALUE"""),"Betterhomes")</f>
        <v>Betterhomes</v>
      </c>
    </row>
    <row r="203">
      <c r="A203" s="402">
        <f>IFERROR(__xludf.DUMMYFUNCTION("""COMPUTED_VALUE"""),44866.0)</f>
        <v>44866</v>
      </c>
      <c r="B203" s="368" t="str">
        <f>IFERROR(__xludf.DUMMYFUNCTION("""COMPUTED_VALUE"""),"Tier 2")</f>
        <v>Tier 2</v>
      </c>
      <c r="C203" s="368" t="str">
        <f>IFERROR(__xludf.DUMMYFUNCTION("""COMPUTED_VALUE"""),"The National")</f>
        <v>The National</v>
      </c>
      <c r="D203" s="368" t="str">
        <f>IFERROR(__xludf.DUMMYFUNCTION("""COMPUTED_VALUE"""),"Dubai tenants downsize and move to cheaper areas as rents rise")</f>
        <v>Dubai tenants downsize and move to cheaper areas as rents rise</v>
      </c>
      <c r="E203" s="507" t="str">
        <f>IFERROR(__xludf.DUMMYFUNCTION("""COMPUTED_VALUE"""),"https://www.thenationalnews.com/business/money/2022/11/03/dubai-tenants-downsize-and-move-to-cheaper-areas-as-rents-rise/")</f>
        <v>https://www.thenationalnews.com/business/money/2022/11/03/dubai-tenants-downsize-and-move-to-cheaper-areas-as-rents-rise/</v>
      </c>
      <c r="F203" s="368" t="str">
        <f>IFERROR(__xludf.DUMMYFUNCTION("""COMPUTED_VALUE"""),"Betterhomes")</f>
        <v>Betterhomes</v>
      </c>
    </row>
    <row r="204">
      <c r="A204" s="402">
        <f>IFERROR(__xludf.DUMMYFUNCTION("""COMPUTED_VALUE"""),44869.0)</f>
        <v>44869</v>
      </c>
      <c r="B204" s="368" t="str">
        <f>IFERROR(__xludf.DUMMYFUNCTION("""COMPUTED_VALUE"""),"Tier 2")</f>
        <v>Tier 2</v>
      </c>
      <c r="C204" s="368" t="str">
        <f>IFERROR(__xludf.DUMMYFUNCTION("""COMPUTED_VALUE"""),"ME Contruction News")</f>
        <v>ME Contruction News</v>
      </c>
      <c r="D204" s="368" t="str">
        <f>IFERROR(__xludf.DUMMYFUNCTION("""COMPUTED_VALUE"""),"Dubai’s commercial market reached an all time high in Q3 says CRC")</f>
        <v>Dubai’s commercial market reached an all time high in Q3 says CRC</v>
      </c>
      <c r="E204" s="507" t="str">
        <f>IFERROR(__xludf.DUMMYFUNCTION("""COMPUTED_VALUE"""),"https://meconstructionnews.com/55212/dubais-commercial-market-reached-an-all-time-high-in-q3-says-crc")</f>
        <v>https://meconstructionnews.com/55212/dubais-commercial-market-reached-an-all-time-high-in-q3-says-crc</v>
      </c>
      <c r="F204" s="368" t="str">
        <f>IFERROR(__xludf.DUMMYFUNCTION("""COMPUTED_VALUE"""),"CRC")</f>
        <v>CRC</v>
      </c>
    </row>
    <row r="205">
      <c r="A205" s="402">
        <f>IFERROR(__xludf.DUMMYFUNCTION("""COMPUTED_VALUE"""),44869.0)</f>
        <v>44869</v>
      </c>
      <c r="B205" s="368" t="str">
        <f>IFERROR(__xludf.DUMMYFUNCTION("""COMPUTED_VALUE"""),"Tier 3")</f>
        <v>Tier 3</v>
      </c>
      <c r="C205" s="368" t="str">
        <f>IFERROR(__xludf.DUMMYFUNCTION("""COMPUTED_VALUE"""),"NewsWire")</f>
        <v>NewsWire</v>
      </c>
      <c r="D205" s="368" t="str">
        <f>IFERROR(__xludf.DUMMYFUNCTION("""COMPUTED_VALUE"""),"CRC Commercial Real Estate Market Report | Q3 2022")</f>
        <v>CRC Commercial Real Estate Market Report | Q3 2022</v>
      </c>
      <c r="E205" s="507" t="str">
        <f>IFERROR(__xludf.DUMMYFUNCTION("""COMPUTED_VALUE"""),"https://www.issuewire.com/crc-commercial-real-estate-market-report-q3-2022-1748469199989609")</f>
        <v>https://www.issuewire.com/crc-commercial-real-estate-market-report-q3-2022-1748469199989609</v>
      </c>
      <c r="F205" s="368" t="str">
        <f>IFERROR(__xludf.DUMMYFUNCTION("""COMPUTED_VALUE"""),"CRC")</f>
        <v>CRC</v>
      </c>
    </row>
    <row r="206">
      <c r="A206" s="402">
        <f>IFERROR(__xludf.DUMMYFUNCTION("""COMPUTED_VALUE"""),44872.0)</f>
        <v>44872</v>
      </c>
      <c r="B206" s="368" t="str">
        <f>IFERROR(__xludf.DUMMYFUNCTION("""COMPUTED_VALUE"""),"Tier 2")</f>
        <v>Tier 2</v>
      </c>
      <c r="C206" s="368" t="str">
        <f>IFERROR(__xludf.DUMMYFUNCTION("""COMPUTED_VALUE"""),"Zawya")</f>
        <v>Zawya</v>
      </c>
      <c r="D206" s="368" t="str">
        <f>IFERROR(__xludf.DUMMYFUNCTION("""COMPUTED_VALUE"""),"Betterhomes to star in a brand-new TV show on UK's Channel 4")</f>
        <v>Betterhomes to star in a brand-new TV show on UK's Channel 4</v>
      </c>
      <c r="E206" s="507" t="str">
        <f>IFERROR(__xludf.DUMMYFUNCTION("""COMPUTED_VALUE"""),"https://www.zawya.com/en/press-release/companies-news/betterhomes-to-star-in-a-brand-new-tv-show-on-uks-channel-4-x3rnmte5")</f>
        <v>https://www.zawya.com/en/press-release/companies-news/betterhomes-to-star-in-a-brand-new-tv-show-on-uks-channel-4-x3rnmte5</v>
      </c>
      <c r="F206" s="368" t="str">
        <f>IFERROR(__xludf.DUMMYFUNCTION("""COMPUTED_VALUE"""),"Betterhomes")</f>
        <v>Betterhomes</v>
      </c>
    </row>
    <row r="207">
      <c r="A207" s="402">
        <f>IFERROR(__xludf.DUMMYFUNCTION("""COMPUTED_VALUE"""),44872.0)</f>
        <v>44872</v>
      </c>
      <c r="B207" s="368" t="str">
        <f>IFERROR(__xludf.DUMMYFUNCTION("""COMPUTED_VALUE"""),"Tier 2")</f>
        <v>Tier 2</v>
      </c>
      <c r="C207" s="368" t="str">
        <f>IFERROR(__xludf.DUMMYFUNCTION("""COMPUTED_VALUE"""),"TimeOut Dubai")</f>
        <v>TimeOut Dubai</v>
      </c>
      <c r="D207" s="368" t="str">
        <f>IFERROR(__xludf.DUMMYFUNCTION("""COMPUTED_VALUE"""),"New TV show about Dubai real estate is coming to UK’s Channel 4")</f>
        <v>New TV show about Dubai real estate is coming to UK’s Channel 4</v>
      </c>
      <c r="E207" s="507" t="str">
        <f>IFERROR(__xludf.DUMMYFUNCTION("""COMPUTED_VALUE"""),"https://www.timeoutdubai.com/news/dubai-channel-4-new-real-estate-programme")</f>
        <v>https://www.timeoutdubai.com/news/dubai-channel-4-new-real-estate-programme</v>
      </c>
      <c r="F207" s="368" t="str">
        <f>IFERROR(__xludf.DUMMYFUNCTION("""COMPUTED_VALUE"""),"Betterhomes")</f>
        <v>Betterhomes</v>
      </c>
    </row>
    <row r="208">
      <c r="A208" s="402">
        <f>IFERROR(__xludf.DUMMYFUNCTION("""COMPUTED_VALUE"""),44873.0)</f>
        <v>44873</v>
      </c>
      <c r="B208" s="368" t="str">
        <f>IFERROR(__xludf.DUMMYFUNCTION("""COMPUTED_VALUE"""),"Tier 2")</f>
        <v>Tier 2</v>
      </c>
      <c r="C208" s="368" t="str">
        <f>IFERROR(__xludf.DUMMYFUNCTION("""COMPUTED_VALUE"""),"Whats On Dubai ")</f>
        <v>Whats On Dubai </v>
      </c>
      <c r="D208" s="368" t="str">
        <f>IFERROR(__xludf.DUMMYFUNCTION("""COMPUTED_VALUE"""),"Made in Dubai: new real estate reality show on UK's Channel 4")</f>
        <v>Made in Dubai: new real estate reality show on UK's Channel 4</v>
      </c>
      <c r="E208" s="507" t="str">
        <f>IFERROR(__xludf.DUMMYFUNCTION("""COMPUTED_VALUE"""),"https://whatson.ae/2022/11/made-in-dubai-new-real-estate-reality-show-on-uks-channel-4/")</f>
        <v>https://whatson.ae/2022/11/made-in-dubai-new-real-estate-reality-show-on-uks-channel-4/</v>
      </c>
      <c r="F208" s="368" t="str">
        <f>IFERROR(__xludf.DUMMYFUNCTION("""COMPUTED_VALUE"""),"Betterhomes")</f>
        <v>Betterhomes</v>
      </c>
    </row>
    <row r="209">
      <c r="A209" s="402">
        <f>IFERROR(__xludf.DUMMYFUNCTION("""COMPUTED_VALUE"""),44873.0)</f>
        <v>44873</v>
      </c>
      <c r="B209" s="368" t="str">
        <f>IFERROR(__xludf.DUMMYFUNCTION("""COMPUTED_VALUE"""),"Tier 2")</f>
        <v>Tier 2</v>
      </c>
      <c r="C209" s="368" t="str">
        <f>IFERROR(__xludf.DUMMYFUNCTION("""COMPUTED_VALUE"""),"The National")</f>
        <v>The National</v>
      </c>
      <c r="D209" s="368" t="str">
        <f>IFERROR(__xludf.DUMMYFUNCTION("""COMPUTED_VALUE"""),"Made in Dubai': another reality TV series set in the city announced by UK's Channel 4")</f>
        <v>Made in Dubai': another reality TV series set in the city announced by UK's Channel 4</v>
      </c>
      <c r="E209" s="507" t="str">
        <f>IFERROR(__xludf.DUMMYFUNCTION("""COMPUTED_VALUE"""),"https://www.thenationalnews.com/arts-culture/film-tv/2022/11/07/made-in-dubai-another-reality-tv-series-set-in-the-city-announced-by-uks-channel-4/")</f>
        <v>https://www.thenationalnews.com/arts-culture/film-tv/2022/11/07/made-in-dubai-another-reality-tv-series-set-in-the-city-announced-by-uks-channel-4/</v>
      </c>
      <c r="F209" s="368" t="str">
        <f>IFERROR(__xludf.DUMMYFUNCTION("""COMPUTED_VALUE"""),"Betterhomes")</f>
        <v>Betterhomes</v>
      </c>
    </row>
    <row r="210">
      <c r="A210" s="402">
        <f>IFERROR(__xludf.DUMMYFUNCTION("""COMPUTED_VALUE"""),44873.0)</f>
        <v>44873</v>
      </c>
      <c r="B210" s="368" t="str">
        <f>IFERROR(__xludf.DUMMYFUNCTION("""COMPUTED_VALUE"""),"Tier 2")</f>
        <v>Tier 2</v>
      </c>
      <c r="C210" s="368" t="str">
        <f>IFERROR(__xludf.DUMMYFUNCTION("""COMPUTED_VALUE"""),"Arab News")</f>
        <v>Arab News</v>
      </c>
      <c r="D210" s="368" t="str">
        <f>IFERROR(__xludf.DUMMYFUNCTION("""COMPUTED_VALUE"""),"UK’s Channel 4 announces new reality TV series ‘Made in Dubai’")</f>
        <v>UK’s Channel 4 announces new reality TV series ‘Made in Dubai’</v>
      </c>
      <c r="E210" s="507" t="str">
        <f>IFERROR(__xludf.DUMMYFUNCTION("""COMPUTED_VALUE"""),"https://www.arabnews.com/node/2196036/media")</f>
        <v>https://www.arabnews.com/node/2196036/media</v>
      </c>
      <c r="F210" s="368" t="str">
        <f>IFERROR(__xludf.DUMMYFUNCTION("""COMPUTED_VALUE"""),"Betterhomes")</f>
        <v>Betterhomes</v>
      </c>
    </row>
    <row r="211">
      <c r="A211" s="402">
        <f>IFERROR(__xludf.DUMMYFUNCTION("""COMPUTED_VALUE"""),44874.0)</f>
        <v>44874</v>
      </c>
      <c r="B211" s="368" t="str">
        <f>IFERROR(__xludf.DUMMYFUNCTION("""COMPUTED_VALUE"""),"Tier 2")</f>
        <v>Tier 2</v>
      </c>
      <c r="C211" s="368" t="str">
        <f>IFERROR(__xludf.DUMMYFUNCTION("""COMPUTED_VALUE"""),"Arabian Business ")</f>
        <v>Arabian Business </v>
      </c>
      <c r="D211" s="368" t="str">
        <f>IFERROR(__xludf.DUMMYFUNCTION("""COMPUTED_VALUE"""),"Dubai Bling Season 2: Dubai real estate agents join the craze")</f>
        <v>Dubai Bling Season 2: Dubai real estate agents join the craze</v>
      </c>
      <c r="E211" s="507" t="str">
        <f>IFERROR(__xludf.DUMMYFUNCTION("""COMPUTED_VALUE"""),"https://www.arabianbusiness.com/tags/angel-eye-media")</f>
        <v>https://www.arabianbusiness.com/tags/angel-eye-media</v>
      </c>
      <c r="F211" s="368" t="str">
        <f>IFERROR(__xludf.DUMMYFUNCTION("""COMPUTED_VALUE"""),"Betterhomes")</f>
        <v>Betterhomes</v>
      </c>
    </row>
    <row r="212">
      <c r="A212" s="402">
        <f>IFERROR(__xludf.DUMMYFUNCTION("""COMPUTED_VALUE"""),44874.0)</f>
        <v>44874</v>
      </c>
      <c r="B212" s="368" t="str">
        <f>IFERROR(__xludf.DUMMYFUNCTION("""COMPUTED_VALUE"""),"Tier 3")</f>
        <v>Tier 3</v>
      </c>
      <c r="C212" s="368" t="str">
        <f>IFERROR(__xludf.DUMMYFUNCTION("""COMPUTED_VALUE"""),"Ziarul Fanance (Romania)")</f>
        <v>Ziarul Fanance (Romania)</v>
      </c>
      <c r="D212" s="368" t="str">
        <f>IFERROR(__xludf.DUMMYFUNCTION("""COMPUTED_VALUE"""),"One of Dubai's most spectacular infrastructure projects to receive $4.6 billion in funding")</f>
        <v>One of Dubai's most spectacular infrastructure projects to receive $4.6 billion in funding</v>
      </c>
      <c r="E212" s="507" t="str">
        <f>IFERROR(__xludf.DUMMYFUNCTION("""COMPUTED_VALUE"""),"https://www.zf.ro/business-international/unul-dintre-cele-mai-spectaculoase-proiecte-de-infrastructura-din-21305333")</f>
        <v>https://www.zf.ro/business-international/unul-dintre-cele-mai-spectaculoase-proiecte-de-infrastructura-din-21305333</v>
      </c>
      <c r="F212" s="368" t="str">
        <f>IFERROR(__xludf.DUMMYFUNCTION("""COMPUTED_VALUE"""),"Betterhomes")</f>
        <v>Betterhomes</v>
      </c>
    </row>
    <row r="213">
      <c r="A213" s="402">
        <f>IFERROR(__xludf.DUMMYFUNCTION("""COMPUTED_VALUE"""),44874.0)</f>
        <v>44874</v>
      </c>
      <c r="B213" s="368" t="str">
        <f>IFERROR(__xludf.DUMMYFUNCTION("""COMPUTED_VALUE"""),"Tier 3")</f>
        <v>Tier 3</v>
      </c>
      <c r="C213" s="368" t="str">
        <f>IFERROR(__xludf.DUMMYFUNCTION("""COMPUTED_VALUE"""),"El Correo de Golfo (Spain)")</f>
        <v>El Correo de Golfo (Spain)</v>
      </c>
      <c r="D213" s="368" t="str">
        <f>IFERROR(__xludf.DUMMYFUNCTION("""COMPUTED_VALUE"""),"Dubai Palm Tree developer secures $4.6 billion for projects")</f>
        <v>Dubai Palm Tree developer secures $4.6 billion for projects</v>
      </c>
      <c r="E213" s="507" t="str">
        <f>IFERROR(__xludf.DUMMYFUNCTION("""COMPUTED_VALUE"""),"https://www.elcorreo.ae/articulo/economia/desarrollador-palmera-dubai-obtiene-4600-millones-dolares-proyectos/20221109100432150812.html")</f>
        <v>https://www.elcorreo.ae/articulo/economia/desarrollador-palmera-dubai-obtiene-4600-millones-dolares-proyectos/20221109100432150812.html</v>
      </c>
      <c r="F213" s="368" t="str">
        <f>IFERROR(__xludf.DUMMYFUNCTION("""COMPUTED_VALUE"""),"Betterhomes")</f>
        <v>Betterhomes</v>
      </c>
    </row>
    <row r="214">
      <c r="A214" s="402">
        <f>IFERROR(__xludf.DUMMYFUNCTION("""COMPUTED_VALUE"""),44874.0)</f>
        <v>44874</v>
      </c>
      <c r="B214" s="368" t="str">
        <f>IFERROR(__xludf.DUMMYFUNCTION("""COMPUTED_VALUE"""),"Tier 1")</f>
        <v>Tier 1</v>
      </c>
      <c r="C214" s="368" t="str">
        <f>IFERROR(__xludf.DUMMYFUNCTION("""COMPUTED_VALUE"""),"Thomson Reuters")</f>
        <v>Thomson Reuters</v>
      </c>
      <c r="D214" s="368" t="str">
        <f>IFERROR(__xludf.DUMMYFUNCTION("""COMPUTED_VALUE"""),"Dubai Palm Island developer gets $4.6 bln funding for new waterfront projects")</f>
        <v>Dubai Palm Island developer gets $4.6 bln funding for new waterfront projects</v>
      </c>
      <c r="E214" s="507" t="str">
        <f>IFERROR(__xludf.DUMMYFUNCTION("""COMPUTED_VALUE"""),"https://www.reuters.com/business/dubai-developer-nakheel-secures-17-billion-dirhams-financing-2022-11-08/")</f>
        <v>https://www.reuters.com/business/dubai-developer-nakheel-secures-17-billion-dirhams-financing-2022-11-08/</v>
      </c>
      <c r="F214" s="368" t="str">
        <f>IFERROR(__xludf.DUMMYFUNCTION("""COMPUTED_VALUE"""),"Betterhomes")</f>
        <v>Betterhomes</v>
      </c>
    </row>
    <row r="215">
      <c r="A215" s="402">
        <f>IFERROR(__xludf.DUMMYFUNCTION("""COMPUTED_VALUE"""),44874.0)</f>
        <v>44874</v>
      </c>
      <c r="B215" s="368" t="str">
        <f>IFERROR(__xludf.DUMMYFUNCTION("""COMPUTED_VALUE"""),"Tier 2")</f>
        <v>Tier 2</v>
      </c>
      <c r="C215" s="368" t="str">
        <f>IFERROR(__xludf.DUMMYFUNCTION("""COMPUTED_VALUE"""),"Zawya")</f>
        <v>Zawya</v>
      </c>
      <c r="D215" s="368" t="str">
        <f>IFERROR(__xludf.DUMMYFUNCTION("""COMPUTED_VALUE"""),"New and progressive property management software aims to bridge the communication gap between tenants and landlords")</f>
        <v>New and progressive property management software aims to bridge the communication gap between tenants and landlords</v>
      </c>
      <c r="E215" s="507" t="str">
        <f>IFERROR(__xludf.DUMMYFUNCTION("""COMPUTED_VALUE"""),"https://www.zawya.com/en/press-release/companies-news/new-and-progressive-property-management-software-aims-to-bridge-the-communication-gap-between-tenants-and-landlords-mztvbkhd")</f>
        <v>https://www.zawya.com/en/press-release/companies-news/new-and-progressive-property-management-software-aims-to-bridge-the-communication-gap-between-tenants-and-landlords-mztvbkhd</v>
      </c>
      <c r="F215" s="368" t="str">
        <f>IFERROR(__xludf.DUMMYFUNCTION("""COMPUTED_VALUE"""),"Betterhomes")</f>
        <v>Betterhomes</v>
      </c>
    </row>
    <row r="216">
      <c r="A216" s="402">
        <f>IFERROR(__xludf.DUMMYFUNCTION("""COMPUTED_VALUE"""),44874.0)</f>
        <v>44874</v>
      </c>
      <c r="B216" s="368" t="str">
        <f>IFERROR(__xludf.DUMMYFUNCTION("""COMPUTED_VALUE"""),"Tier 2")</f>
        <v>Tier 2</v>
      </c>
      <c r="C216" s="368" t="str">
        <f>IFERROR(__xludf.DUMMYFUNCTION("""COMPUTED_VALUE"""),"The National")</f>
        <v>The National</v>
      </c>
      <c r="D216" s="368" t="str">
        <f>IFERROR(__xludf.DUMMYFUNCTION("""COMPUTED_VALUE"""),"The Debt Panel: 'I lost my $5,445 short-term rental deposit'")</f>
        <v>The Debt Panel: 'I lost my $5,445 short-term rental deposit'</v>
      </c>
      <c r="E216" s="507" t="str">
        <f>IFERROR(__xludf.DUMMYFUNCTION("""COMPUTED_VALUE"""),"https://www.thenationalnews.com/business/money/2022/11/09/the-debt-panel-i-lost-my-5445-short-term-rental-deposit/")</f>
        <v>https://www.thenationalnews.com/business/money/2022/11/09/the-debt-panel-i-lost-my-5445-short-term-rental-deposit/</v>
      </c>
      <c r="F216" s="368" t="str">
        <f>IFERROR(__xludf.DUMMYFUNCTION("""COMPUTED_VALUE"""),"BetterStay")</f>
        <v>BetterStay</v>
      </c>
    </row>
    <row r="217">
      <c r="A217" s="402">
        <f>IFERROR(__xludf.DUMMYFUNCTION("""COMPUTED_VALUE"""),44874.0)</f>
        <v>44874</v>
      </c>
      <c r="B217" s="368" t="str">
        <f>IFERROR(__xludf.DUMMYFUNCTION("""COMPUTED_VALUE"""),"Tier 2")</f>
        <v>Tier 2</v>
      </c>
      <c r="C217" s="368" t="str">
        <f>IFERROR(__xludf.DUMMYFUNCTION("""COMPUTED_VALUE"""),"Arab News")</f>
        <v>Arab News</v>
      </c>
      <c r="D217" s="368" t="str">
        <f>IFERROR(__xludf.DUMMYFUNCTION("""COMPUTED_VALUE"""),"6 Middle Eastern reality TV shows to watch")</f>
        <v>6 Middle Eastern reality TV shows to watch</v>
      </c>
      <c r="E217" s="507" t="str">
        <f>IFERROR(__xludf.DUMMYFUNCTION("""COMPUTED_VALUE"""),"https://www.arabnews.com/node/2196421/6-middle-eastern-reality-tv-shows-watch")</f>
        <v>https://www.arabnews.com/node/2196421/6-middle-eastern-reality-tv-shows-watch</v>
      </c>
      <c r="F217" s="368" t="str">
        <f>IFERROR(__xludf.DUMMYFUNCTION("""COMPUTED_VALUE"""),"Betterhomes")</f>
        <v>Betterhomes</v>
      </c>
    </row>
    <row r="218">
      <c r="A218" s="402">
        <f>IFERROR(__xludf.DUMMYFUNCTION("""COMPUTED_VALUE"""),44875.0)</f>
        <v>44875</v>
      </c>
      <c r="B218" s="368" t="str">
        <f>IFERROR(__xludf.DUMMYFUNCTION("""COMPUTED_VALUE"""),"Tier 2")</f>
        <v>Tier 2</v>
      </c>
      <c r="C218" s="368" t="str">
        <f>IFERROR(__xludf.DUMMYFUNCTION("""COMPUTED_VALUE"""),"Zawya")</f>
        <v>Zawya</v>
      </c>
      <c r="D218" s="368" t="str">
        <f>IFERROR(__xludf.DUMMYFUNCTION("""COMPUTED_VALUE"""),"Dubai's leading commercial real estate, CRC, expands with a new office in Dubai Marina")</f>
        <v>Dubai's leading commercial real estate, CRC, expands with a new office in Dubai Marina</v>
      </c>
      <c r="E218" s="507" t="str">
        <f>IFERROR(__xludf.DUMMYFUNCTION("""COMPUTED_VALUE"""),"https://www.zawya.com/en/press-release/companies-news/dubais-leading-commercial-real-estate-crc-expands-with-a-new-office-in-dubai-marina-sx7jfvzz")</f>
        <v>https://www.zawya.com/en/press-release/companies-news/dubais-leading-commercial-real-estate-crc-expands-with-a-new-office-in-dubai-marina-sx7jfvzz</v>
      </c>
      <c r="F218" s="368" t="str">
        <f>IFERROR(__xludf.DUMMYFUNCTION("""COMPUTED_VALUE"""),"CRC")</f>
        <v>CRC</v>
      </c>
    </row>
    <row r="219">
      <c r="A219" s="402">
        <f>IFERROR(__xludf.DUMMYFUNCTION("""COMPUTED_VALUE"""),44876.0)</f>
        <v>44876</v>
      </c>
      <c r="B219" s="368" t="str">
        <f>IFERROR(__xludf.DUMMYFUNCTION("""COMPUTED_VALUE"""),"Tier 2")</f>
        <v>Tier 2</v>
      </c>
      <c r="C219" s="368" t="str">
        <f>IFERROR(__xludf.DUMMYFUNCTION("""COMPUTED_VALUE"""),"The Arabian Business Gulf Insight")</f>
        <v>The Arabian Business Gulf Insight</v>
      </c>
      <c r="D219" s="368" t="str">
        <f>IFERROR(__xludf.DUMMYFUNCTION("""COMPUTED_VALUE"""),"Dubai’s bricks-and-mortar stores hold their own against e-commerce")</f>
        <v>Dubai’s bricks-and-mortar stores hold their own against e-commerce</v>
      </c>
      <c r="E219" s="507" t="str">
        <f>IFERROR(__xludf.DUMMYFUNCTION("""COMPUTED_VALUE"""),"https://www.agbi.com/articles/dubais-brick-and-mortar-retailers-hold-their-own-against-online-competition/")</f>
        <v>https://www.agbi.com/articles/dubais-brick-and-mortar-retailers-hold-their-own-against-online-competition/</v>
      </c>
      <c r="F219" s="368" t="str">
        <f>IFERROR(__xludf.DUMMYFUNCTION("""COMPUTED_VALUE"""),"CRC")</f>
        <v>CRC</v>
      </c>
    </row>
    <row r="220">
      <c r="A220" s="402">
        <f>IFERROR(__xludf.DUMMYFUNCTION("""COMPUTED_VALUE"""),44876.0)</f>
        <v>44876</v>
      </c>
      <c r="B220" s="368" t="str">
        <f>IFERROR(__xludf.DUMMYFUNCTION("""COMPUTED_VALUE"""),"Tier 3")</f>
        <v>Tier 3</v>
      </c>
      <c r="C220" s="368" t="str">
        <f>IFERROR(__xludf.DUMMYFUNCTION("""COMPUTED_VALUE"""),"Aduvarul (Romania)")</f>
        <v>Aduvarul (Romania)</v>
      </c>
      <c r="D220" s="368" t="str">
        <f>IFERROR(__xludf.DUMMYFUNCTION("""COMPUTED_VALUE"""),"Romanians, in the top ten real estate buyers in Dubai")</f>
        <v>Romanians, in the top ten real estate buyers in Dubai</v>
      </c>
      <c r="E220" s="507" t="str">
        <f>IFERROR(__xludf.DUMMYFUNCTION("""COMPUTED_VALUE"""),"https://adevarul.ro/economie/romanii-in-top-zece-cumparatori-de-imobiliare-in-2219651.html")</f>
        <v>https://adevarul.ro/economie/romanii-in-top-zece-cumparatori-de-imobiliare-in-2219651.html</v>
      </c>
      <c r="F220" s="368" t="str">
        <f>IFERROR(__xludf.DUMMYFUNCTION("""COMPUTED_VALUE"""),"Betterhomes")</f>
        <v>Betterhomes</v>
      </c>
    </row>
    <row r="221">
      <c r="A221" s="402">
        <f>IFERROR(__xludf.DUMMYFUNCTION("""COMPUTED_VALUE"""),44876.0)</f>
        <v>44876</v>
      </c>
      <c r="B221" s="368" t="str">
        <f>IFERROR(__xludf.DUMMYFUNCTION("""COMPUTED_VALUE"""),"Tier 1")</f>
        <v>Tier 1</v>
      </c>
      <c r="C221" s="368" t="str">
        <f>IFERROR(__xludf.DUMMYFUNCTION("""COMPUTED_VALUE"""),"CBC (Canada)")</f>
        <v>CBC (Canada)</v>
      </c>
      <c r="D221" s="368" t="str">
        <f>IFERROR(__xludf.DUMMYFUNCTION("""COMPUTED_VALUE"""),"The unlikely geopolitical winners from Russia's war in Ukraine")</f>
        <v>The unlikely geopolitical winners from Russia's war in Ukraine</v>
      </c>
      <c r="E221" s="507" t="str">
        <f>IFERROR(__xludf.DUMMYFUNCTION("""COMPUTED_VALUE"""),"https://www.cbc.ca/news/world/russia-ukraine-war-geopolitical-winners-1.6649370")</f>
        <v>https://www.cbc.ca/news/world/russia-ukraine-war-geopolitical-winners-1.6649370</v>
      </c>
      <c r="F221" s="368" t="str">
        <f>IFERROR(__xludf.DUMMYFUNCTION("""COMPUTED_VALUE"""),"Betterhomes")</f>
        <v>Betterhomes</v>
      </c>
    </row>
    <row r="222">
      <c r="A222" s="402">
        <f>IFERROR(__xludf.DUMMYFUNCTION("""COMPUTED_VALUE"""),44879.0)</f>
        <v>44879</v>
      </c>
      <c r="B222" s="368" t="str">
        <f>IFERROR(__xludf.DUMMYFUNCTION("""COMPUTED_VALUE"""),"Tier 1")</f>
        <v>Tier 1</v>
      </c>
      <c r="C222" s="368" t="str">
        <f>IFERROR(__xludf.DUMMYFUNCTION("""COMPUTED_VALUE"""),"Thomson Reuters")</f>
        <v>Thomson Reuters</v>
      </c>
      <c r="D222" s="368" t="str">
        <f>IFERROR(__xludf.DUMMYFUNCTION("""COMPUTED_VALUE"""),"Emaar beats forecasts with 46% Q3 profit rise as Dubai rebounds")</f>
        <v>Emaar beats forecasts with 46% Q3 profit rise as Dubai rebounds</v>
      </c>
      <c r="E222" s="507" t="str">
        <f>IFERROR(__xludf.DUMMYFUNCTION("""COMPUTED_VALUE"""),"https://www.reuters.com/world/middle-east/emaar-beats-forecasts-with-46-q3-profit-rise-dubai-rebounds-2022-11-14/")</f>
        <v>https://www.reuters.com/world/middle-east/emaar-beats-forecasts-with-46-q3-profit-rise-dubai-rebounds-2022-11-14/</v>
      </c>
      <c r="F222" s="368" t="str">
        <f>IFERROR(__xludf.DUMMYFUNCTION("""COMPUTED_VALUE"""),"Betterhomes")</f>
        <v>Betterhomes</v>
      </c>
    </row>
    <row r="223">
      <c r="A223" s="402">
        <f>IFERROR(__xludf.DUMMYFUNCTION("""COMPUTED_VALUE"""),44879.0)</f>
        <v>44879</v>
      </c>
      <c r="B223" s="368" t="str">
        <f>IFERROR(__xludf.DUMMYFUNCTION("""COMPUTED_VALUE"""),"Tier 2")</f>
        <v>Tier 2</v>
      </c>
      <c r="C223" s="368" t="str">
        <f>IFERROR(__xludf.DUMMYFUNCTION("""COMPUTED_VALUE"""),"Zawya")</f>
        <v>Zawya</v>
      </c>
      <c r="D223" s="368" t="str">
        <f>IFERROR(__xludf.DUMMYFUNCTION("""COMPUTED_VALUE"""),"Real estate trends: UAE buyers rush to fix rates; cash deals are surging")</f>
        <v>Real estate trends: UAE buyers rush to fix rates; cash deals are surging</v>
      </c>
      <c r="E223" s="507" t="str">
        <f>IFERROR(__xludf.DUMMYFUNCTION("""COMPUTED_VALUE"""),"https://www.zawya.com/en/business/real-estate/real-estate-trends-uae-buyers-rush-to-fix-rates-cash-deals-are-surging-ousihn3d")</f>
        <v>https://www.zawya.com/en/business/real-estate/real-estate-trends-uae-buyers-rush-to-fix-rates-cash-deals-are-surging-ousihn3d</v>
      </c>
      <c r="F223" s="368" t="str">
        <f>IFERROR(__xludf.DUMMYFUNCTION("""COMPUTED_VALUE"""),"BH Mortgages")</f>
        <v>BH Mortgages</v>
      </c>
    </row>
    <row r="224">
      <c r="A224" s="402">
        <f>IFERROR(__xludf.DUMMYFUNCTION("""COMPUTED_VALUE"""),44879.0)</f>
        <v>44879</v>
      </c>
      <c r="B224" s="368" t="str">
        <f>IFERROR(__xludf.DUMMYFUNCTION("""COMPUTED_VALUE"""),"Tier 3")</f>
        <v>Tier 3</v>
      </c>
      <c r="C224" s="368" t="str">
        <f>IFERROR(__xludf.DUMMYFUNCTION("""COMPUTED_VALUE"""),"The GIOI &amp; Vietnam (Vietnam)")</f>
        <v>The GIOI &amp; Vietnam (Vietnam)</v>
      </c>
      <c r="D224" s="368" t="str">
        <f>IFERROR(__xludf.DUMMYFUNCTION("""COMPUTED_VALUE"""),"Energy crisis: Not the US or Norway, these are the countries that make a lot of money from the Russia-Ukraine conflict")</f>
        <v>Energy crisis: Not the US or Norway, these are the countries that make a lot of money from the Russia-Ukraine conflict</v>
      </c>
      <c r="E224" s="507" t="str">
        <f>IFERROR(__xludf.DUMMYFUNCTION("""COMPUTED_VALUE"""),"https://baoquocte.vn/khung-hoang-nang-luong-khong-phai-my-hay-na-uy-day-moi-la-nhung-nuoc-kiem-bon-tien-tu-xung-dot-nga-ukraine-205821.html")</f>
        <v>https://baoquocte.vn/khung-hoang-nang-luong-khong-phai-my-hay-na-uy-day-moi-la-nhung-nuoc-kiem-bon-tien-tu-xung-dot-nga-ukraine-205821.html</v>
      </c>
      <c r="F224" s="368" t="str">
        <f>IFERROR(__xludf.DUMMYFUNCTION("""COMPUTED_VALUE"""),"Betterhomes")</f>
        <v>Betterhomes</v>
      </c>
    </row>
    <row r="225">
      <c r="A225" s="402">
        <f>IFERROR(__xludf.DUMMYFUNCTION("""COMPUTED_VALUE"""),44879.0)</f>
        <v>44879</v>
      </c>
      <c r="B225" s="368" t="str">
        <f>IFERROR(__xludf.DUMMYFUNCTION("""COMPUTED_VALUE"""),"Tier 3")</f>
        <v>Tier 3</v>
      </c>
      <c r="C225" s="368" t="str">
        <f>IFERROR(__xludf.DUMMYFUNCTION("""COMPUTED_VALUE"""),"Hot News (Romania)")</f>
        <v>Hot News (Romania)</v>
      </c>
      <c r="D225" s="368" t="str">
        <f>IFERROR(__xludf.DUMMYFUNCTION("""COMPUTED_VALUE"""),"Romanians, in the top ten real estate buyers in Dubai")</f>
        <v>Romanians, in the top ten real estate buyers in Dubai</v>
      </c>
      <c r="E225" s="507" t="str">
        <f>IFERROR(__xludf.DUMMYFUNCTION("""COMPUTED_VALUE"""),"https://www.hotnews.ro/stiri-esential-25901100-press-report-muncitori-din-bangladesh-acuza-felul-care-sunt-tratati-sibiu-romanii-top-zece-cumparatori-imobiliare-dubai-cele-mai-bogate-comune-din-romania-guvernul-orbilor-face-romania-daca-intra-rece.htm")</f>
        <v>https://www.hotnews.ro/stiri-esential-25901100-press-report-muncitori-din-bangladesh-acuza-felul-care-sunt-tratati-sibiu-romanii-top-zece-cumparatori-imobiliare-dubai-cele-mai-bogate-comune-din-romania-guvernul-orbilor-face-romania-daca-intra-rece.htm</v>
      </c>
      <c r="F225" s="368" t="str">
        <f>IFERROR(__xludf.DUMMYFUNCTION("""COMPUTED_VALUE"""),"Betterhomes")</f>
        <v>Betterhomes</v>
      </c>
    </row>
    <row r="226">
      <c r="A226" s="402">
        <f>IFERROR(__xludf.DUMMYFUNCTION("""COMPUTED_VALUE"""),44881.0)</f>
        <v>44881</v>
      </c>
      <c r="B226" s="368" t="str">
        <f>IFERROR(__xludf.DUMMYFUNCTION("""COMPUTED_VALUE"""),"Tier 3")</f>
        <v>Tier 3</v>
      </c>
      <c r="C226" s="368" t="str">
        <f>IFERROR(__xludf.DUMMYFUNCTION("""COMPUTED_VALUE"""),"Evenmitul (Romania)")</f>
        <v>Evenmitul (Romania)</v>
      </c>
      <c r="D226" s="368" t="str">
        <f>IFERROR(__xludf.DUMMYFUNCTION("""COMPUTED_VALUE"""),"Home sales dropped dramatically by 40% compared to last year. Why don't the prices drop?")</f>
        <v>Home sales dropped dramatically by 40% compared to last year. Why don't the prices drop?</v>
      </c>
      <c r="E226" s="507" t="str">
        <f>IFERROR(__xludf.DUMMYFUNCTION("""COMPUTED_VALUE"""),"https://www.ziarulevenimentul.ro/stiri/vanzarile-de-locuinte-au-scazut-dramatic-cu-40-fata-de-anul-trecut-de-ce-nu-scad-si-preturile/vanzarile-de-locuinte-au-scazut-dramatic-cu-40-fata-de-anul-trecut-de-ce-nu-scad-si-preturile--217534779.html")</f>
        <v>https://www.ziarulevenimentul.ro/stiri/vanzarile-de-locuinte-au-scazut-dramatic-cu-40-fata-de-anul-trecut-de-ce-nu-scad-si-preturile/vanzarile-de-locuinte-au-scazut-dramatic-cu-40-fata-de-anul-trecut-de-ce-nu-scad-si-preturile--217534779.html</v>
      </c>
      <c r="F226" s="368" t="str">
        <f>IFERROR(__xludf.DUMMYFUNCTION("""COMPUTED_VALUE"""),"Betterhomes")</f>
        <v>Betterhomes</v>
      </c>
    </row>
    <row r="227">
      <c r="A227" s="402">
        <f>IFERROR(__xludf.DUMMYFUNCTION("""COMPUTED_VALUE"""),44882.0)</f>
        <v>44882</v>
      </c>
      <c r="B227" s="368" t="str">
        <f>IFERROR(__xludf.DUMMYFUNCTION("""COMPUTED_VALUE"""),"Tier 3")</f>
        <v>Tier 3</v>
      </c>
      <c r="C227" s="368" t="str">
        <f>IFERROR(__xludf.DUMMYFUNCTION("""COMPUTED_VALUE"""),"The Washington Post (US)")</f>
        <v>The Washington Post (US)</v>
      </c>
      <c r="D227" s="368" t="str">
        <f>IFERROR(__xludf.DUMMYFUNCTION("""COMPUTED_VALUE"""),"In the UAE, Russians fleeing Ukraine war seek success in ‘Dubaisk’")</f>
        <v>In the UAE, Russians fleeing Ukraine war seek success in ‘Dubaisk’</v>
      </c>
      <c r="E227" s="507" t="str">
        <f>IFERROR(__xludf.DUMMYFUNCTION("""COMPUTED_VALUE"""),"https://www.washingtonpost.com/world/2022/11/17/uae-dubai-russia-ukraine-war/")</f>
        <v>https://www.washingtonpost.com/world/2022/11/17/uae-dubai-russia-ukraine-war/</v>
      </c>
      <c r="F227" s="368" t="str">
        <f>IFERROR(__xludf.DUMMYFUNCTION("""COMPUTED_VALUE"""),"Betterhomes")</f>
        <v>Betterhomes</v>
      </c>
    </row>
    <row r="228">
      <c r="A228" s="402">
        <f>IFERROR(__xludf.DUMMYFUNCTION("""COMPUTED_VALUE"""),44886.0)</f>
        <v>44886</v>
      </c>
      <c r="B228" s="368" t="str">
        <f>IFERROR(__xludf.DUMMYFUNCTION("""COMPUTED_VALUE"""),"Tier 2")</f>
        <v>Tier 2</v>
      </c>
      <c r="C228" s="368" t="str">
        <f>IFERROR(__xludf.DUMMYFUNCTION("""COMPUTED_VALUE"""),"Gulf News")</f>
        <v>Gulf News</v>
      </c>
      <c r="D228" s="368" t="str">
        <f>IFERROR(__xludf.DUMMYFUNCTION("""COMPUTED_VALUE"""),"In Dubai, new 1-year rental listings drop as landlords chase short-term rentals")</f>
        <v>In Dubai, new 1-year rental listings drop as landlords chase short-term rentals</v>
      </c>
      <c r="E228" s="507" t="str">
        <f>IFERROR(__xludf.DUMMYFUNCTION("""COMPUTED_VALUE"""),"https://gulfnews.com/business/property/in-dubai-new-1-year-rental-listings-drop-as-landlords-chase-short-term-rentals-1.1669003557826")</f>
        <v>https://gulfnews.com/business/property/in-dubai-new-1-year-rental-listings-drop-as-landlords-chase-short-term-rentals-1.1669003557826</v>
      </c>
      <c r="F228" s="368" t="str">
        <f>IFERROR(__xludf.DUMMYFUNCTION("""COMPUTED_VALUE"""),"Betterhomes")</f>
        <v>Betterhomes</v>
      </c>
    </row>
    <row r="229">
      <c r="A229" s="402">
        <f>IFERROR(__xludf.DUMMYFUNCTION("""COMPUTED_VALUE"""),44887.0)</f>
        <v>44887</v>
      </c>
      <c r="B229" s="368" t="str">
        <f>IFERROR(__xludf.DUMMYFUNCTION("""COMPUTED_VALUE"""),"Tier 2")</f>
        <v>Tier 2</v>
      </c>
      <c r="C229" s="368" t="str">
        <f>IFERROR(__xludf.DUMMYFUNCTION("""COMPUTED_VALUE"""),"ME Contruction News")</f>
        <v>ME Contruction News</v>
      </c>
      <c r="D229" s="368" t="str">
        <f>IFERROR(__xludf.DUMMYFUNCTION("""COMPUTED_VALUE"""),"Betterhomes purchases full floor in Motor City office tower")</f>
        <v>Betterhomes purchases full floor in Motor City office tower</v>
      </c>
      <c r="E229" s="507" t="str">
        <f>IFERROR(__xludf.DUMMYFUNCTION("""COMPUTED_VALUE"""),"https://meconstructionnews.com/55507/betterhomes-purchases-full-floor-in-motor-city-office-tower")</f>
        <v>https://meconstructionnews.com/55507/betterhomes-purchases-full-floor-in-motor-city-office-tower</v>
      </c>
      <c r="F229" s="368" t="str">
        <f>IFERROR(__xludf.DUMMYFUNCTION("""COMPUTED_VALUE"""),"Betterhomes")</f>
        <v>Betterhomes</v>
      </c>
    </row>
    <row r="230">
      <c r="A230" s="402">
        <f>IFERROR(__xludf.DUMMYFUNCTION("""COMPUTED_VALUE"""),44887.0)</f>
        <v>44887</v>
      </c>
      <c r="B230" s="368" t="str">
        <f>IFERROR(__xludf.DUMMYFUNCTION("""COMPUTED_VALUE"""),"Tier 2")</f>
        <v>Tier 2</v>
      </c>
      <c r="C230" s="368" t="str">
        <f>IFERROR(__xludf.DUMMYFUNCTION("""COMPUTED_VALUE"""),"Zawya")</f>
        <v>Zawya</v>
      </c>
      <c r="D230" s="368" t="str">
        <f>IFERROR(__xludf.DUMMYFUNCTION("""COMPUTED_VALUE"""),"Betterhomes focuses on Dubailand, Al Qudra sales as population grows")</f>
        <v>Betterhomes focuses on Dubailand, Al Qudra sales as population grows</v>
      </c>
      <c r="E230" s="507" t="str">
        <f>IFERROR(__xludf.DUMMYFUNCTION("""COMPUTED_VALUE"""),"https://www.zawya.com/en/business/real-estate/betterhomes-focuses-on-dubailand-al-qudra-sales-as-population-grows-wzu2tx7x")</f>
        <v>https://www.zawya.com/en/business/real-estate/betterhomes-focuses-on-dubailand-al-qudra-sales-as-population-grows-wzu2tx7x</v>
      </c>
      <c r="F230" s="368" t="str">
        <f>IFERROR(__xludf.DUMMYFUNCTION("""COMPUTED_VALUE"""),"Betterhomes")</f>
        <v>Betterhomes</v>
      </c>
    </row>
    <row r="231">
      <c r="A231" s="402">
        <f>IFERROR(__xludf.DUMMYFUNCTION("""COMPUTED_VALUE"""),44887.0)</f>
        <v>44887</v>
      </c>
      <c r="B231" s="368" t="str">
        <f>IFERROR(__xludf.DUMMYFUNCTION("""COMPUTED_VALUE"""),"Tier 2")</f>
        <v>Tier 2</v>
      </c>
      <c r="C231" s="368" t="str">
        <f>IFERROR(__xludf.DUMMYFUNCTION("""COMPUTED_VALUE"""),"Zawya")</f>
        <v>Zawya</v>
      </c>
      <c r="D231" s="368" t="str">
        <f>IFERROR(__xludf.DUMMYFUNCTION("""COMPUTED_VALUE"""),"Betterhomes acquires full floor office in Control Tower, Motor City, from Emirates NBD")</f>
        <v>Betterhomes acquires full floor office in Control Tower, Motor City, from Emirates NBD</v>
      </c>
      <c r="E231" s="507" t="str">
        <f>IFERROR(__xludf.DUMMYFUNCTION("""COMPUTED_VALUE"""),"https://www.zawya.com/en/press-release/companies-news/betterhomes-acquires-full-floor-office-in-control-tower-motor-city-from-emirates-nbd-tyqxw12e")</f>
        <v>https://www.zawya.com/en/press-release/companies-news/betterhomes-acquires-full-floor-office-in-control-tower-motor-city-from-emirates-nbd-tyqxw12e</v>
      </c>
      <c r="F231" s="368" t="str">
        <f>IFERROR(__xludf.DUMMYFUNCTION("""COMPUTED_VALUE"""),"Betterhomes")</f>
        <v>Betterhomes</v>
      </c>
    </row>
    <row r="232">
      <c r="A232" s="402">
        <f>IFERROR(__xludf.DUMMYFUNCTION("""COMPUTED_VALUE"""),44888.0)</f>
        <v>44888</v>
      </c>
      <c r="B232" s="368" t="str">
        <f>IFERROR(__xludf.DUMMYFUNCTION("""COMPUTED_VALUE"""),"Tier 2")</f>
        <v>Tier 2</v>
      </c>
      <c r="C232" s="368" t="str">
        <f>IFERROR(__xludf.DUMMYFUNCTION("""COMPUTED_VALUE"""),"Al Arabiya")</f>
        <v>Al Arabiya</v>
      </c>
      <c r="D232" s="368" t="str">
        <f>IFERROR(__xludf.DUMMYFUNCTION("""COMPUTED_VALUE"""),"Dubai records huge short-term rental boom in months leading up to Qatar World Cup")</f>
        <v>Dubai records huge short-term rental boom in months leading up to Qatar World Cup</v>
      </c>
      <c r="E232" s="507" t="str">
        <f>IFERROR(__xludf.DUMMYFUNCTION("""COMPUTED_VALUE"""),"https://english.alarabiya.net/business/property/2022/11/23/Dubai-records-huge-short-term-rental-boom-in-months-leading-up-to-Qatar-World-Cup")</f>
        <v>https://english.alarabiya.net/business/property/2022/11/23/Dubai-records-huge-short-term-rental-boom-in-months-leading-up-to-Qatar-World-Cup</v>
      </c>
      <c r="F232" s="368" t="str">
        <f>IFERROR(__xludf.DUMMYFUNCTION("""COMPUTED_VALUE"""),"BetterStay")</f>
        <v>BetterStay</v>
      </c>
    </row>
    <row r="233">
      <c r="A233" s="402">
        <f>IFERROR(__xludf.DUMMYFUNCTION("""COMPUTED_VALUE"""),44888.0)</f>
        <v>44888</v>
      </c>
      <c r="B233" s="368" t="str">
        <f>IFERROR(__xludf.DUMMYFUNCTION("""COMPUTED_VALUE"""),"Tier 2")</f>
        <v>Tier 2</v>
      </c>
      <c r="C233" s="368" t="str">
        <f>IFERROR(__xludf.DUMMYFUNCTION("""COMPUTED_VALUE"""),"Gulf News")</f>
        <v>Gulf News</v>
      </c>
      <c r="D233" s="368" t="str">
        <f>IFERROR(__xludf.DUMMYFUNCTION("""COMPUTED_VALUE"""),"Dubai home rent increases could cool if 'star rating' for buildings determines Rental Index")</f>
        <v>Dubai home rent increases could cool if 'star rating' for buildings determines Rental Index</v>
      </c>
      <c r="E233" s="507" t="str">
        <f>IFERROR(__xludf.DUMMYFUNCTION("""COMPUTED_VALUE"""),"https://gulfnews.com/business/property/dubai-home-rent-increases-could-cool-if-star-rating-for-buildings-determines-rental-index-1.1669176870570")</f>
        <v>https://gulfnews.com/business/property/dubai-home-rent-increases-could-cool-if-star-rating-for-buildings-determines-rental-index-1.1669176870570</v>
      </c>
      <c r="F233" s="368" t="str">
        <f>IFERROR(__xludf.DUMMYFUNCTION("""COMPUTED_VALUE"""),"Betterhomes")</f>
        <v>Betterhomes</v>
      </c>
    </row>
    <row r="234">
      <c r="A234" s="402">
        <f>IFERROR(__xludf.DUMMYFUNCTION("""COMPUTED_VALUE"""),44890.0)</f>
        <v>44890</v>
      </c>
      <c r="B234" s="368" t="str">
        <f>IFERROR(__xludf.DUMMYFUNCTION("""COMPUTED_VALUE"""),"Tier 2")</f>
        <v>Tier 2</v>
      </c>
      <c r="C234" s="368" t="str">
        <f>IFERROR(__xludf.DUMMYFUNCTION("""COMPUTED_VALUE"""),"Zawya")</f>
        <v>Zawya</v>
      </c>
      <c r="D234" s="368" t="str">
        <f>IFERROR(__xludf.DUMMYFUNCTION("""COMPUTED_VALUE"""),"Short-stay rentals heat up in Dubai thanks to World Cup")</f>
        <v>Short-stay rentals heat up in Dubai thanks to World Cup</v>
      </c>
      <c r="E234" s="507" t="str">
        <f>IFERROR(__xludf.DUMMYFUNCTION("""COMPUTED_VALUE"""),"https://www.zawya.com/en/multimedia/videos/short-stay-rentals-heat-up-in-dubai-thanks-to-world-cup-hk0q0adz")</f>
        <v>https://www.zawya.com/en/multimedia/videos/short-stay-rentals-heat-up-in-dubai-thanks-to-world-cup-hk0q0adz</v>
      </c>
      <c r="F234" s="368" t="str">
        <f>IFERROR(__xludf.DUMMYFUNCTION("""COMPUTED_VALUE"""),"BetterStay")</f>
        <v>BetterStay</v>
      </c>
    </row>
    <row r="235">
      <c r="A235" s="402">
        <f>IFERROR(__xludf.DUMMYFUNCTION("""COMPUTED_VALUE"""),44890.0)</f>
        <v>44890</v>
      </c>
      <c r="B235" s="368" t="str">
        <f>IFERROR(__xludf.DUMMYFUNCTION("""COMPUTED_VALUE"""),"Tier 2")</f>
        <v>Tier 2</v>
      </c>
      <c r="C235" s="368" t="str">
        <f>IFERROR(__xludf.DUMMYFUNCTION("""COMPUTED_VALUE"""),"Zawya YouTube")</f>
        <v>Zawya YouTube</v>
      </c>
      <c r="D235" s="368" t="str">
        <f>IFERROR(__xludf.DUMMYFUNCTION("""COMPUTED_VALUE"""),"Short-stay rentals heat up in Dubai thanks to World Cup")</f>
        <v>Short-stay rentals heat up in Dubai thanks to World Cup</v>
      </c>
      <c r="E235" s="507" t="str">
        <f>IFERROR(__xludf.DUMMYFUNCTION("""COMPUTED_VALUE"""),"https://www.youtube.com/watch?v=Na8U_eNGIJQ")</f>
        <v>https://www.youtube.com/watch?v=Na8U_eNGIJQ</v>
      </c>
      <c r="F235" s="368" t="str">
        <f>IFERROR(__xludf.DUMMYFUNCTION("""COMPUTED_VALUE"""),"BetterStay")</f>
        <v>BetterStay</v>
      </c>
    </row>
    <row r="236">
      <c r="A236" s="402">
        <f>IFERROR(__xludf.DUMMYFUNCTION("""COMPUTED_VALUE"""),44897.0)</f>
        <v>44897</v>
      </c>
      <c r="B236" s="368" t="str">
        <f>IFERROR(__xludf.DUMMYFUNCTION("""COMPUTED_VALUE"""),"Tier 3")</f>
        <v>Tier 3</v>
      </c>
      <c r="C236" s="368" t="str">
        <f>IFERROR(__xludf.DUMMYFUNCTION("""COMPUTED_VALUE"""),"DC News (Romania)")</f>
        <v>DC News (Romania)</v>
      </c>
      <c r="D236" s="368" t="str">
        <f>IFERROR(__xludf.DUMMYFUNCTION("""COMPUTED_VALUE"""),"The New House program continues in 2023. Good news for Romanians who want to buy a home. How many guarantees were given in 2022")</f>
        <v>The New House program continues in 2023. Good news for Romanians who want to buy a home. How many guarantees were given in 2022</v>
      </c>
      <c r="E236" s="507" t="str">
        <f>IFERROR(__xludf.DUMMYFUNCTION("""COMPUTED_VALUE"""),"https://www.dcnews.ro/programul-noua-casa-continua-si-in-2023-vesti-bune-pentru-romanii-care-vor-sa-isi-cumpere-o-locuinta-cate-garantii-s-au-dat-in-2022_897305.html")</f>
        <v>https://www.dcnews.ro/programul-noua-casa-continua-si-in-2023-vesti-bune-pentru-romanii-care-vor-sa-isi-cumpere-o-locuinta-cate-garantii-s-au-dat-in-2022_897305.html</v>
      </c>
      <c r="F236" s="368" t="str">
        <f>IFERROR(__xludf.DUMMYFUNCTION("""COMPUTED_VALUE"""),"Betterhomes")</f>
        <v>Betterhomes</v>
      </c>
    </row>
    <row r="237">
      <c r="A237" s="402">
        <f>IFERROR(__xludf.DUMMYFUNCTION("""COMPUTED_VALUE"""),44902.0)</f>
        <v>44902</v>
      </c>
      <c r="B237" s="368" t="str">
        <f>IFERROR(__xludf.DUMMYFUNCTION("""COMPUTED_VALUE"""),"Tier 3")</f>
        <v>Tier 3</v>
      </c>
      <c r="C237" s="368" t="str">
        <f>IFERROR(__xludf.DUMMYFUNCTION("""COMPUTED_VALUE"""),"Investing.com  (Russia)")</f>
        <v>Investing.com  (Russia)</v>
      </c>
      <c r="D237" s="368" t="str">
        <f>IFERROR(__xludf.DUMMYFUNCTION("""COMPUTED_VALUE"""),"Investing in Dubai real estate: what realtors won't tell you")</f>
        <v>Investing in Dubai real estate: what realtors won't tell you</v>
      </c>
      <c r="E237" s="507" t="str">
        <f>IFERROR(__xludf.DUMMYFUNCTION("""COMPUTED_VALUE"""),"https://ru.investing.com/analysis/article-200298866")</f>
        <v>https://ru.investing.com/analysis/article-200298866</v>
      </c>
      <c r="F237" s="368" t="str">
        <f>IFERROR(__xludf.DUMMYFUNCTION("""COMPUTED_VALUE"""),"Betterhomes")</f>
        <v>Betterhomes</v>
      </c>
    </row>
    <row r="238">
      <c r="A238" s="402">
        <f>IFERROR(__xludf.DUMMYFUNCTION("""COMPUTED_VALUE"""),44902.0)</f>
        <v>44902</v>
      </c>
      <c r="B238" s="368" t="str">
        <f>IFERROR(__xludf.DUMMYFUNCTION("""COMPUTED_VALUE"""),"Tier 2")</f>
        <v>Tier 2</v>
      </c>
      <c r="C238" s="368" t="str">
        <f>IFERROR(__xludf.DUMMYFUNCTION("""COMPUTED_VALUE"""),"Al Arabiya")</f>
        <v>Al Arabiya</v>
      </c>
      <c r="D238" s="368" t="str">
        <f>IFERROR(__xludf.DUMMYFUNCTION("""COMPUTED_VALUE"""),"Dubai residents forced to move as soaring rents ‘far outstrip’ salary increases")</f>
        <v>Dubai residents forced to move as soaring rents ‘far outstrip’ salary increases</v>
      </c>
      <c r="E238" s="507" t="str">
        <f>IFERROR(__xludf.DUMMYFUNCTION("""COMPUTED_VALUE"""),"https://english.alarabiya.net/features/2022/12/07/DNP-Dubai-residents-forced-to-move-as-soaring-rents-far-outstrip-salary-increases-")</f>
        <v>https://english.alarabiya.net/features/2022/12/07/DNP-Dubai-residents-forced-to-move-as-soaring-rents-far-outstrip-salary-increases-</v>
      </c>
      <c r="F238" s="368" t="str">
        <f>IFERROR(__xludf.DUMMYFUNCTION("""COMPUTED_VALUE"""),"Betterhomes")</f>
        <v>Betterhomes</v>
      </c>
    </row>
    <row r="239">
      <c r="A239" s="402">
        <f>IFERROR(__xludf.DUMMYFUNCTION("""COMPUTED_VALUE"""),44921.0)</f>
        <v>44921</v>
      </c>
      <c r="B239" s="368" t="str">
        <f>IFERROR(__xludf.DUMMYFUNCTION("""COMPUTED_VALUE"""),"Tier 2")</f>
        <v>Tier 2</v>
      </c>
      <c r="C239" s="368" t="str">
        <f>IFERROR(__xludf.DUMMYFUNCTION("""COMPUTED_VALUE"""),"Khaleej Times")</f>
        <v>Khaleej Times</v>
      </c>
      <c r="D239" s="368" t="str">
        <f>IFERROR(__xludf.DUMMYFUNCTION("""COMPUTED_VALUE"""),"Dubai: Most affordable areas as rents set to rise further in 2023")</f>
        <v>Dubai: Most affordable areas as rents set to rise further in 2023</v>
      </c>
      <c r="E239" s="507" t="str">
        <f>IFERROR(__xludf.DUMMYFUNCTION("""COMPUTED_VALUE"""),"https://www.khaleejtimes.com/business/property/dubai-most-affordable-areas-as-rents-set-to-rise-further-in-2023?_refresh=true")</f>
        <v>https://www.khaleejtimes.com/business/property/dubai-most-affordable-areas-as-rents-set-to-rise-further-in-2023?_refresh=true</v>
      </c>
      <c r="F239" s="368" t="str">
        <f>IFERROR(__xludf.DUMMYFUNCTION("""COMPUTED_VALUE"""),"Betterhomes")</f>
        <v>Betterhomes</v>
      </c>
    </row>
    <row r="240">
      <c r="A240" s="402">
        <f>IFERROR(__xludf.DUMMYFUNCTION("""COMPUTED_VALUE"""),44921.0)</f>
        <v>44921</v>
      </c>
      <c r="B240" s="368" t="str">
        <f>IFERROR(__xludf.DUMMYFUNCTION("""COMPUTED_VALUE"""),"Tier 2")</f>
        <v>Tier 2</v>
      </c>
      <c r="C240" s="368" t="str">
        <f>IFERROR(__xludf.DUMMYFUNCTION("""COMPUTED_VALUE"""),"Zawya")</f>
        <v>Zawya</v>
      </c>
      <c r="D240" s="368" t="str">
        <f>IFERROR(__xludf.DUMMYFUNCTION("""COMPUTED_VALUE"""),"Dubai: Most affordable areas as rents set to rise further in 2023")</f>
        <v>Dubai: Most affordable areas as rents set to rise further in 2023</v>
      </c>
      <c r="E240" s="507" t="str">
        <f>IFERROR(__xludf.DUMMYFUNCTION("""COMPUTED_VALUE"""),"https://www.zawya.com/en/business/real-estate/dubai-most-affordable-areas-as-rents-set-to-rise-further-in-2023-iki3ms8s")</f>
        <v>https://www.zawya.com/en/business/real-estate/dubai-most-affordable-areas-as-rents-set-to-rise-further-in-2023-iki3ms8s</v>
      </c>
      <c r="F240" s="368" t="str">
        <f>IFERROR(__xludf.DUMMYFUNCTION("""COMPUTED_VALUE"""),"Betterhomes")</f>
        <v>Betterhomes</v>
      </c>
    </row>
    <row r="241">
      <c r="A241" s="402">
        <f>IFERROR(__xludf.DUMMYFUNCTION("""COMPUTED_VALUE"""),44925.0)</f>
        <v>44925</v>
      </c>
      <c r="B241" s="368" t="str">
        <f>IFERROR(__xludf.DUMMYFUNCTION("""COMPUTED_VALUE"""),"Tier 2")</f>
        <v>Tier 2</v>
      </c>
      <c r="C241" s="368" t="str">
        <f>IFERROR(__xludf.DUMMYFUNCTION("""COMPUTED_VALUE"""),"The National ")</f>
        <v>The National </v>
      </c>
      <c r="D241" s="368" t="str">
        <f>IFERROR(__xludf.DUMMYFUNCTION("""COMPUTED_VALUE"""),"What would you do if you won Dh200m?")</f>
        <v>What would you do if you won Dh200m?</v>
      </c>
      <c r="E241" s="507" t="str">
        <f>IFERROR(__xludf.DUMMYFUNCTION("""COMPUTED_VALUE"""),"https://www.thenationalnews.com/business/money/2022/12/30/what-would-you-do-if-you-won-dh200m/")</f>
        <v>https://www.thenationalnews.com/business/money/2022/12/30/what-would-you-do-if-you-won-dh200m/</v>
      </c>
      <c r="F241" s="368" t="str">
        <f>IFERROR(__xludf.DUMMYFUNCTION("""COMPUTED_VALUE"""),"Betterhomes")</f>
        <v>Betterhomes</v>
      </c>
    </row>
    <row r="242">
      <c r="A242" s="402">
        <f>IFERROR(__xludf.DUMMYFUNCTION("""COMPUTED_VALUE"""),44925.0)</f>
        <v>44925</v>
      </c>
      <c r="B242" s="368" t="str">
        <f>IFERROR(__xludf.DUMMYFUNCTION("""COMPUTED_VALUE"""),"Tier 2")</f>
        <v>Tier 2</v>
      </c>
      <c r="C242" s="368" t="str">
        <f>IFERROR(__xludf.DUMMYFUNCTION("""COMPUTED_VALUE"""),"The National ")</f>
        <v>The National </v>
      </c>
      <c r="D242" s="368" t="str">
        <f>IFERROR(__xludf.DUMMYFUNCTION("""COMPUTED_VALUE"""),"How will Dubai and Abu Dhabi property markets perform in 2023?")</f>
        <v>How will Dubai and Abu Dhabi property markets perform in 2023?</v>
      </c>
      <c r="E242" s="507" t="str">
        <f>IFERROR(__xludf.DUMMYFUNCTION("""COMPUTED_VALUE"""),"https://www.thenationalnews.com/business/property/2022/12/28/how-will-dubai-and-abu-dhabi-property-markets-perform-in-2023/")</f>
        <v>https://www.thenationalnews.com/business/property/2022/12/28/how-will-dubai-and-abu-dhabi-property-markets-perform-in-2023/</v>
      </c>
      <c r="F242" s="368" t="str">
        <f>IFERROR(__xludf.DUMMYFUNCTION("""COMPUTED_VALUE"""),"Betterhomes")</f>
        <v>Betterhomes</v>
      </c>
    </row>
    <row r="243">
      <c r="A243" s="402">
        <f>IFERROR(__xludf.DUMMYFUNCTION("""COMPUTED_VALUE"""),44925.0)</f>
        <v>44925</v>
      </c>
      <c r="B243" s="368" t="str">
        <f>IFERROR(__xludf.DUMMYFUNCTION("""COMPUTED_VALUE"""),"Tier 2")</f>
        <v>Tier 2</v>
      </c>
      <c r="C243" s="368" t="str">
        <f>IFERROR(__xludf.DUMMYFUNCTION("""COMPUTED_VALUE"""),"The National ")</f>
        <v>The National </v>
      </c>
      <c r="D243" s="368" t="str">
        <f>IFERROR(__xludf.DUMMYFUNCTION("""COMPUTED_VALUE"""),"Can the Dubai real estate market defy a global downturn in 2023?")</f>
        <v>Can the Dubai real estate market defy a global downturn in 2023?</v>
      </c>
      <c r="E243" s="507" t="str">
        <f>IFERROR(__xludf.DUMMYFUNCTION("""COMPUTED_VALUE"""),"https://www.thenationalnews.com/weekend/2022/12/30/can-the-dubai-real-estate-market-outrun-a-global-downturn-in-2023/")</f>
        <v>https://www.thenationalnews.com/weekend/2022/12/30/can-the-dubai-real-estate-market-outrun-a-global-downturn-in-2023/</v>
      </c>
      <c r="F243" s="368" t="str">
        <f>IFERROR(__xludf.DUMMYFUNCTION("""COMPUTED_VALUE"""),"Betterhomes")</f>
        <v>Betterhomes</v>
      </c>
    </row>
    <row r="244">
      <c r="A244" s="402">
        <f>IFERROR(__xludf.DUMMYFUNCTION("""COMPUTED_VALUE"""),44926.0)</f>
        <v>44926</v>
      </c>
      <c r="B244" s="368" t="str">
        <f>IFERROR(__xludf.DUMMYFUNCTION("""COMPUTED_VALUE"""),"Tier 2")</f>
        <v>Tier 2</v>
      </c>
      <c r="C244" s="368" t="str">
        <f>IFERROR(__xludf.DUMMYFUNCTION("""COMPUTED_VALUE"""),"Gulf News")</f>
        <v>Gulf News</v>
      </c>
      <c r="D244" s="368" t="str">
        <f>IFERROR(__xludf.DUMMYFUNCTION("""COMPUTED_VALUE"""),"UAE Corporate Tax: Businesses have some early preparations to do")</f>
        <v>UAE Corporate Tax: Businesses have some early preparations to do</v>
      </c>
      <c r="E244" s="507" t="str">
        <f>IFERROR(__xludf.DUMMYFUNCTION("""COMPUTED_VALUE"""),"https://gulfnews.com/business/analysis/uae-corporate-tax-businesses-have-some-early-preparations-to-do-1.92961154")</f>
        <v>https://gulfnews.com/business/analysis/uae-corporate-tax-businesses-have-some-early-preparations-to-do-1.92961154</v>
      </c>
      <c r="F244" s="368" t="str">
        <f>IFERROR(__xludf.DUMMYFUNCTION("""COMPUTED_VALUE"""),"OpenHub")</f>
        <v>OpenHub</v>
      </c>
    </row>
    <row r="245">
      <c r="A245" s="402">
        <f>IFERROR(__xludf.DUMMYFUNCTION("""COMPUTED_VALUE"""),44942.0)</f>
        <v>44942</v>
      </c>
      <c r="B245" s="368" t="str">
        <f>IFERROR(__xludf.DUMMYFUNCTION("""COMPUTED_VALUE"""),"Tier 3")</f>
        <v>Tier 3</v>
      </c>
      <c r="C245" s="368" t="str">
        <f>IFERROR(__xludf.DUMMYFUNCTION("""COMPUTED_VALUE"""),"Manager (Bulgaria)")</f>
        <v>Manager (Bulgaria)</v>
      </c>
      <c r="D245" s="368" t="str">
        <f>IFERROR(__xludf.DUMMYFUNCTION("""COMPUTED_VALUE"""),"Russians have become the biggest buyers of luxury properties in Dubai")</f>
        <v>Russians have become the biggest buyers of luxury properties in Dubai</v>
      </c>
      <c r="E245" s="507" t="str">
        <f>IFERROR(__xludf.DUMMYFUNCTION("""COMPUTED_VALUE"""),"https://manager.bg/%D0%B1%D0%B8%D0%B7%D0%BD%D0%B5%D1%81/rusnacite-stanaha-nai-golemite-kupuvachi-na-luksozni-imoti-v-dubai")</f>
        <v>https://manager.bg/%D0%B1%D0%B8%D0%B7%D0%BD%D0%B5%D1%81/rusnacite-stanaha-nai-golemite-kupuvachi-na-luksozni-imoti-v-dubai</v>
      </c>
      <c r="F245" s="368" t="str">
        <f>IFERROR(__xludf.DUMMYFUNCTION("""COMPUTED_VALUE"""),"Betterhomes")</f>
        <v>Betterhomes</v>
      </c>
    </row>
    <row r="246">
      <c r="A246" s="402">
        <f>IFERROR(__xludf.DUMMYFUNCTION("""COMPUTED_VALUE"""),44942.0)</f>
        <v>44942</v>
      </c>
      <c r="B246" s="368" t="str">
        <f>IFERROR(__xludf.DUMMYFUNCTION("""COMPUTED_VALUE"""),"Tier 3")</f>
        <v>Tier 3</v>
      </c>
      <c r="C246" s="368" t="str">
        <f>IFERROR(__xludf.DUMMYFUNCTION("""COMPUTED_VALUE"""),"Titulares (Spain)")</f>
        <v>Titulares (Spain)</v>
      </c>
      <c r="D246" s="368" t="str">
        <f>IFERROR(__xludf.DUMMYFUNCTION("""COMPUTED_VALUE"""),"Dubai reaches record number of real estate transactions of more than $143,000 million after years of crisis")</f>
        <v>Dubai reaches record number of real estate transactions of more than $143,000 million after years of crisis</v>
      </c>
      <c r="E246" s="507" t="str">
        <f>IFERROR(__xludf.DUMMYFUNCTION("""COMPUTED_VALUE"""),"https://titulares.ar/dubai-alcanza-cifra-record-de-transacciones-inmobiliarias-de-mas-de-143-000-millones-tras-anos-de-crisis/")</f>
        <v>https://titulares.ar/dubai-alcanza-cifra-record-de-transacciones-inmobiliarias-de-mas-de-143-000-millones-tras-anos-de-crisis/</v>
      </c>
      <c r="F246" s="368" t="str">
        <f>IFERROR(__xludf.DUMMYFUNCTION("""COMPUTED_VALUE"""),"Betterhomes")</f>
        <v>Betterhomes</v>
      </c>
    </row>
    <row r="247">
      <c r="A247" s="402">
        <f>IFERROR(__xludf.DUMMYFUNCTION("""COMPUTED_VALUE"""),44942.0)</f>
        <v>44942</v>
      </c>
      <c r="B247" s="368" t="str">
        <f>IFERROR(__xludf.DUMMYFUNCTION("""COMPUTED_VALUE"""),"Tier 3")</f>
        <v>Tier 3</v>
      </c>
      <c r="C247" s="368" t="str">
        <f>IFERROR(__xludf.DUMMYFUNCTION("""COMPUTED_VALUE"""),"Foco (Spain)")</f>
        <v>Foco (Spain)</v>
      </c>
      <c r="D247" s="368" t="str">
        <f>IFERROR(__xludf.DUMMYFUNCTION("""COMPUTED_VALUE"""),"Why did Dubai achieve record real estate transactions in 2022?")</f>
        <v>Why did Dubai achieve record real estate transactions in 2022?</v>
      </c>
      <c r="E247" s="507" t="str">
        <f>IFERROR(__xludf.DUMMYFUNCTION("""COMPUTED_VALUE"""),"https://foco.lanacion.com.py/2023/01/16/por-que-dubai-logro-record-de-transacciones-inmobiliarias-en-2022/")</f>
        <v>https://foco.lanacion.com.py/2023/01/16/por-que-dubai-logro-record-de-transacciones-inmobiliarias-en-2022/</v>
      </c>
      <c r="F247" s="368" t="str">
        <f>IFERROR(__xludf.DUMMYFUNCTION("""COMPUTED_VALUE"""),"Betterhomes")</f>
        <v>Betterhomes</v>
      </c>
    </row>
    <row r="248">
      <c r="A248" s="402">
        <f>IFERROR(__xludf.DUMMYFUNCTION("""COMPUTED_VALUE"""),44942.0)</f>
        <v>44942</v>
      </c>
      <c r="B248" s="368" t="str">
        <f>IFERROR(__xludf.DUMMYFUNCTION("""COMPUTED_VALUE"""),"Tier 2")</f>
        <v>Tier 2</v>
      </c>
      <c r="C248" s="368" t="str">
        <f>IFERROR(__xludf.DUMMYFUNCTION("""COMPUTED_VALUE"""),"Arab News")</f>
        <v>Arab News</v>
      </c>
      <c r="D248" s="368" t="str">
        <f>IFERROR(__xludf.DUMMYFUNCTION("""COMPUTED_VALUE"""),"UAE In-Focus — US, UAE allocate $20bn to fund 15 GW of clean energy projects")</f>
        <v>UAE In-Focus — US, UAE allocate $20bn to fund 15 GW of clean energy projects</v>
      </c>
      <c r="E248" s="507" t="str">
        <f>IFERROR(__xludf.DUMMYFUNCTION("""COMPUTED_VALUE"""),"https://www.arabnews.com/node/2233301/business-economy")</f>
        <v>https://www.arabnews.com/node/2233301/business-economy</v>
      </c>
      <c r="F248" s="368" t="str">
        <f>IFERROR(__xludf.DUMMYFUNCTION("""COMPUTED_VALUE"""),"Betterhomes")</f>
        <v>Betterhomes</v>
      </c>
    </row>
    <row r="249">
      <c r="A249" s="402">
        <f>IFERROR(__xludf.DUMMYFUNCTION("""COMPUTED_VALUE"""),44942.0)</f>
        <v>44942</v>
      </c>
      <c r="B249" s="368" t="str">
        <f>IFERROR(__xludf.DUMMYFUNCTION("""COMPUTED_VALUE"""),"Tier 3")</f>
        <v>Tier 3</v>
      </c>
      <c r="C249" s="368" t="str">
        <f>IFERROR(__xludf.DUMMYFUNCTION("""COMPUTED_VALUE"""),"Dagens Industri (Sweeden)")</f>
        <v>Dagens Industri (Sweeden)</v>
      </c>
      <c r="D249" s="368" t="str">
        <f>IFERROR(__xludf.DUMMYFUNCTION("""COMPUTED_VALUE"""),"Russian money drugs Dubai's real estate market - reaches new record level")</f>
        <v>Russian money drugs Dubai's real estate market - reaches new record level</v>
      </c>
      <c r="E249" s="507" t="str">
        <f>IFERROR(__xludf.DUMMYFUNCTION("""COMPUTED_VALUE"""),"https://www.di.se/live/ryska-pengar-dopar-dubais-fastighetsmarknad-nar-ny-rekordniva/")</f>
        <v>https://www.di.se/live/ryska-pengar-dopar-dubais-fastighetsmarknad-nar-ny-rekordniva/</v>
      </c>
      <c r="F249" s="368" t="str">
        <f>IFERROR(__xludf.DUMMYFUNCTION("""COMPUTED_VALUE"""),"Betterhomes")</f>
        <v>Betterhomes</v>
      </c>
    </row>
    <row r="250">
      <c r="A250" s="402">
        <f>IFERROR(__xludf.DUMMYFUNCTION("""COMPUTED_VALUE"""),44942.0)</f>
        <v>44942</v>
      </c>
      <c r="B250" s="368" t="str">
        <f>IFERROR(__xludf.DUMMYFUNCTION("""COMPUTED_VALUE"""),"Tier 3")</f>
        <v>Tier 3</v>
      </c>
      <c r="C250" s="368" t="str">
        <f>IFERROR(__xludf.DUMMYFUNCTION("""COMPUTED_VALUE"""),"Finanzemarkt (Germany)")</f>
        <v>Finanzemarkt (Germany)</v>
      </c>
      <c r="D250" s="368" t="str">
        <f>IFERROR(__xludf.DUMMYFUNCTION("""COMPUTED_VALUE"""),"Real estate: That's how massive Russian money is pouring into Dubai")</f>
        <v>Real estate: That's how massive Russian money is pouring into Dubai</v>
      </c>
      <c r="E250" s="507" t="str">
        <f>IFERROR(__xludf.DUMMYFUNCTION("""COMPUTED_VALUE"""),"https://finanzmarktwelt.de/immobilien-so-massiv-stroemt-russisches-geld-nach-dubai-258253/")</f>
        <v>https://finanzmarktwelt.de/immobilien-so-massiv-stroemt-russisches-geld-nach-dubai-258253/</v>
      </c>
      <c r="F250" s="368" t="str">
        <f>IFERROR(__xludf.DUMMYFUNCTION("""COMPUTED_VALUE"""),"Betterhomes")</f>
        <v>Betterhomes</v>
      </c>
    </row>
    <row r="251">
      <c r="A251" s="402">
        <f>IFERROR(__xludf.DUMMYFUNCTION("""COMPUTED_VALUE"""),44942.0)</f>
        <v>44942</v>
      </c>
      <c r="B251" s="368" t="str">
        <f>IFERROR(__xludf.DUMMYFUNCTION("""COMPUTED_VALUE"""),"Tier 3")</f>
        <v>Tier 3</v>
      </c>
      <c r="C251" s="368" t="str">
        <f>IFERROR(__xludf.DUMMYFUNCTION("""COMPUTED_VALUE"""),"Il Matinno (Italy)")</f>
        <v>Il Matinno (Italy)</v>
      </c>
      <c r="D251" s="368" t="str">
        <f>IFERROR(__xludf.DUMMYFUNCTION("""COMPUTED_VALUE"""),"Abramovich, Rybolovlev and the others: the anti-sanctions moves. Here's how (and how much) Russian oligarchs invest in Dubai")</f>
        <v>Abramovich, Rybolovlev and the others: the anti-sanctions moves. Here's how (and how much) Russian oligarchs invest in Dubai</v>
      </c>
      <c r="E251" s="507" t="str">
        <f>IFERROR(__xludf.DUMMYFUNCTION("""COMPUTED_VALUE"""),"https://www.ilmattino.it/primopiano/esteri/abramovich_oligarchi_russi_investimenti_dubai_cosa_sta_succedendo-7173231.html")</f>
        <v>https://www.ilmattino.it/primopiano/esteri/abramovich_oligarchi_russi_investimenti_dubai_cosa_sta_succedendo-7173231.html</v>
      </c>
      <c r="F251" s="368" t="str">
        <f>IFERROR(__xludf.DUMMYFUNCTION("""COMPUTED_VALUE"""),"Betterhomes")</f>
        <v>Betterhomes</v>
      </c>
    </row>
    <row r="252">
      <c r="A252" s="402">
        <f>IFERROR(__xludf.DUMMYFUNCTION("""COMPUTED_VALUE"""),44942.0)</f>
        <v>44942</v>
      </c>
      <c r="B252" s="368" t="str">
        <f>IFERROR(__xludf.DUMMYFUNCTION("""COMPUTED_VALUE"""),"Tier 1")</f>
        <v>Tier 1</v>
      </c>
      <c r="C252" s="368" t="str">
        <f>IFERROR(__xludf.DUMMYFUNCTION("""COMPUTED_VALUE"""),"Forbes (Ukarain)")</f>
        <v>Forbes (Ukarain)</v>
      </c>
      <c r="D252" s="368" t="str">
        <f>IFERROR(__xludf.DUMMYFUNCTION("""COMPUTED_VALUE"""),"Property sales in Dubai have risen to a record high due to an increase in the number of buyers from Russia ")</f>
        <v>Property sales in Dubai have risen to a record high due to an increase in the number of buyers from Russia </v>
      </c>
      <c r="E252" s="507" t="str">
        <f>IFERROR(__xludf.DUMMYFUNCTION("""COMPUTED_VALUE"""),"https://forbes.ua/news/prodazh-nerukhomosti-v-dubai-zris-do-rekordnogo-rivnya-cherez-zbilshennya-kilkosti-pokuptsiv-z-rosii-16012023-11091")</f>
        <v>https://forbes.ua/news/prodazh-nerukhomosti-v-dubai-zris-do-rekordnogo-rivnya-cherez-zbilshennya-kilkosti-pokuptsiv-z-rosii-16012023-11091</v>
      </c>
      <c r="F252" s="368" t="str">
        <f>IFERROR(__xludf.DUMMYFUNCTION("""COMPUTED_VALUE"""),"Betterhomes")</f>
        <v>Betterhomes</v>
      </c>
    </row>
    <row r="253">
      <c r="A253" s="402">
        <f>IFERROR(__xludf.DUMMYFUNCTION("""COMPUTED_VALUE"""),44942.0)</f>
        <v>44942</v>
      </c>
      <c r="B253" s="368" t="str">
        <f>IFERROR(__xludf.DUMMYFUNCTION("""COMPUTED_VALUE"""),"Tier 3")</f>
        <v>Tier 3</v>
      </c>
      <c r="C253" s="368" t="str">
        <f>IFERROR(__xludf.DUMMYFUNCTION("""COMPUTED_VALUE"""),"Kumparan (Indonasia)")</f>
        <v>Kumparan (Indonasia)</v>
      </c>
      <c r="D253" s="368" t="str">
        <f>IFERROR(__xludf.DUMMYFUNCTION("""COMPUTED_VALUE"""),"Property Prices in Dubai Expected to Slow Down in 2023")</f>
        <v>Property Prices in Dubai Expected to Slow Down in 2023</v>
      </c>
      <c r="E253" s="507" t="str">
        <f>IFERROR(__xludf.DUMMYFUNCTION("""COMPUTED_VALUE"""),"https://kumparan.com/kabar-bisnis/harga-properti-di-dubai-diperkirakan-melambat-di-2023-1zeDE6UsPlZ?ref=register")</f>
        <v>https://kumparan.com/kabar-bisnis/harga-properti-di-dubai-diperkirakan-melambat-di-2023-1zeDE6UsPlZ?ref=register</v>
      </c>
      <c r="F253" s="368" t="str">
        <f>IFERROR(__xludf.DUMMYFUNCTION("""COMPUTED_VALUE"""),"Betterhomes")</f>
        <v>Betterhomes</v>
      </c>
    </row>
    <row r="254">
      <c r="A254" s="402">
        <f>IFERROR(__xludf.DUMMYFUNCTION("""COMPUTED_VALUE"""),44942.0)</f>
        <v>44942</v>
      </c>
      <c r="B254" s="368" t="str">
        <f>IFERROR(__xludf.DUMMYFUNCTION("""COMPUTED_VALUE"""),"Tier 1")</f>
        <v>Tier 1</v>
      </c>
      <c r="C254" s="368" t="str">
        <f>IFERROR(__xludf.DUMMYFUNCTION("""COMPUTED_VALUE"""),"Forbes (Russia)")</f>
        <v>Forbes (Russia)</v>
      </c>
      <c r="D254" s="368" t="str">
        <f>IFERROR(__xludf.DUMMYFUNCTION("""COMPUTED_VALUE"""),"Property sales in Dubai rise to record levels due to increased number of buyers from Russia")</f>
        <v>Property sales in Dubai rise to record levels due to increased number of buyers from Russia</v>
      </c>
      <c r="E254" s="507" t="str">
        <f>IFERROR(__xludf.DUMMYFUNCTION("""COMPUTED_VALUE"""),"https://forbes.ua/ru/news/prodazh-nerukhomosti-v-dubai-zris-do-rekordnogo-rivnya-cherez-zbilshennya-kilkosti-pokuptsiv-z-rosii-16012023-11091")</f>
        <v>https://forbes.ua/ru/news/prodazh-nerukhomosti-v-dubai-zris-do-rekordnogo-rivnya-cherez-zbilshennya-kilkosti-pokuptsiv-z-rosii-16012023-11091</v>
      </c>
      <c r="F254" s="368" t="str">
        <f>IFERROR(__xludf.DUMMYFUNCTION("""COMPUTED_VALUE"""),"Betterhomes")</f>
        <v>Betterhomes</v>
      </c>
    </row>
    <row r="255">
      <c r="A255" s="402">
        <f>IFERROR(__xludf.DUMMYFUNCTION("""COMPUTED_VALUE"""),44942.0)</f>
        <v>44942</v>
      </c>
      <c r="B255" s="368" t="str">
        <f>IFERROR(__xludf.DUMMYFUNCTION("""COMPUTED_VALUE"""),"Tier 3")</f>
        <v>Tier 3</v>
      </c>
      <c r="C255" s="368" t="str">
        <f>IFERROR(__xludf.DUMMYFUNCTION("""COMPUTED_VALUE"""),"Profit (Romania)")</f>
        <v>Profit (Romania)</v>
      </c>
      <c r="D255" s="368" t="str">
        <f>IFERROR(__xludf.DUMMYFUNCTION("""COMPUTED_VALUE"""),"Property price growth in Dubai may slow down")</f>
        <v>Property price growth in Dubai may slow down</v>
      </c>
      <c r="E255" s="507" t="str">
        <f>IFERROR(__xludf.DUMMYFUNCTION("""COMPUTED_VALUE"""),"https://www.profit.ro/povesti-cu-profit/real-estate-constructii/cresterea-preturilor-proprietatilor-imobiliare-din-dubai-ar-putea-incetini-20983668")</f>
        <v>https://www.profit.ro/povesti-cu-profit/real-estate-constructii/cresterea-preturilor-proprietatilor-imobiliare-din-dubai-ar-putea-incetini-20983668</v>
      </c>
      <c r="F255" s="368" t="str">
        <f>IFERROR(__xludf.DUMMYFUNCTION("""COMPUTED_VALUE"""),"Betterhomes")</f>
        <v>Betterhomes</v>
      </c>
    </row>
    <row r="256">
      <c r="A256" s="402">
        <f>IFERROR(__xludf.DUMMYFUNCTION("""COMPUTED_VALUE"""),44942.0)</f>
        <v>44942</v>
      </c>
      <c r="B256" s="368" t="str">
        <f>IFERROR(__xludf.DUMMYFUNCTION("""COMPUTED_VALUE"""),"Tier 3")</f>
        <v>Tier 3</v>
      </c>
      <c r="C256" s="368" t="str">
        <f>IFERROR(__xludf.DUMMYFUNCTION("""COMPUTED_VALUE"""),"Market Screener (Netherlands)")</f>
        <v>Market Screener (Netherlands)</v>
      </c>
      <c r="D256" s="368" t="str">
        <f>IFERROR(__xludf.DUMMYFUNCTION("""COMPUTED_VALUE"""),"Dubai real estate price rise further slowed in 2023 - Betterhomes")</f>
        <v>Dubai real estate price rise further slowed in 2023 - Betterhomes</v>
      </c>
      <c r="E256" s="507" t="str">
        <f>IFERROR(__xludf.DUMMYFUNCTION("""COMPUTED_VALUE"""),"https://nl.marketscreener.com/beursnieuws/laatste/Prijsstijging-vastgoed-Dubai-verder-vertraagd-in-2023-Betterhomes--42738330/")</f>
        <v>https://nl.marketscreener.com/beursnieuws/laatste/Prijsstijging-vastgoed-Dubai-verder-vertraagd-in-2023-Betterhomes--42738330/</v>
      </c>
      <c r="F256" s="368" t="str">
        <f>IFERROR(__xludf.DUMMYFUNCTION("""COMPUTED_VALUE"""),"Betterhomes")</f>
        <v>Betterhomes</v>
      </c>
    </row>
    <row r="257">
      <c r="A257" s="402">
        <f>IFERROR(__xludf.DUMMYFUNCTION("""COMPUTED_VALUE"""),44942.0)</f>
        <v>44942</v>
      </c>
      <c r="B257" s="368" t="str">
        <f>IFERROR(__xludf.DUMMYFUNCTION("""COMPUTED_VALUE"""),"Tier 3")</f>
        <v>Tier 3</v>
      </c>
      <c r="C257" s="368" t="str">
        <f>IFERROR(__xludf.DUMMYFUNCTION("""COMPUTED_VALUE"""),"Finansavisen (Norway)")</f>
        <v>Finansavisen (Norway)</v>
      </c>
      <c r="D257" s="368" t="str">
        <f>IFERROR(__xludf.DUMMYFUNCTION("""COMPUTED_VALUE"""),"The Russians contributed to a new record")</f>
        <v>The Russians contributed to a new record</v>
      </c>
      <c r="E257" s="507" t="str">
        <f>IFERROR(__xludf.DUMMYFUNCTION("""COMPUTED_VALUE"""),"https://www.finansavisen.no/bolig/2023/01/16/7977177/russerne-bidro-til-ny-rekord?zephr_sso_ott=Ltz99Z")</f>
        <v>https://www.finansavisen.no/bolig/2023/01/16/7977177/russerne-bidro-til-ny-rekord?zephr_sso_ott=Ltz99Z</v>
      </c>
      <c r="F257" s="368" t="str">
        <f>IFERROR(__xludf.DUMMYFUNCTION("""COMPUTED_VALUE"""),"Betterhomes")</f>
        <v>Betterhomes</v>
      </c>
    </row>
    <row r="258">
      <c r="A258" s="402">
        <f>IFERROR(__xludf.DUMMYFUNCTION("""COMPUTED_VALUE"""),44942.0)</f>
        <v>44942</v>
      </c>
      <c r="B258" s="368" t="str">
        <f>IFERROR(__xludf.DUMMYFUNCTION("""COMPUTED_VALUE"""),"Tier 3")</f>
        <v>Tier 3</v>
      </c>
      <c r="C258" s="368" t="str">
        <f>IFERROR(__xludf.DUMMYFUNCTION("""COMPUTED_VALUE"""),"Samaa")</f>
        <v>Samaa</v>
      </c>
      <c r="D258" s="368" t="str">
        <f>IFERROR(__xludf.DUMMYFUNCTION("""COMPUTED_VALUE"""),"Dubai real estate transactions hit record high")</f>
        <v>Dubai real estate transactions hit record high</v>
      </c>
      <c r="E258" s="507" t="str">
        <f>IFERROR(__xludf.DUMMYFUNCTION("""COMPUTED_VALUE"""),"https://www.samaaenglish.tv/news/40025569")</f>
        <v>https://www.samaaenglish.tv/news/40025569</v>
      </c>
      <c r="F258" s="368" t="str">
        <f>IFERROR(__xludf.DUMMYFUNCTION("""COMPUTED_VALUE"""),"Betterhomes")</f>
        <v>Betterhomes</v>
      </c>
    </row>
    <row r="259">
      <c r="A259" s="402">
        <f>IFERROR(__xludf.DUMMYFUNCTION("""COMPUTED_VALUE"""),44942.0)</f>
        <v>44942</v>
      </c>
      <c r="B259" s="368" t="str">
        <f>IFERROR(__xludf.DUMMYFUNCTION("""COMPUTED_VALUE"""),"Tier 1")</f>
        <v>Tier 1</v>
      </c>
      <c r="C259" s="368" t="str">
        <f>IFERROR(__xludf.DUMMYFUNCTION("""COMPUTED_VALUE"""),"Bloomberg")</f>
        <v>Bloomberg</v>
      </c>
      <c r="D259" s="368" t="str">
        <f>IFERROR(__xludf.DUMMYFUNCTION("""COMPUTED_VALUE"""),"Egyptian Pound’s Dramatic Plunge")</f>
        <v>Egyptian Pound’s Dramatic Plunge</v>
      </c>
      <c r="E259" s="507" t="str">
        <f>IFERROR(__xludf.DUMMYFUNCTION("""COMPUTED_VALUE"""),"https://www.bloomberg.com/news/newsletters/2023-01-16/egypt-pound-s-egp-usd-plunge-dubai-s-housing-boom-erdogan-s-nato-moves")</f>
        <v>https://www.bloomberg.com/news/newsletters/2023-01-16/egypt-pound-s-egp-usd-plunge-dubai-s-housing-boom-erdogan-s-nato-moves</v>
      </c>
      <c r="F259" s="368" t="str">
        <f>IFERROR(__xludf.DUMMYFUNCTION("""COMPUTED_VALUE"""),"Betterhomes")</f>
        <v>Betterhomes</v>
      </c>
    </row>
    <row r="260">
      <c r="A260" s="402">
        <f>IFERROR(__xludf.DUMMYFUNCTION("""COMPUTED_VALUE"""),44942.0)</f>
        <v>44942</v>
      </c>
      <c r="B260" s="368" t="str">
        <f>IFERROR(__xludf.DUMMYFUNCTION("""COMPUTED_VALUE"""),"Tier 1")</f>
        <v>Tier 1</v>
      </c>
      <c r="C260" s="368" t="str">
        <f>IFERROR(__xludf.DUMMYFUNCTION("""COMPUTED_VALUE"""),"Bloomberg")</f>
        <v>Bloomberg</v>
      </c>
      <c r="D260" s="368" t="str">
        <f>IFERROR(__xludf.DUMMYFUNCTION("""COMPUTED_VALUE"""),"Dubai property deals surge 76% to $144bln in 2022")</f>
        <v>Dubai property deals surge 76% to $144bln in 2022</v>
      </c>
      <c r="E260" s="507" t="str">
        <f>IFERROR(__xludf.DUMMYFUNCTION("""COMPUTED_VALUE"""),"https://www.bloomberg.com/news/articles/2023-01-16/russian-buyers-help-to-propel-dubai-s-property-sales-to-record")</f>
        <v>https://www.bloomberg.com/news/articles/2023-01-16/russian-buyers-help-to-propel-dubai-s-property-sales-to-record</v>
      </c>
      <c r="F260" s="368" t="str">
        <f>IFERROR(__xludf.DUMMYFUNCTION("""COMPUTED_VALUE"""),"Betterhomes")</f>
        <v>Betterhomes</v>
      </c>
    </row>
    <row r="261">
      <c r="A261" s="402">
        <f>IFERROR(__xludf.DUMMYFUNCTION("""COMPUTED_VALUE"""),44942.0)</f>
        <v>44942</v>
      </c>
      <c r="B261" s="368" t="str">
        <f>IFERROR(__xludf.DUMMYFUNCTION("""COMPUTED_VALUE"""),"Tier 2")</f>
        <v>Tier 2</v>
      </c>
      <c r="C261" s="368" t="str">
        <f>IFERROR(__xludf.DUMMYFUNCTION("""COMPUTED_VALUE"""),"Zawya ")</f>
        <v>Zawya </v>
      </c>
      <c r="D261" s="368" t="str">
        <f>IFERROR(__xludf.DUMMYFUNCTION("""COMPUTED_VALUE"""),"Dubai property price rises seen slowing further in 2023 - Betterhomes")</f>
        <v>Dubai property price rises seen slowing further in 2023 - Betterhomes</v>
      </c>
      <c r="E261" s="507" t="str">
        <f>IFERROR(__xludf.DUMMYFUNCTION("""COMPUTED_VALUE"""),"https://www.zawya.com/en/business/real-estate/dubai-property-price-rises-seen-slowing-further-in-2023-betterhomes-o3nd1qy9")</f>
        <v>https://www.zawya.com/en/business/real-estate/dubai-property-price-rises-seen-slowing-further-in-2023-betterhomes-o3nd1qy9</v>
      </c>
      <c r="F261" s="368" t="str">
        <f>IFERROR(__xludf.DUMMYFUNCTION("""COMPUTED_VALUE"""),"Betterhomes")</f>
        <v>Betterhomes</v>
      </c>
    </row>
    <row r="262">
      <c r="A262" s="402">
        <f>IFERROR(__xludf.DUMMYFUNCTION("""COMPUTED_VALUE"""),44943.0)</f>
        <v>44943</v>
      </c>
      <c r="B262" s="368" t="str">
        <f>IFERROR(__xludf.DUMMYFUNCTION("""COMPUTED_VALUE"""),"Tier 2")</f>
        <v>Tier 2</v>
      </c>
      <c r="C262" s="368" t="str">
        <f>IFERROR(__xludf.DUMMYFUNCTION("""COMPUTED_VALUE"""),"Arabian Business")</f>
        <v>Arabian Business</v>
      </c>
      <c r="D262" s="368" t="str">
        <f>IFERROR(__xludf.DUMMYFUNCTION("""COMPUTED_VALUE"""),"Russia chases Saudi Arabia, Bahrain, Oman visa-free entry: Diplomat")</f>
        <v>Russia chases Saudi Arabia, Bahrain, Oman visa-free entry: Diplomat</v>
      </c>
      <c r="E262" s="507" t="str">
        <f>IFERROR(__xludf.DUMMYFUNCTION("""COMPUTED_VALUE"""),"https://www.arabianbusiness.com/industries/travel-hospitality/russia-chases-saudi-arabia-bahrain-oman-visa-free-entry-diplomat")</f>
        <v>https://www.arabianbusiness.com/industries/travel-hospitality/russia-chases-saudi-arabia-bahrain-oman-visa-free-entry-diplomat</v>
      </c>
      <c r="F262" s="368" t="str">
        <f>IFERROR(__xludf.DUMMYFUNCTION("""COMPUTED_VALUE"""),"Betterhomes")</f>
        <v>Betterhomes</v>
      </c>
    </row>
    <row r="263">
      <c r="A263" s="402">
        <f>IFERROR(__xludf.DUMMYFUNCTION("""COMPUTED_VALUE"""),44943.0)</f>
        <v>44943</v>
      </c>
      <c r="B263" s="368" t="str">
        <f>IFERROR(__xludf.DUMMYFUNCTION("""COMPUTED_VALUE"""),"Tier 2")</f>
        <v>Tier 2</v>
      </c>
      <c r="C263" s="368" t="str">
        <f>IFERROR(__xludf.DUMMYFUNCTION("""COMPUTED_VALUE"""),"Gulf News")</f>
        <v>Gulf News</v>
      </c>
      <c r="D263" s="368" t="str">
        <f>IFERROR(__xludf.DUMMYFUNCTION("""COMPUTED_VALUE"""),"More Dubai landlords now want one-cheque payments with their rental deals")</f>
        <v>More Dubai landlords now want one-cheque payments with their rental deals</v>
      </c>
      <c r="E263" s="507" t="str">
        <f>IFERROR(__xludf.DUMMYFUNCTION("""COMPUTED_VALUE"""),"https://gulfnews.com/business/property/more-dubai-landlords-now-want-one-cheque-payments-with-their-rental-deals-1.1673930156220")</f>
        <v>https://gulfnews.com/business/property/more-dubai-landlords-now-want-one-cheque-payments-with-their-rental-deals-1.1673930156220</v>
      </c>
      <c r="F263" s="368" t="str">
        <f>IFERROR(__xludf.DUMMYFUNCTION("""COMPUTED_VALUE"""),"Betterhomes")</f>
        <v>Betterhomes</v>
      </c>
    </row>
    <row r="264">
      <c r="A264" s="402">
        <f>IFERROR(__xludf.DUMMYFUNCTION("""COMPUTED_VALUE"""),44944.0)</f>
        <v>44944</v>
      </c>
      <c r="B264" s="368" t="str">
        <f>IFERROR(__xludf.DUMMYFUNCTION("""COMPUTED_VALUE"""),"Tier 3")</f>
        <v>Tier 3</v>
      </c>
      <c r="C264" s="368" t="str">
        <f>IFERROR(__xludf.DUMMYFUNCTION("""COMPUTED_VALUE"""),"Banking News (Greece)")</f>
        <v>Banking News (Greece)</v>
      </c>
      <c r="D264" s="368" t="str">
        <f>IFERROR(__xludf.DUMMYFUNCTION("""COMPUTED_VALUE"""),"What are Russians looking for in Dubai? - The sheikh's role in Moscow-Kiev relations")</f>
        <v>What are Russians looking for in Dubai? - The sheikh's role in Moscow-Kiev relations</v>
      </c>
      <c r="E264" s="507" t="str">
        <f>IFERROR(__xludf.DUMMYFUNCTION("""COMPUTED_VALUE"""),"https://www.bankingnews.gr/diethni/articles/661165/ti-anazitoyn-oi-rosoi-sto-doumpai-o-rolos-tou-seixi-stis-sxeseis-mosxas-kievou")</f>
        <v>https://www.bankingnews.gr/diethni/articles/661165/ti-anazitoyn-oi-rosoi-sto-doumpai-o-rolos-tou-seixi-stis-sxeseis-mosxas-kievou</v>
      </c>
      <c r="F264" s="368" t="str">
        <f>IFERROR(__xludf.DUMMYFUNCTION("""COMPUTED_VALUE"""),"Betterhomes")</f>
        <v>Betterhomes</v>
      </c>
    </row>
    <row r="265">
      <c r="A265" s="402">
        <f>IFERROR(__xludf.DUMMYFUNCTION("""COMPUTED_VALUE"""),44944.0)</f>
        <v>44944</v>
      </c>
      <c r="B265" s="368" t="str">
        <f>IFERROR(__xludf.DUMMYFUNCTION("""COMPUTED_VALUE"""),"Tier 3")</f>
        <v>Tier 3</v>
      </c>
      <c r="C265" s="368" t="str">
        <f>IFERROR(__xludf.DUMMYFUNCTION("""COMPUTED_VALUE"""),"Kaz Inform (Russia)")</f>
        <v>Kaz Inform (Russia)</v>
      </c>
      <c r="D265" s="368" t="str">
        <f>IFERROR(__xludf.DUMMYFUNCTION("""COMPUTED_VALUE"""),"Dubai real estate market breaks records: why it happened and what to expect in 2023")</f>
        <v>Dubai real estate market breaks records: why it happened and what to expect in 2023</v>
      </c>
      <c r="E265" s="507" t="str">
        <f>IFERROR(__xludf.DUMMYFUNCTION("""COMPUTED_VALUE"""),"https://www.inform.kz/ru/rynok-nedvizhimosti-dubaya-b-et-rekordy-pochemu-eto-sluchilos-i-chego-zhdat-v-2023-godu_a4025063")</f>
        <v>https://www.inform.kz/ru/rynok-nedvizhimosti-dubaya-b-et-rekordy-pochemu-eto-sluchilos-i-chego-zhdat-v-2023-godu_a4025063</v>
      </c>
      <c r="F265" s="368" t="str">
        <f>IFERROR(__xludf.DUMMYFUNCTION("""COMPUTED_VALUE"""),"Betterhomes")</f>
        <v>Betterhomes</v>
      </c>
    </row>
    <row r="266">
      <c r="A266" s="402">
        <f>IFERROR(__xludf.DUMMYFUNCTION("""COMPUTED_VALUE"""),44944.0)</f>
        <v>44944</v>
      </c>
      <c r="B266" s="368" t="str">
        <f>IFERROR(__xludf.DUMMYFUNCTION("""COMPUTED_VALUE"""),"Tier 3")</f>
        <v>Tier 3</v>
      </c>
      <c r="C266" s="368" t="str">
        <f>IFERROR(__xludf.DUMMYFUNCTION("""COMPUTED_VALUE"""),"Russia Matters")</f>
        <v>Russia Matters</v>
      </c>
      <c r="D266" s="368" t="str">
        <f>IFERROR(__xludf.DUMMYFUNCTION("""COMPUTED_VALUE"""),"Russia in Review")</f>
        <v>Russia in Review</v>
      </c>
      <c r="E266" s="507" t="str">
        <f>IFERROR(__xludf.DUMMYFUNCTION("""COMPUTED_VALUE"""),"https://www.russiamatters.org/news/russia-review/russia-review-jan-13-20-2023")</f>
        <v>https://www.russiamatters.org/news/russia-review/russia-review-jan-13-20-2023</v>
      </c>
      <c r="F266" s="368" t="str">
        <f>IFERROR(__xludf.DUMMYFUNCTION("""COMPUTED_VALUE"""),"Betterhomes")</f>
        <v>Betterhomes</v>
      </c>
    </row>
    <row r="267">
      <c r="A267" s="402">
        <f>IFERROR(__xludf.DUMMYFUNCTION("""COMPUTED_VALUE"""),44944.0)</f>
        <v>44944</v>
      </c>
      <c r="B267" s="368" t="str">
        <f>IFERROR(__xludf.DUMMYFUNCTION("""COMPUTED_VALUE"""),"Tier 3")</f>
        <v>Tier 3</v>
      </c>
      <c r="C267" s="368" t="str">
        <f>IFERROR(__xludf.DUMMYFUNCTION("""COMPUTED_VALUE"""),"Toitre (Vietnam)")</f>
        <v>Toitre (Vietnam)</v>
      </c>
      <c r="D267" s="368" t="str">
        <f>IFERROR(__xludf.DUMMYFUNCTION("""COMPUTED_VALUE"""),"Russians drive record Dubai property sales")</f>
        <v>Russians drive record Dubai property sales</v>
      </c>
      <c r="E267" s="507" t="str">
        <f>IFERROR(__xludf.DUMMYFUNCTION("""COMPUTED_VALUE"""),"https://tuoitre.vn/nguoi-nga-thuc-day-doanh-so-ban-bat-dong-san-dubai-dat-ky-luc-20230117142503266.htm")</f>
        <v>https://tuoitre.vn/nguoi-nga-thuc-day-doanh-so-ban-bat-dong-san-dubai-dat-ky-luc-20230117142503266.htm</v>
      </c>
      <c r="F267" s="368" t="str">
        <f>IFERROR(__xludf.DUMMYFUNCTION("""COMPUTED_VALUE"""),"Betterhomes")</f>
        <v>Betterhomes</v>
      </c>
    </row>
    <row r="268">
      <c r="A268" s="402">
        <f>IFERROR(__xludf.DUMMYFUNCTION("""COMPUTED_VALUE"""),44944.0)</f>
        <v>44944</v>
      </c>
      <c r="B268" s="368" t="str">
        <f>IFERROR(__xludf.DUMMYFUNCTION("""COMPUTED_VALUE"""),"Tier 3")</f>
        <v>Tier 3</v>
      </c>
      <c r="C268" s="368" t="str">
        <f>IFERROR(__xludf.DUMMYFUNCTION("""COMPUTED_VALUE"""),"Al Arabyia ")</f>
        <v>Al Arabyia </v>
      </c>
      <c r="D268" s="368" t="str">
        <f>IFERROR(__xludf.DUMMYFUNCTION("""COMPUTED_VALUE"""),"Dubai-based Tabby raises $58 million in funding round, valued at $660 million")</f>
        <v>Dubai-based Tabby raises $58 million in funding round, valued at $660 million</v>
      </c>
      <c r="E268" s="507" t="str">
        <f>IFERROR(__xludf.DUMMYFUNCTION("""COMPUTED_VALUE"""),"https://english.alarabiya.net/business/technology/2023/01/18/Dubai-based-Tabby-raises-58-million-in-funding-round-valued-at-660-million-")</f>
        <v>https://english.alarabiya.net/business/technology/2023/01/18/Dubai-based-Tabby-raises-58-million-in-funding-round-valued-at-660-million-</v>
      </c>
      <c r="F268" s="368" t="str">
        <f>IFERROR(__xludf.DUMMYFUNCTION("""COMPUTED_VALUE"""),"Betterhomes")</f>
        <v>Betterhomes</v>
      </c>
    </row>
    <row r="269">
      <c r="A269" s="402">
        <f>IFERROR(__xludf.DUMMYFUNCTION("""COMPUTED_VALUE"""),44945.0)</f>
        <v>44945</v>
      </c>
      <c r="B269" s="368" t="str">
        <f>IFERROR(__xludf.DUMMYFUNCTION("""COMPUTED_VALUE"""),"Tier 3")</f>
        <v>Tier 3</v>
      </c>
      <c r="C269" s="368" t="str">
        <f>IFERROR(__xludf.DUMMYFUNCTION("""COMPUTED_VALUE"""),"UKR Haber (Turkey)")</f>
        <v>UKR Haber (Turkey)</v>
      </c>
      <c r="D269" s="368" t="str">
        <f>IFERROR(__xludf.DUMMYFUNCTION("""COMPUTED_VALUE"""),"How do Russians influence the global real estate market?")</f>
        <v>How do Russians influence the global real estate market?</v>
      </c>
      <c r="E269" s="507" t="str">
        <f>IFERROR(__xludf.DUMMYFUNCTION("""COMPUTED_VALUE"""),"https://www.ukrhaber.com/blog/ruslar-kuresel-emlak-piyasasini-nasil-etkiliyor/#.Y9j7OXZBy5c")</f>
        <v>https://www.ukrhaber.com/blog/ruslar-kuresel-emlak-piyasasini-nasil-etkiliyor/#.Y9j7OXZBy5c</v>
      </c>
      <c r="F269" s="368" t="str">
        <f>IFERROR(__xludf.DUMMYFUNCTION("""COMPUTED_VALUE"""),"Betterhomes")</f>
        <v>Betterhomes</v>
      </c>
    </row>
    <row r="270">
      <c r="A270" s="402">
        <f>IFERROR(__xludf.DUMMYFUNCTION("""COMPUTED_VALUE"""),44945.0)</f>
        <v>44945</v>
      </c>
      <c r="B270" s="368" t="str">
        <f>IFERROR(__xludf.DUMMYFUNCTION("""COMPUTED_VALUE"""),"Tier 3")</f>
        <v>Tier 3</v>
      </c>
      <c r="C270" s="368" t="str">
        <f>IFERROR(__xludf.DUMMYFUNCTION("""COMPUTED_VALUE"""),"Ziarul National (Romania)")</f>
        <v>Ziarul National (Romania)</v>
      </c>
      <c r="D270" s="368" t="str">
        <f>IFERROR(__xludf.DUMMYFUNCTION("""COMPUTED_VALUE"""),"Luxury with cash. Dubai remains the great real estate haven this year as well")</f>
        <v>Luxury with cash. Dubai remains the great real estate haven this year as well</v>
      </c>
      <c r="E270" s="507" t="str">
        <f>IFERROR(__xludf.DUMMYFUNCTION("""COMPUTED_VALUE"""),"https://www.national.ro/afaceri/lux-cu-bani-gheata-dubai-ramane-marele-refugiu-imobiliar-si-in-acest-an-784646.html")</f>
        <v>https://www.national.ro/afaceri/lux-cu-bani-gheata-dubai-ramane-marele-refugiu-imobiliar-si-in-acest-an-784646.html</v>
      </c>
      <c r="F270" s="368" t="str">
        <f>IFERROR(__xludf.DUMMYFUNCTION("""COMPUTED_VALUE"""),"Betterhomes")</f>
        <v>Betterhomes</v>
      </c>
    </row>
    <row r="271">
      <c r="A271" s="402">
        <f>IFERROR(__xludf.DUMMYFUNCTION("""COMPUTED_VALUE"""),44946.0)</f>
        <v>44946</v>
      </c>
      <c r="B271" s="368" t="str">
        <f>IFERROR(__xludf.DUMMYFUNCTION("""COMPUTED_VALUE"""),"Tier 3")</f>
        <v>Tier 3</v>
      </c>
      <c r="C271" s="368" t="str">
        <f>IFERROR(__xludf.DUMMYFUNCTION("""COMPUTED_VALUE"""),"Interia (Poland)")</f>
        <v>Interia (Poland)</v>
      </c>
      <c r="D271" s="368" t="str">
        <f>IFERROR(__xludf.DUMMYFUNCTION("""COMPUTED_VALUE"""),"Little Russia in Dubai. Escaping Western sanctions fuels the economy")</f>
        <v>Little Russia in Dubai. Escaping Western sanctions fuels the economy</v>
      </c>
      <c r="E271" s="507" t="str">
        <f>IFERROR(__xludf.DUMMYFUNCTION("""COMPUTED_VALUE"""),"https://wydarzenia.interia.pl/raport-media-zagraniczne/news-mala-rosja-w-dubaju-ucieczka-przed-sankcjami-zachodu-napedza,nId,6544444")</f>
        <v>https://wydarzenia.interia.pl/raport-media-zagraniczne/news-mala-rosja-w-dubaju-ucieczka-przed-sankcjami-zachodu-napedza,nId,6544444</v>
      </c>
      <c r="F271" s="368" t="str">
        <f>IFERROR(__xludf.DUMMYFUNCTION("""COMPUTED_VALUE"""),"Betterhomes")</f>
        <v>Betterhomes</v>
      </c>
    </row>
    <row r="272">
      <c r="A272" s="402">
        <f>IFERROR(__xludf.DUMMYFUNCTION("""COMPUTED_VALUE"""),44948.0)</f>
        <v>44948</v>
      </c>
      <c r="B272" s="368" t="str">
        <f>IFERROR(__xludf.DUMMYFUNCTION("""COMPUTED_VALUE"""),"Tier 3")</f>
        <v>Tier 3</v>
      </c>
      <c r="C272" s="368" t="str">
        <f>IFERROR(__xludf.DUMMYFUNCTION("""COMPUTED_VALUE"""),"Gazette Duvar (Turkey)")</f>
        <v>Gazette Duvar (Turkey)</v>
      </c>
      <c r="D272" s="368" t="str">
        <f>IFERROR(__xludf.DUMMYFUNCTION("""COMPUTED_VALUE"""),"Last week in the Russian press: 'Russian citizens bought 16312 real estate in Turkey in 2022'")</f>
        <v>Last week in the Russian press: 'Russian citizens bought 16312 real estate in Turkey in 2022'</v>
      </c>
      <c r="E272" s="507" t="str">
        <f>IFERROR(__xludf.DUMMYFUNCTION("""COMPUTED_VALUE"""),"https://www.gazeteduvar.com.tr/rusya-basininda-gecen-hafta-rusya-vatandaslari-2022de-turkiyede-16312-gayrimenkul-aldilar-haber-1599565")</f>
        <v>https://www.gazeteduvar.com.tr/rusya-basininda-gecen-hafta-rusya-vatandaslari-2022de-turkiyede-16312-gayrimenkul-aldilar-haber-1599565</v>
      </c>
      <c r="F272" s="368" t="str">
        <f>IFERROR(__xludf.DUMMYFUNCTION("""COMPUTED_VALUE"""),"Betterhomes")</f>
        <v>Betterhomes</v>
      </c>
    </row>
    <row r="273">
      <c r="A273" s="402">
        <f>IFERROR(__xludf.DUMMYFUNCTION("""COMPUTED_VALUE"""),44949.0)</f>
        <v>44949</v>
      </c>
      <c r="B273" s="368" t="str">
        <f>IFERROR(__xludf.DUMMYFUNCTION("""COMPUTED_VALUE"""),"Tier 3")</f>
        <v>Tier 3</v>
      </c>
      <c r="C273" s="368" t="str">
        <f>IFERROR(__xludf.DUMMYFUNCTION("""COMPUTED_VALUE"""),"Open PR")</f>
        <v>Open PR</v>
      </c>
      <c r="D273" s="368" t="str">
        <f>IFERROR(__xludf.DUMMYFUNCTION("""COMPUTED_VALUE"""),"UAE Real Estate companies list, engineering firms in dubai, list of engineering companies in abu dhabi, Engineering firms in Dubai, list of Engineering companies in ABU Dhabi, civil engineering consultants in abu dhabi")</f>
        <v>UAE Real Estate companies list, engineering firms in dubai, list of engineering companies in abu dhabi, Engineering firms in Dubai, list of Engineering companies in ABU Dhabi, civil engineering consultants in abu dhabi</v>
      </c>
      <c r="E273" s="507" t="str">
        <f>IFERROR(__xludf.DUMMYFUNCTION("""COMPUTED_VALUE"""),"https://www.openpr.com/news/2893895/uae-real-estate-companies-list-engineering-firms-in-dubai-list")</f>
        <v>https://www.openpr.com/news/2893895/uae-real-estate-companies-list-engineering-firms-in-dubai-list</v>
      </c>
      <c r="F273" s="368" t="str">
        <f>IFERROR(__xludf.DUMMYFUNCTION("""COMPUTED_VALUE"""),"Betterhomes")</f>
        <v>Betterhomes</v>
      </c>
    </row>
    <row r="274">
      <c r="A274" s="402">
        <f>IFERROR(__xludf.DUMMYFUNCTION("""COMPUTED_VALUE"""),44950.0)</f>
        <v>44950</v>
      </c>
      <c r="B274" s="368" t="str">
        <f>IFERROR(__xludf.DUMMYFUNCTION("""COMPUTED_VALUE"""),"Tier 3")</f>
        <v>Tier 3</v>
      </c>
      <c r="C274" s="368" t="str">
        <f>IFERROR(__xludf.DUMMYFUNCTION("""COMPUTED_VALUE"""),"Challenges (France)")</f>
        <v>Challenges (France)</v>
      </c>
      <c r="D274" s="368" t="str">
        <f>IFERROR(__xludf.DUMMYFUNCTION("""COMPUTED_VALUE"""),"Russians are blowing up real estate in Dubai")</f>
        <v>Russians are blowing up real estate in Dubai</v>
      </c>
      <c r="E274" s="507" t="str">
        <f>IFERROR(__xludf.DUMMYFUNCTION("""COMPUTED_VALUE"""),"https://www.challenges.fr/immobilier/l-immobilier-flambe-a-dubai_843005")</f>
        <v>https://www.challenges.fr/immobilier/l-immobilier-flambe-a-dubai_843005</v>
      </c>
      <c r="F274" s="368" t="str">
        <f>IFERROR(__xludf.DUMMYFUNCTION("""COMPUTED_VALUE"""),"Betterhomes")</f>
        <v>Betterhomes</v>
      </c>
    </row>
    <row r="275">
      <c r="A275" s="402">
        <f>IFERROR(__xludf.DUMMYFUNCTION("""COMPUTED_VALUE"""),44951.0)</f>
        <v>44951</v>
      </c>
      <c r="B275" s="368" t="str">
        <f>IFERROR(__xludf.DUMMYFUNCTION("""COMPUTED_VALUE"""),"Tier 2")</f>
        <v>Tier 2</v>
      </c>
      <c r="C275" s="368" t="str">
        <f>IFERROR(__xludf.DUMMYFUNCTION("""COMPUTED_VALUE"""),"The National ")</f>
        <v>The National </v>
      </c>
      <c r="D275" s="368" t="str">
        <f>IFERROR(__xludf.DUMMYFUNCTION("""COMPUTED_VALUE"""),"Dubai property: Top three areas where expats prefer to buy apartments")</f>
        <v>Dubai property: Top three areas where expats prefer to buy apartments</v>
      </c>
      <c r="E275" s="507" t="str">
        <f>IFERROR(__xludf.DUMMYFUNCTION("""COMPUTED_VALUE"""),"https://www.thenationalnews.com/uae/2023/01/25/dubai-property-top-three-areas-where-expats-prefer-to-buy-apartments/")</f>
        <v>https://www.thenationalnews.com/uae/2023/01/25/dubai-property-top-three-areas-where-expats-prefer-to-buy-apartments/</v>
      </c>
      <c r="F275" s="368" t="str">
        <f>IFERROR(__xludf.DUMMYFUNCTION("""COMPUTED_VALUE"""),"Betterhomes")</f>
        <v>Betterhomes</v>
      </c>
    </row>
    <row r="276">
      <c r="A276" s="402">
        <f>IFERROR(__xludf.DUMMYFUNCTION("""COMPUTED_VALUE"""),44951.0)</f>
        <v>44951</v>
      </c>
      <c r="B276" s="368" t="str">
        <f>IFERROR(__xludf.DUMMYFUNCTION("""COMPUTED_VALUE"""),"Tier 2")</f>
        <v>Tier 2</v>
      </c>
      <c r="C276" s="368" t="str">
        <f>IFERROR(__xludf.DUMMYFUNCTION("""COMPUTED_VALUE"""),"Zawya ")</f>
        <v>Zawya </v>
      </c>
      <c r="D276" s="368" t="str">
        <f>IFERROR(__xludf.DUMMYFUNCTION("""COMPUTED_VALUE"""),"Dubai property deals surge 76% to $144bln in 2022")</f>
        <v>Dubai property deals surge 76% to $144bln in 2022</v>
      </c>
      <c r="E276" s="507" t="str">
        <f>IFERROR(__xludf.DUMMYFUNCTION("""COMPUTED_VALUE"""),"https://www.zawya.com/en/business/real-estate/dubai-property-deals-surge-76-to-144bln-in-2022-spwo2ai5")</f>
        <v>https://www.zawya.com/en/business/real-estate/dubai-property-deals-surge-76-to-144bln-in-2022-spwo2ai5</v>
      </c>
      <c r="F276" s="368" t="str">
        <f>IFERROR(__xludf.DUMMYFUNCTION("""COMPUTED_VALUE"""),"Betterhomes")</f>
        <v>Betterhomes</v>
      </c>
    </row>
    <row r="277">
      <c r="A277" s="402">
        <f>IFERROR(__xludf.DUMMYFUNCTION("""COMPUTED_VALUE"""),44953.0)</f>
        <v>44953</v>
      </c>
      <c r="B277" s="368" t="str">
        <f>IFERROR(__xludf.DUMMYFUNCTION("""COMPUTED_VALUE"""),"Tier 3")</f>
        <v>Tier 3</v>
      </c>
      <c r="C277" s="368" t="str">
        <f>IFERROR(__xludf.DUMMYFUNCTION("""COMPUTED_VALUE"""),"El Correo de Golfo (Spain)")</f>
        <v>El Correo de Golfo (Spain)</v>
      </c>
      <c r="D277" s="368" t="str">
        <f>IFERROR(__xludf.DUMMYFUNCTION("""COMPUTED_VALUE"""),"Learn about the three areas of Dubai where expats buy apartments")</f>
        <v>Learn about the three areas of Dubai where expats buy apartments</v>
      </c>
      <c r="E277" s="507" t="str">
        <f>IFERROR(__xludf.DUMMYFUNCTION("""COMPUTED_VALUE"""),"https://www.elcorreo.ae/articulo/economia/conozca-zonas-dubai-donde-expatriados-compran-apartamentos/20230127092502152882.html")</f>
        <v>https://www.elcorreo.ae/articulo/economia/conozca-zonas-dubai-donde-expatriados-compran-apartamentos/20230127092502152882.html</v>
      </c>
      <c r="F277" s="368" t="str">
        <f>IFERROR(__xludf.DUMMYFUNCTION("""COMPUTED_VALUE"""),"Betterhomes")</f>
        <v>Betterhomes</v>
      </c>
    </row>
    <row r="278">
      <c r="A278" s="402">
        <f>IFERROR(__xludf.DUMMYFUNCTION("""COMPUTED_VALUE"""),44953.0)</f>
        <v>44953</v>
      </c>
      <c r="B278" s="368" t="str">
        <f>IFERROR(__xludf.DUMMYFUNCTION("""COMPUTED_VALUE"""),"Tier 2")</f>
        <v>Tier 2</v>
      </c>
      <c r="C278" s="368" t="str">
        <f>IFERROR(__xludf.DUMMYFUNCTION("""COMPUTED_VALUE"""),"Zawya ")</f>
        <v>Zawya </v>
      </c>
      <c r="D278" s="368" t="str">
        <f>IFERROR(__xludf.DUMMYFUNCTION("""COMPUTED_VALUE"""),"Dubai realtor haus &amp; haus eyes expansion; to hire 150 new staff")</f>
        <v>Dubai realtor haus &amp; haus eyes expansion; to hire 150 new staff</v>
      </c>
      <c r="E278" s="507" t="str">
        <f>IFERROR(__xludf.DUMMYFUNCTION("""COMPUTED_VALUE"""),"https://www.zawya.com/en/business/real-estate/dubai-realtor-haus-and-haus-eyes-expansion-to-hire-150-new-staff-r6be9cf7")</f>
        <v>https://www.zawya.com/en/business/real-estate/dubai-realtor-haus-and-haus-eyes-expansion-to-hire-150-new-staff-r6be9cf7</v>
      </c>
      <c r="F278" s="368" t="str">
        <f>IFERROR(__xludf.DUMMYFUNCTION("""COMPUTED_VALUE"""),"Betterhomes")</f>
        <v>Betterhomes</v>
      </c>
    </row>
    <row r="279">
      <c r="A279" s="402">
        <f>IFERROR(__xludf.DUMMYFUNCTION("""COMPUTED_VALUE"""),44957.0)</f>
        <v>44957</v>
      </c>
      <c r="B279" s="368" t="str">
        <f>IFERROR(__xludf.DUMMYFUNCTION("""COMPUTED_VALUE"""),"Tier 3")</f>
        <v>Tier 3</v>
      </c>
      <c r="C279" s="368" t="str">
        <f>IFERROR(__xludf.DUMMYFUNCTION("""COMPUTED_VALUE"""),"ABC Money ")</f>
        <v>ABC Money </v>
      </c>
      <c r="D279" s="368" t="str">
        <f>IFERROR(__xludf.DUMMYFUNCTION("""COMPUTED_VALUE"""),"Sheikh Youssef Al Shelash Discusses Trends and Upcoming Developments in the Middle East")</f>
        <v>Sheikh Youssef Al Shelash Discusses Trends and Upcoming Developments in the Middle East</v>
      </c>
      <c r="E279" s="507" t="str">
        <f>IFERROR(__xludf.DUMMYFUNCTION("""COMPUTED_VALUE"""),"https://www.abcmoney.co.uk/2023/01/sheikh-youssef-al-shelash-discusses-trends-and-upcoming-developments-in-the-middle-east/")</f>
        <v>https://www.abcmoney.co.uk/2023/01/sheikh-youssef-al-shelash-discusses-trends-and-upcoming-developments-in-the-middle-east/</v>
      </c>
      <c r="F279" s="368" t="str">
        <f>IFERROR(__xludf.DUMMYFUNCTION("""COMPUTED_VALUE"""),"Betterhomes")</f>
        <v>Betterhomes</v>
      </c>
    </row>
    <row r="280">
      <c r="A280" s="402">
        <f>IFERROR(__xludf.DUMMYFUNCTION("""COMPUTED_VALUE"""),44960.0)</f>
        <v>44960</v>
      </c>
      <c r="B280" s="368" t="str">
        <f>IFERROR(__xludf.DUMMYFUNCTION("""COMPUTED_VALUE"""),"Tier 3")</f>
        <v>Tier 3</v>
      </c>
      <c r="C280" s="368" t="str">
        <f>IFERROR(__xludf.DUMMYFUNCTION("""COMPUTED_VALUE"""),"The DoGoodPress")</f>
        <v>The DoGoodPress</v>
      </c>
      <c r="D280" s="368" t="str">
        <f>IFERROR(__xludf.DUMMYFUNCTION("""COMPUTED_VALUE"""),"Ryan Mahoney (Dubai, UAE): Dubai’s Secondary Real Estate Market Boom")</f>
        <v>Ryan Mahoney (Dubai, UAE): Dubai’s Secondary Real Estate Market Boom</v>
      </c>
      <c r="E280" s="507" t="str">
        <f>IFERROR(__xludf.DUMMYFUNCTION("""COMPUTED_VALUE"""),"https://thedogoodpress.com/property/4836/ryan-mahoney-dubai-uae-dubais-secondary-real-estate-market-boom/")</f>
        <v>https://thedogoodpress.com/property/4836/ryan-mahoney-dubai-uae-dubais-secondary-real-estate-market-boom/</v>
      </c>
      <c r="F280" s="368" t="str">
        <f>IFERROR(__xludf.DUMMYFUNCTION("""COMPUTED_VALUE"""),"Betterhomes")</f>
        <v>Betterhomes</v>
      </c>
    </row>
    <row r="281">
      <c r="A281" s="402">
        <f>IFERROR(__xludf.DUMMYFUNCTION("""COMPUTED_VALUE"""),44963.0)</f>
        <v>44963</v>
      </c>
      <c r="B281" s="368" t="str">
        <f>IFERROR(__xludf.DUMMYFUNCTION("""COMPUTED_VALUE"""),"Tier 2")</f>
        <v>Tier 2</v>
      </c>
      <c r="C281" s="368" t="str">
        <f>IFERROR(__xludf.DUMMYFUNCTION("""COMPUTED_VALUE"""),"Zawya ")</f>
        <v>Zawya </v>
      </c>
      <c r="D281" s="368" t="str">
        <f>IFERROR(__xludf.DUMMYFUNCTION("""COMPUTED_VALUE"""),"Five cheapest places to rent a flat in Dubai")</f>
        <v>Five cheapest places to rent a flat in Dubai</v>
      </c>
      <c r="E281" s="507" t="str">
        <f>IFERROR(__xludf.DUMMYFUNCTION("""COMPUTED_VALUE"""),"https://www.zawya.com/en/business/real-estate/five-cheapest-places-to-rent-a-flat-in-dubai-g1kn1kd8")</f>
        <v>https://www.zawya.com/en/business/real-estate/five-cheapest-places-to-rent-a-flat-in-dubai-g1kn1kd8</v>
      </c>
      <c r="F281" s="368" t="str">
        <f>IFERROR(__xludf.DUMMYFUNCTION("""COMPUTED_VALUE"""),"Betterhomes")</f>
        <v>Betterhomes</v>
      </c>
    </row>
    <row r="282">
      <c r="A282" s="402">
        <f>IFERROR(__xludf.DUMMYFUNCTION("""COMPUTED_VALUE"""),44963.0)</f>
        <v>44963</v>
      </c>
      <c r="B282" s="368" t="str">
        <f>IFERROR(__xludf.DUMMYFUNCTION("""COMPUTED_VALUE"""),"Tier 2")</f>
        <v>Tier 2</v>
      </c>
      <c r="C282" s="368" t="str">
        <f>IFERROR(__xludf.DUMMYFUNCTION("""COMPUTED_VALUE"""),"Khaleej Times")</f>
        <v>Khaleej Times</v>
      </c>
      <c r="D282" s="368" t="str">
        <f>IFERROR(__xludf.DUMMYFUNCTION("""COMPUTED_VALUE"""),"Dubai: Tenants could negotiate monthly rent payments with new direct debit system")</f>
        <v>Dubai: Tenants could negotiate monthly rent payments with new direct debit system</v>
      </c>
      <c r="E282" s="507" t="str">
        <f>IFERROR(__xludf.DUMMYFUNCTION("""COMPUTED_VALUE"""),"https://www.khaleejtimes.com/business/property/dubai-tenants-could-negotiate-monthly-rent-payments-with-new-direct-debit-system")</f>
        <v>https://www.khaleejtimes.com/business/property/dubai-tenants-could-negotiate-monthly-rent-payments-with-new-direct-debit-system</v>
      </c>
      <c r="F282" s="368" t="str">
        <f>IFERROR(__xludf.DUMMYFUNCTION("""COMPUTED_VALUE"""),"Betterhomes")</f>
        <v>Betterhomes</v>
      </c>
    </row>
    <row r="283">
      <c r="A283" s="402">
        <f>IFERROR(__xludf.DUMMYFUNCTION("""COMPUTED_VALUE"""),44964.0)</f>
        <v>44964</v>
      </c>
      <c r="B283" s="368" t="str">
        <f>IFERROR(__xludf.DUMMYFUNCTION("""COMPUTED_VALUE"""),"Tier 1")</f>
        <v>Tier 1</v>
      </c>
      <c r="C283" s="368" t="str">
        <f>IFERROR(__xludf.DUMMYFUNCTION("""COMPUTED_VALUE"""),"Bloomberg")</f>
        <v>Bloomberg</v>
      </c>
      <c r="D283" s="368" t="str">
        <f>IFERROR(__xludf.DUMMYFUNCTION("""COMPUTED_VALUE"""),"UAE grants banking license to Russia’s MTS Bank")</f>
        <v>UAE grants banking license to Russia’s MTS Bank</v>
      </c>
      <c r="E283" s="507" t="str">
        <f>IFERROR(__xludf.DUMMYFUNCTION("""COMPUTED_VALUE"""),"https://www.bloomberg.com/news/articles/2023-02-08/uae-grants-banking-license-to-russia-s-mts-bank")</f>
        <v>https://www.bloomberg.com/news/articles/2023-02-08/uae-grants-banking-license-to-russia-s-mts-bank</v>
      </c>
      <c r="F283" s="368" t="str">
        <f>IFERROR(__xludf.DUMMYFUNCTION("""COMPUTED_VALUE"""),"Betterhomes")</f>
        <v>Betterhomes</v>
      </c>
    </row>
    <row r="284">
      <c r="A284" s="402">
        <f>IFERROR(__xludf.DUMMYFUNCTION("""COMPUTED_VALUE"""),44965.0)</f>
        <v>44965</v>
      </c>
      <c r="B284" s="368" t="str">
        <f>IFERROR(__xludf.DUMMYFUNCTION("""COMPUTED_VALUE"""),"Tier 2")</f>
        <v>Tier 2</v>
      </c>
      <c r="C284" s="368" t="str">
        <f>IFERROR(__xludf.DUMMYFUNCTION("""COMPUTED_VALUE"""),"Khaleej Times")</f>
        <v>Khaleej Times</v>
      </c>
      <c r="D284" s="368" t="str">
        <f>IFERROR(__xludf.DUMMYFUNCTION("""COMPUTED_VALUE"""),"UAE central bank granted licence to Russia’s MTS bank")</f>
        <v>UAE central bank granted licence to Russia’s MTS bank</v>
      </c>
      <c r="E284" s="507" t="str">
        <f>IFERROR(__xludf.DUMMYFUNCTION("""COMPUTED_VALUE"""),"https://www.khaleejtimes.com/business/uae-central-bank-granted-licence-to-russias-mts-bank")</f>
        <v>https://www.khaleejtimes.com/business/uae-central-bank-granted-licence-to-russias-mts-bank</v>
      </c>
      <c r="F284" s="368" t="str">
        <f>IFERROR(__xludf.DUMMYFUNCTION("""COMPUTED_VALUE"""),"Betterhomes")</f>
        <v>Betterhomes</v>
      </c>
    </row>
    <row r="285">
      <c r="A285" s="402">
        <f>IFERROR(__xludf.DUMMYFUNCTION("""COMPUTED_VALUE"""),44965.0)</f>
        <v>44965</v>
      </c>
      <c r="B285" s="368" t="str">
        <f>IFERROR(__xludf.DUMMYFUNCTION("""COMPUTED_VALUE"""),"Tier 1")</f>
        <v>Tier 1</v>
      </c>
      <c r="C285" s="368" t="str">
        <f>IFERROR(__xludf.DUMMYFUNCTION("""COMPUTED_VALUE"""),"Reuters")</f>
        <v>Reuters</v>
      </c>
      <c r="D285" s="368" t="str">
        <f>IFERROR(__xludf.DUMMYFUNCTION("""COMPUTED_VALUE"""),"Russia's MTS bank has UAE licence -central bank website")</f>
        <v>Russia's MTS bank has UAE licence -central bank website</v>
      </c>
      <c r="E285" s="507" t="str">
        <f>IFERROR(__xludf.DUMMYFUNCTION("""COMPUTED_VALUE"""),"https://www.reuters.com/business/finance/russias-mts-bank-has-uae-licence-central-bank-website-2023-02-08/")</f>
        <v>https://www.reuters.com/business/finance/russias-mts-bank-has-uae-licence-central-bank-website-2023-02-08/</v>
      </c>
      <c r="F285" s="368" t="str">
        <f>IFERROR(__xludf.DUMMYFUNCTION("""COMPUTED_VALUE"""),"Betterhomes")</f>
        <v>Betterhomes</v>
      </c>
    </row>
    <row r="286">
      <c r="A286" s="402">
        <f>IFERROR(__xludf.DUMMYFUNCTION("""COMPUTED_VALUE"""),44966.0)</f>
        <v>44966</v>
      </c>
      <c r="B286" s="368" t="str">
        <f>IFERROR(__xludf.DUMMYFUNCTION("""COMPUTED_VALUE"""),"Tier 2")</f>
        <v>Tier 2</v>
      </c>
      <c r="C286" s="368" t="str">
        <f>IFERROR(__xludf.DUMMYFUNCTION("""COMPUTED_VALUE"""),"Al Arabiya")</f>
        <v>Al Arabiya</v>
      </c>
      <c r="D286" s="368" t="str">
        <f>IFERROR(__xludf.DUMMYFUNCTION("""COMPUTED_VALUE"""),"UAE grants banking license to Russia’s MTS Bank")</f>
        <v>UAE grants banking license to Russia’s MTS Bank</v>
      </c>
      <c r="E286" s="507" t="str">
        <f>IFERROR(__xludf.DUMMYFUNCTION("""COMPUTED_VALUE"""),"https://english.alarabiya.net/News/gulf/2023/02/09/UAE-grants-banking-license-to-Russia-s-MTS-Bank")</f>
        <v>https://english.alarabiya.net/News/gulf/2023/02/09/UAE-grants-banking-license-to-Russia-s-MTS-Bank</v>
      </c>
      <c r="F286" s="368" t="str">
        <f>IFERROR(__xludf.DUMMYFUNCTION("""COMPUTED_VALUE"""),"Betterhomes")</f>
        <v>Betterhomes</v>
      </c>
    </row>
    <row r="287">
      <c r="A287" s="402">
        <f>IFERROR(__xludf.DUMMYFUNCTION("""COMPUTED_VALUE"""),44970.0)</f>
        <v>44970</v>
      </c>
      <c r="B287" s="368" t="str">
        <f>IFERROR(__xludf.DUMMYFUNCTION("""COMPUTED_VALUE"""),"Tier 3")</f>
        <v>Tier 3</v>
      </c>
      <c r="C287" s="368" t="str">
        <f>IFERROR(__xludf.DUMMYFUNCTION("""COMPUTED_VALUE"""),"ABC News")</f>
        <v>ABC News</v>
      </c>
      <c r="D287" s="368" t="str">
        <f>IFERROR(__xludf.DUMMYFUNCTION("""COMPUTED_VALUE"""),"Dubai boom sees Russian cash, high rents and reborn projects")</f>
        <v>Dubai boom sees Russian cash, high rents and reborn projects</v>
      </c>
      <c r="E287" s="507" t="str">
        <f>IFERROR(__xludf.DUMMYFUNCTION("""COMPUTED_VALUE"""),"https://abcnews.go.com/Business/wireStory/dubai-boom-sees-russian-cash-high-rents-reborn-97074165")</f>
        <v>https://abcnews.go.com/Business/wireStory/dubai-boom-sees-russian-cash-high-rents-reborn-97074165</v>
      </c>
      <c r="F287" s="368" t="str">
        <f>IFERROR(__xludf.DUMMYFUNCTION("""COMPUTED_VALUE"""),"Betterhomes")</f>
        <v>Betterhomes</v>
      </c>
    </row>
    <row r="288">
      <c r="A288" s="402">
        <f>IFERROR(__xludf.DUMMYFUNCTION("""COMPUTED_VALUE"""),44970.0)</f>
        <v>44970</v>
      </c>
      <c r="B288" s="368" t="str">
        <f>IFERROR(__xludf.DUMMYFUNCTION("""COMPUTED_VALUE"""),"Tier 3")</f>
        <v>Tier 3</v>
      </c>
      <c r="C288" s="368" t="str">
        <f>IFERROR(__xludf.DUMMYFUNCTION("""COMPUTED_VALUE"""),"VOA News")</f>
        <v>VOA News</v>
      </c>
      <c r="D288" s="368" t="str">
        <f>IFERROR(__xludf.DUMMYFUNCTION("""COMPUTED_VALUE"""),"Latest Developments in Ukraine")</f>
        <v>Latest Developments in Ukraine</v>
      </c>
      <c r="E288" s="507" t="str">
        <f>IFERROR(__xludf.DUMMYFUNCTION("""COMPUTED_VALUE"""),"https://www.voanews.com/a/latest-developments-in-ukraine-feb-13/6960220.html")</f>
        <v>https://www.voanews.com/a/latest-developments-in-ukraine-feb-13/6960220.html</v>
      </c>
      <c r="F288" s="368" t="str">
        <f>IFERROR(__xludf.DUMMYFUNCTION("""COMPUTED_VALUE"""),"Betterhomes")</f>
        <v>Betterhomes</v>
      </c>
    </row>
    <row r="289">
      <c r="A289" s="402">
        <f>IFERROR(__xludf.DUMMYFUNCTION("""COMPUTED_VALUE"""),44970.0)</f>
        <v>44970</v>
      </c>
      <c r="B289" s="368" t="str">
        <f>IFERROR(__xludf.DUMMYFUNCTION("""COMPUTED_VALUE"""),"Tier 3")</f>
        <v>Tier 3</v>
      </c>
      <c r="C289" s="368" t="str">
        <f>IFERROR(__xludf.DUMMYFUNCTION("""COMPUTED_VALUE"""),"Blue News (Germany)")</f>
        <v>Blue News (Germany)</v>
      </c>
      <c r="D289" s="368" t="str">
        <f>IFERROR(__xludf.DUMMYFUNCTION("""COMPUTED_VALUE"""),"How Dubai once again benefits from a crisis")</f>
        <v>How Dubai once again benefits from a crisis</v>
      </c>
      <c r="E289" s="507" t="str">
        <f>IFERROR(__xludf.DUMMYFUNCTION("""COMPUTED_VALUE"""),"https://www.bluewin.ch/de/news/international/wie-dubai-wieder-einmal-von-einer-krise-profitiert-1628020.html")</f>
        <v>https://www.bluewin.ch/de/news/international/wie-dubai-wieder-einmal-von-einer-krise-profitiert-1628020.html</v>
      </c>
      <c r="F289" s="368" t="str">
        <f>IFERROR(__xludf.DUMMYFUNCTION("""COMPUTED_VALUE"""),"Betterhomes")</f>
        <v>Betterhomes</v>
      </c>
    </row>
    <row r="290">
      <c r="A290" s="402">
        <f>IFERROR(__xludf.DUMMYFUNCTION("""COMPUTED_VALUE"""),44970.0)</f>
        <v>44970</v>
      </c>
      <c r="B290" s="368" t="str">
        <f>IFERROR(__xludf.DUMMYFUNCTION("""COMPUTED_VALUE"""),"Tier 3")</f>
        <v>Tier 3</v>
      </c>
      <c r="C290" s="368" t="str">
        <f>IFERROR(__xludf.DUMMYFUNCTION("""COMPUTED_VALUE"""),"Biz Live (Vietnam)")</f>
        <v>Biz Live (Vietnam)</v>
      </c>
      <c r="D290" s="368" t="str">
        <f>IFERROR(__xludf.DUMMYFUNCTION("""COMPUTED_VALUE"""),"Dubai real estate boomed again with strong money from Russia")</f>
        <v>Dubai real estate boomed again with strong money from Russia</v>
      </c>
      <c r="E290" s="507" t="str">
        <f>IFERROR(__xludf.DUMMYFUNCTION("""COMPUTED_VALUE"""),"https://nhipsongkinhdoanh.vn/bat-dong-san-dubai-bung-no-tro-lai-voi-nguon-tien-manh-tu-nga-post3107017.html")</f>
        <v>https://nhipsongkinhdoanh.vn/bat-dong-san-dubai-bung-no-tro-lai-voi-nguon-tien-manh-tu-nga-post3107017.html</v>
      </c>
      <c r="F290" s="368" t="str">
        <f>IFERROR(__xludf.DUMMYFUNCTION("""COMPUTED_VALUE"""),"Betterhomes")</f>
        <v>Betterhomes</v>
      </c>
    </row>
    <row r="291">
      <c r="A291" s="402">
        <f>IFERROR(__xludf.DUMMYFUNCTION("""COMPUTED_VALUE"""),44970.0)</f>
        <v>44970</v>
      </c>
      <c r="B291" s="368" t="str">
        <f>IFERROR(__xludf.DUMMYFUNCTION("""COMPUTED_VALUE"""),"Tier 2")</f>
        <v>Tier 2</v>
      </c>
      <c r="C291" s="368" t="str">
        <f>IFERROR(__xludf.DUMMYFUNCTION("""COMPUTED_VALUE"""),"Khaleej Times")</f>
        <v>Khaleej Times</v>
      </c>
      <c r="D291" s="368" t="str">
        <f>IFERROR(__xludf.DUMMYFUNCTION("""COMPUTED_VALUE"""),"What are the red flags when buying a flat in Dubai?")</f>
        <v>What are the red flags when buying a flat in Dubai?</v>
      </c>
      <c r="E291" s="507" t="str">
        <f>IFERROR(__xludf.DUMMYFUNCTION("""COMPUTED_VALUE"""),"https://www.khaleejtimes.com/business/what-are-the-red-flags-when-buying-a-flat-in-dubai")</f>
        <v>https://www.khaleejtimes.com/business/what-are-the-red-flags-when-buying-a-flat-in-dubai</v>
      </c>
      <c r="F291" s="368" t="str">
        <f>IFERROR(__xludf.DUMMYFUNCTION("""COMPUTED_VALUE"""),"Betterhomes")</f>
        <v>Betterhomes</v>
      </c>
    </row>
    <row r="292">
      <c r="A292" s="402">
        <f>IFERROR(__xludf.DUMMYFUNCTION("""COMPUTED_VALUE"""),44972.0)</f>
        <v>44972</v>
      </c>
      <c r="B292" s="368" t="str">
        <f>IFERROR(__xludf.DUMMYFUNCTION("""COMPUTED_VALUE"""),"Tier 2")</f>
        <v>Tier 2</v>
      </c>
      <c r="C292" s="368" t="str">
        <f>IFERROR(__xludf.DUMMYFUNCTION("""COMPUTED_VALUE"""),"Gulf News")</f>
        <v>Gulf News</v>
      </c>
      <c r="D292" s="368" t="str">
        <f>IFERROR(__xludf.DUMMYFUNCTION("""COMPUTED_VALUE"""),"No more rental cheques? Tenants in Dubai now have the option to pay for rent via direct debit – here’s how")</f>
        <v>No more rental cheques? Tenants in Dubai now have the option to pay for rent via direct debit – here’s how</v>
      </c>
      <c r="E292" s="507" t="str">
        <f>IFERROR(__xludf.DUMMYFUNCTION("""COMPUTED_VALUE"""),"https://gulfnews.com/living-in-uae/housing/no-more-rental-cheques-tenants-in-dubai-now-have-the-option-to-pay-for-rent-via-direct-debit--heres-how-1.1676445697131")</f>
        <v>https://gulfnews.com/living-in-uae/housing/no-more-rental-cheques-tenants-in-dubai-now-have-the-option-to-pay-for-rent-via-direct-debit--heres-how-1.1676445697131</v>
      </c>
      <c r="F292" s="368" t="str">
        <f>IFERROR(__xludf.DUMMYFUNCTION("""COMPUTED_VALUE"""),"Betterhomes")</f>
        <v>Betterhomes</v>
      </c>
    </row>
    <row r="293">
      <c r="A293" s="402">
        <f>IFERROR(__xludf.DUMMYFUNCTION("""COMPUTED_VALUE"""),44972.0)</f>
        <v>44972</v>
      </c>
      <c r="B293" s="368" t="str">
        <f>IFERROR(__xludf.DUMMYFUNCTION("""COMPUTED_VALUE"""),"Tier 1")</f>
        <v>Tier 1</v>
      </c>
      <c r="C293" s="368" t="str">
        <f>IFERROR(__xludf.DUMMYFUNCTION("""COMPUTED_VALUE"""),"AP News")</f>
        <v>AP News</v>
      </c>
      <c r="D293" s="368" t="str">
        <f>IFERROR(__xludf.DUMMYFUNCTION("""COMPUTED_VALUE"""),"Dubai boom sees Russian cash, high rents and reborn projects")</f>
        <v>Dubai boom sees Russian cash, high rents and reborn projects</v>
      </c>
      <c r="E293" s="507" t="str">
        <f>IFERROR(__xludf.DUMMYFUNCTION("""COMPUTED_VALUE"""),"https://apnews.com/article/us-department-of-the-treasury-business-united-arab-emirates-dubai-middle-east-192fbc4638f38d9334ad2508cae1eef4")</f>
        <v>https://apnews.com/article/us-department-of-the-treasury-business-united-arab-emirates-dubai-middle-east-192fbc4638f38d9334ad2508cae1eef4</v>
      </c>
      <c r="F293" s="368" t="str">
        <f>IFERROR(__xludf.DUMMYFUNCTION("""COMPUTED_VALUE"""),"Betterhomes")</f>
        <v>Betterhomes</v>
      </c>
    </row>
    <row r="294">
      <c r="A294" s="402">
        <f>IFERROR(__xludf.DUMMYFUNCTION("""COMPUTED_VALUE"""),44977.0)</f>
        <v>44977</v>
      </c>
      <c r="B294" s="368" t="str">
        <f>IFERROR(__xludf.DUMMYFUNCTION("""COMPUTED_VALUE"""),"Tier 3")</f>
        <v>Tier 3</v>
      </c>
      <c r="C294" s="368" t="str">
        <f>IFERROR(__xludf.DUMMYFUNCTION("""COMPUTED_VALUE"""),"The Independant (Spain)")</f>
        <v>The Independant (Spain)</v>
      </c>
      <c r="D294" s="368" t="str">
        <f>IFERROR(__xludf.DUMMYFUNCTION("""COMPUTED_VALUE"""),"Dubai, the golden haven of Russian millionaires")</f>
        <v>Dubai, the golden haven of Russian millionaires</v>
      </c>
      <c r="E294" s="507" t="str">
        <f>IFERROR(__xludf.DUMMYFUNCTION("""COMPUTED_VALUE"""),"https://www.elindependiente.com/internacional/2023/02/20/dubai-el-refugio-dorado-de-los-millonarios-rusos/")</f>
        <v>https://www.elindependiente.com/internacional/2023/02/20/dubai-el-refugio-dorado-de-los-millonarios-rusos/</v>
      </c>
      <c r="F294" s="368" t="str">
        <f>IFERROR(__xludf.DUMMYFUNCTION("""COMPUTED_VALUE"""),"Betterhomes")</f>
        <v>Betterhomes</v>
      </c>
    </row>
    <row r="295">
      <c r="A295" s="402">
        <f>IFERROR(__xludf.DUMMYFUNCTION("""COMPUTED_VALUE"""),44978.0)</f>
        <v>44978</v>
      </c>
      <c r="B295" s="368" t="str">
        <f>IFERROR(__xludf.DUMMYFUNCTION("""COMPUTED_VALUE"""),"Tier 3")</f>
        <v>Tier 3</v>
      </c>
      <c r="C295" s="368" t="str">
        <f>IFERROR(__xludf.DUMMYFUNCTION("""COMPUTED_VALUE"""),"Jordan Times")</f>
        <v>Jordan Times</v>
      </c>
      <c r="D295" s="368" t="str">
        <f>IFERROR(__xludf.DUMMYFUNCTION("""COMPUTED_VALUE"""),"Dubai airport sees surge in arrivals bolstered by Russian influx")</f>
        <v>Dubai airport sees surge in arrivals bolstered by Russian influx</v>
      </c>
      <c r="E295" s="507" t="str">
        <f>IFERROR(__xludf.DUMMYFUNCTION("""COMPUTED_VALUE"""),"https://jordantimes.com/news/business/dubai-airport-sees-surge-arrivals-bolstered-russian-influx")</f>
        <v>https://jordantimes.com/news/business/dubai-airport-sees-surge-arrivals-bolstered-russian-influx</v>
      </c>
      <c r="F295" s="368" t="str">
        <f>IFERROR(__xludf.DUMMYFUNCTION("""COMPUTED_VALUE"""),"Betterhomes")</f>
        <v>Betterhomes</v>
      </c>
    </row>
    <row r="296">
      <c r="A296" s="402">
        <f>IFERROR(__xludf.DUMMYFUNCTION("""COMPUTED_VALUE"""),44978.0)</f>
        <v>44978</v>
      </c>
      <c r="B296" s="368" t="str">
        <f>IFERROR(__xludf.DUMMYFUNCTION("""COMPUTED_VALUE"""),"Tier 2")</f>
        <v>Tier 2</v>
      </c>
      <c r="C296" s="368" t="str">
        <f>IFERROR(__xludf.DUMMYFUNCTION("""COMPUTED_VALUE"""),"Khaleej Times")</f>
        <v>Khaleej Times</v>
      </c>
      <c r="D296" s="368" t="str">
        <f>IFERROR(__xludf.DUMMYFUNCTION("""COMPUTED_VALUE"""),"Dubai: Should I hire a property company to lease my villa as I relocate to my country?")</f>
        <v>Dubai: Should I hire a property company to lease my villa as I relocate to my country?</v>
      </c>
      <c r="E296" s="507" t="str">
        <f>IFERROR(__xludf.DUMMYFUNCTION("""COMPUTED_VALUE"""),"https://www.khaleejtimes.com/business/property/dubai-should-i-hire-a-property-company-to-lease-my-villa-as-i-relocate-to-my-country")</f>
        <v>https://www.khaleejtimes.com/business/property/dubai-should-i-hire-a-property-company-to-lease-my-villa-as-i-relocate-to-my-country</v>
      </c>
      <c r="F296" s="368" t="str">
        <f>IFERROR(__xludf.DUMMYFUNCTION("""COMPUTED_VALUE"""),"PM Betterhomes")</f>
        <v>PM Betterhomes</v>
      </c>
    </row>
    <row r="297">
      <c r="A297" s="402">
        <f>IFERROR(__xludf.DUMMYFUNCTION("""COMPUTED_VALUE"""),44978.0)</f>
        <v>44978</v>
      </c>
      <c r="B297" s="368" t="str">
        <f>IFERROR(__xludf.DUMMYFUNCTION("""COMPUTED_VALUE"""),"Tier 3")</f>
        <v>Tier 3</v>
      </c>
      <c r="C297" s="368" t="str">
        <f>IFERROR(__xludf.DUMMYFUNCTION("""COMPUTED_VALUE"""),"NPR ")</f>
        <v>NPR </v>
      </c>
      <c r="D297" s="368" t="str">
        <f>IFERROR(__xludf.DUMMYFUNCTION("""COMPUTED_VALUE"""),"For Ukrainians in Dubai, a new restaurant offers a taste of home")</f>
        <v>For Ukrainians in Dubai, a new restaurant offers a taste of home</v>
      </c>
      <c r="E297" s="507" t="str">
        <f>IFERROR(__xludf.DUMMYFUNCTION("""COMPUTED_VALUE"""),"https://www.npr.org/2023/02/26/1152488159/ukrainian-food-dubai-yoy-restaurant")</f>
        <v>https://www.npr.org/2023/02/26/1152488159/ukrainian-food-dubai-yoy-restaurant</v>
      </c>
      <c r="F297" s="368" t="str">
        <f>IFERROR(__xludf.DUMMYFUNCTION("""COMPUTED_VALUE"""),"Betterhomes")</f>
        <v>Betterhomes</v>
      </c>
    </row>
    <row r="298">
      <c r="A298" s="402">
        <f>IFERROR(__xludf.DUMMYFUNCTION("""COMPUTED_VALUE"""),44978.0)</f>
        <v>44978</v>
      </c>
      <c r="B298" s="368" t="str">
        <f>IFERROR(__xludf.DUMMYFUNCTION("""COMPUTED_VALUE"""),"Tier 2")</f>
        <v>Tier 2</v>
      </c>
      <c r="C298" s="368" t="str">
        <f>IFERROR(__xludf.DUMMYFUNCTION("""COMPUTED_VALUE"""),"The Business Times")</f>
        <v>The Business Times</v>
      </c>
      <c r="D298" s="368" t="str">
        <f>IFERROR(__xludf.DUMMYFUNCTION("""COMPUTED_VALUE"""),"Dubai airport sees surge in arrivals, bolstered by Russian influx")</f>
        <v>Dubai airport sees surge in arrivals, bolstered by Russian influx</v>
      </c>
      <c r="E298" s="507" t="str">
        <f>IFERROR(__xludf.DUMMYFUNCTION("""COMPUTED_VALUE"""),"https://www.businesstimes.com.sg/international/dubai-airport-sees-surge-arrivals-bolstered-russian-influx")</f>
        <v>https://www.businesstimes.com.sg/international/dubai-airport-sees-surge-arrivals-bolstered-russian-influx</v>
      </c>
      <c r="F298" s="368" t="str">
        <f>IFERROR(__xludf.DUMMYFUNCTION("""COMPUTED_VALUE"""),"Betterhomes")</f>
        <v>Betterhomes</v>
      </c>
    </row>
    <row r="299">
      <c r="A299" s="402">
        <f>IFERROR(__xludf.DUMMYFUNCTION("""COMPUTED_VALUE"""),44980.0)</f>
        <v>44980</v>
      </c>
      <c r="B299" s="368" t="str">
        <f>IFERROR(__xludf.DUMMYFUNCTION("""COMPUTED_VALUE"""),"Tier 3")</f>
        <v>Tier 3</v>
      </c>
      <c r="C299" s="368" t="str">
        <f>IFERROR(__xludf.DUMMYFUNCTION("""COMPUTED_VALUE"""),"Dubai Economic Times (India)")</f>
        <v>Dubai Economic Times (India)</v>
      </c>
      <c r="D299" s="368" t="str">
        <f>IFERROR(__xludf.DUMMYFUNCTION("""COMPUTED_VALUE"""),"Dubai housing boom buoys buyers, burdens tenants")</f>
        <v>Dubai housing boom buoys buyers, burdens tenants</v>
      </c>
      <c r="E299" s="507" t="str">
        <f>IFERROR(__xludf.DUMMYFUNCTION("""COMPUTED_VALUE"""),"https://economictimes.indiatimes.com/nri/invest/dubai-housing-boom-buoys-buyers-burdens-tenants/articleshow/98170301.cms")</f>
        <v>https://economictimes.indiatimes.com/nri/invest/dubai-housing-boom-buoys-buyers-burdens-tenants/articleshow/98170301.cms</v>
      </c>
      <c r="F299" s="368" t="str">
        <f>IFERROR(__xludf.DUMMYFUNCTION("""COMPUTED_VALUE"""),"Betterhomes")</f>
        <v>Betterhomes</v>
      </c>
    </row>
    <row r="300">
      <c r="A300" s="402">
        <f>IFERROR(__xludf.DUMMYFUNCTION("""COMPUTED_VALUE"""),44980.0)</f>
        <v>44980</v>
      </c>
      <c r="B300" s="368" t="str">
        <f>IFERROR(__xludf.DUMMYFUNCTION("""COMPUTED_VALUE"""),"Tier 3")</f>
        <v>Tier 3</v>
      </c>
      <c r="C300" s="368" t="str">
        <f>IFERROR(__xludf.DUMMYFUNCTION("""COMPUTED_VALUE"""),"Vietnam Bizz (Vietnam)")</f>
        <v>Vietnam Bizz (Vietnam)</v>
      </c>
      <c r="D300" s="368" t="str">
        <f>IFERROR(__xludf.DUMMYFUNCTION("""COMPUTED_VALUE"""),"Dubai witnessed a record number of real estate transactions in 2022")</f>
        <v>Dubai witnessed a record number of real estate transactions in 2022</v>
      </c>
      <c r="E300" s="507" t="str">
        <f>IFERROR(__xludf.DUMMYFUNCTION("""COMPUTED_VALUE"""),"https://vietnambiz.vn/dubai-chung-kien-luong-giao-dich-bat-dong-san-ky-luc-trong-nam-2022-2023223222756601.htm")</f>
        <v>https://vietnambiz.vn/dubai-chung-kien-luong-giao-dich-bat-dong-san-ky-luc-trong-nam-2022-2023223222756601.htm</v>
      </c>
      <c r="F300" s="368" t="str">
        <f>IFERROR(__xludf.DUMMYFUNCTION("""COMPUTED_VALUE"""),"Betterhomes")</f>
        <v>Betterhomes</v>
      </c>
    </row>
    <row r="301">
      <c r="A301" s="402">
        <f>IFERROR(__xludf.DUMMYFUNCTION("""COMPUTED_VALUE"""),44980.0)</f>
        <v>44980</v>
      </c>
      <c r="B301" s="368" t="str">
        <f>IFERROR(__xludf.DUMMYFUNCTION("""COMPUTED_VALUE"""),"Tier 3")</f>
        <v>Tier 3</v>
      </c>
      <c r="C301" s="368" t="str">
        <f>IFERROR(__xludf.DUMMYFUNCTION("""COMPUTED_VALUE"""),"Zaman (Turkey)")</f>
        <v>Zaman (Turkey)</v>
      </c>
      <c r="D301" s="368" t="str">
        <f>IFERROR(__xludf.DUMMYFUNCTION("""COMPUTED_VALUE"""),"Dubai housing boom floats buyers, strains tenants")</f>
        <v>Dubai housing boom floats buyers, strains tenants</v>
      </c>
      <c r="E301" s="507" t="str">
        <f>IFERROR(__xludf.DUMMYFUNCTION("""COMPUTED_VALUE"""),"https://zamanbelcika.be/ekonomi/dubai-konut-patlamasi-alicilari-samandiralar-kiracilari-zorlar/93593/")</f>
        <v>https://zamanbelcika.be/ekonomi/dubai-konut-patlamasi-alicilari-samandiralar-kiracilari-zorlar/93593/</v>
      </c>
      <c r="F301" s="368" t="str">
        <f>IFERROR(__xludf.DUMMYFUNCTION("""COMPUTED_VALUE"""),"Betterhomes")</f>
        <v>Betterhomes</v>
      </c>
    </row>
    <row r="302">
      <c r="A302" s="402">
        <f>IFERROR(__xludf.DUMMYFUNCTION("""COMPUTED_VALUE"""),44981.0)</f>
        <v>44981</v>
      </c>
      <c r="B302" s="368" t="str">
        <f>IFERROR(__xludf.DUMMYFUNCTION("""COMPUTED_VALUE"""),"Tier 3")</f>
        <v>Tier 3</v>
      </c>
      <c r="C302" s="368" t="str">
        <f>IFERROR(__xludf.DUMMYFUNCTION("""COMPUTED_VALUE"""),"Yahoo Finance")</f>
        <v>Yahoo Finance</v>
      </c>
      <c r="D302" s="368" t="str">
        <f>IFERROR(__xludf.DUMMYFUNCTION("""COMPUTED_VALUE"""),"US Targets Bank With UAE Ties in New Phase of Russia Sanctions")</f>
        <v>US Targets Bank With UAE Ties in New Phase of Russia Sanctions</v>
      </c>
      <c r="E302" s="507" t="str">
        <f>IFERROR(__xludf.DUMMYFUNCTION("""COMPUTED_VALUE"""),"https://finance.yahoo.com/news/g-7-sanctions-target-key-100000648.html?guccounter=1&amp;guce_referrer=aHR0cHM6Ly93d3cuZ29vZ2xlLmNvbS8&amp;guce_referrer_sig=AQAAANuRxrMPOhqOn5MEnoNAKUL86axWbGapzrkoX5cCD9T9DKehlHWNel1fiG4EzF1yW4Hg4YHNnxWWMQkY1fszEhPFGiL8AHhFHfGht_d"&amp;"n0gPU1ZxlxqGN27BeZJfxWSZDyKPVpEln1_SZdZNR6LN_JCztuZM0eMuGXTSUSctbUfSP")</f>
        <v>https://finance.yahoo.com/news/g-7-sanctions-target-key-100000648.html?guccounter=1&amp;guce_referrer=aHR0cHM6Ly93d3cuZ29vZ2xlLmNvbS8&amp;guce_referrer_sig=AQAAANuRxrMPOhqOn5MEnoNAKUL86axWbGapzrkoX5cCD9T9DKehlHWNel1fiG4EzF1yW4Hg4YHNnxWWMQkY1fszEhPFGiL8AHhFHfGht_dn0gPU1ZxlxqGN27BeZJfxWSZDyKPVpEln1_SZdZNR6LN_JCztuZM0eMuGXTSUSctbUfSP</v>
      </c>
      <c r="F302" s="368" t="str">
        <f>IFERROR(__xludf.DUMMYFUNCTION("""COMPUTED_VALUE"""),"Betterhomes")</f>
        <v>Betterhomes</v>
      </c>
    </row>
    <row r="303">
      <c r="A303" s="402">
        <f>IFERROR(__xludf.DUMMYFUNCTION("""COMPUTED_VALUE"""),44981.0)</f>
        <v>44981</v>
      </c>
      <c r="B303" s="368" t="str">
        <f>IFERROR(__xludf.DUMMYFUNCTION("""COMPUTED_VALUE"""),"Tier 3")</f>
        <v>Tier 3</v>
      </c>
      <c r="C303" s="368" t="str">
        <f>IFERROR(__xludf.DUMMYFUNCTION("""COMPUTED_VALUE"""),"BFM TV (France)")</f>
        <v>BFM TV (France)</v>
      </c>
      <c r="D303" s="368" t="str">
        <f>IFERROR(__xludf.DUMMYFUNCTION("""COMPUTED_VALUE"""),"IN DUBAI, TENANTS SUFFER FROM SHARP INCREASES IN PROPERTY PRICES")</f>
        <v>IN DUBAI, TENANTS SUFFER FROM SHARP INCREASES IN PROPERTY PRICES</v>
      </c>
      <c r="E303" s="507" t="str">
        <f>IFERROR(__xludf.DUMMYFUNCTION("""COMPUTED_VALUE"""),"https://www.bfmtv.com/immobilier/international-etranger/a-dubai-les-locataires-subissent-les-fortes-hausses-des-prix-de-l-immobilier_AD-202302230202.html")</f>
        <v>https://www.bfmtv.com/immobilier/international-etranger/a-dubai-les-locataires-subissent-les-fortes-hausses-des-prix-de-l-immobilier_AD-202302230202.html</v>
      </c>
      <c r="F303" s="368" t="str">
        <f>IFERROR(__xludf.DUMMYFUNCTION("""COMPUTED_VALUE"""),"Betterhomes")</f>
        <v>Betterhomes</v>
      </c>
    </row>
    <row r="304">
      <c r="A304" s="402">
        <f>IFERROR(__xludf.DUMMYFUNCTION("""COMPUTED_VALUE"""),44981.0)</f>
        <v>44981</v>
      </c>
      <c r="B304" s="368" t="str">
        <f>IFERROR(__xludf.DUMMYFUNCTION("""COMPUTED_VALUE"""),"Tier 1")</f>
        <v>Tier 1</v>
      </c>
      <c r="C304" s="368" t="str">
        <f>IFERROR(__xludf.DUMMYFUNCTION("""COMPUTED_VALUE"""),"Forbes India")</f>
        <v>Forbes India</v>
      </c>
      <c r="D304" s="368" t="str">
        <f>IFERROR(__xludf.DUMMYFUNCTION("""COMPUTED_VALUE"""),"Dubai housing boom buoys buyers, burdens tenants")</f>
        <v>Dubai housing boom buoys buyers, burdens tenants</v>
      </c>
      <c r="E304" s="507" t="str">
        <f>IFERROR(__xludf.DUMMYFUNCTION("""COMPUTED_VALUE"""),"https://www.forbesindia.com/article/lifes/dubai-housing-boom-buoys-buyers-burdens-tenants/83411/1")</f>
        <v>https://www.forbesindia.com/article/lifes/dubai-housing-boom-buoys-buyers-burdens-tenants/83411/1</v>
      </c>
      <c r="F304" s="368" t="str">
        <f>IFERROR(__xludf.DUMMYFUNCTION("""COMPUTED_VALUE"""),"Betterhomes")</f>
        <v>Betterhomes</v>
      </c>
    </row>
    <row r="305">
      <c r="A305" s="402">
        <f>IFERROR(__xludf.DUMMYFUNCTION("""COMPUTED_VALUE"""),44981.0)</f>
        <v>44981</v>
      </c>
      <c r="B305" s="368" t="str">
        <f>IFERROR(__xludf.DUMMYFUNCTION("""COMPUTED_VALUE"""),"Tier 1")</f>
        <v>Tier 1</v>
      </c>
      <c r="C305" s="368" t="str">
        <f>IFERROR(__xludf.DUMMYFUNCTION("""COMPUTED_VALUE"""),"Forbes Middle East (Instagram)")</f>
        <v>Forbes Middle East (Instagram)</v>
      </c>
      <c r="D305" s="368" t="str">
        <f>IFERROR(__xludf.DUMMYFUNCTION("""COMPUTED_VALUE"""),"Property prices in Dubai have soared, allowing the sector to rake in more than $140 billion in 2022. However, rising prices have left tenants facing a 20% increase in rent.")</f>
        <v>Property prices in Dubai have soared, allowing the sector to rake in more than $140 billion in 2022. However, rising prices have left tenants facing a 20% increase in rent.</v>
      </c>
      <c r="E305" s="507" t="str">
        <f>IFERROR(__xludf.DUMMYFUNCTION("""COMPUTED_VALUE"""),"https://www.instagram.com/reel/CpCbCVLAlhj/?id=3045115205483911267_1544565637")</f>
        <v>https://www.instagram.com/reel/CpCbCVLAlhj/?id=3045115205483911267_1544565637</v>
      </c>
      <c r="F305" s="368" t="str">
        <f>IFERROR(__xludf.DUMMYFUNCTION("""COMPUTED_VALUE"""),"Betterhomes")</f>
        <v>Betterhomes</v>
      </c>
    </row>
    <row r="306">
      <c r="A306" s="402">
        <f>IFERROR(__xludf.DUMMYFUNCTION("""COMPUTED_VALUE"""),44982.0)</f>
        <v>44982</v>
      </c>
      <c r="B306" s="368" t="str">
        <f>IFERROR(__xludf.DUMMYFUNCTION("""COMPUTED_VALUE"""),"Tier 3")</f>
        <v>Tier 3</v>
      </c>
      <c r="C306" s="368" t="str">
        <f>IFERROR(__xludf.DUMMYFUNCTION("""COMPUTED_VALUE"""),"Mena FN")</f>
        <v>Mena FN</v>
      </c>
      <c r="D306" s="368" t="str">
        <f>IFERROR(__xludf.DUMMYFUNCTION("""COMPUTED_VALUE"""),"Dubai Airport Sees Surge In Arrivals Bolstered By Russian Influx")</f>
        <v>Dubai Airport Sees Surge In Arrivals Bolstered By Russian Influx</v>
      </c>
      <c r="E306" s="507" t="str">
        <f>IFERROR(__xludf.DUMMYFUNCTION("""COMPUTED_VALUE"""),"https://menafn.com/1105644812/Dubai-Airport-Sees-Surge-In-Arrivals-Bolstered-By-Russian-Influx")</f>
        <v>https://menafn.com/1105644812/Dubai-Airport-Sees-Surge-In-Arrivals-Bolstered-By-Russian-Influx</v>
      </c>
      <c r="F306" s="368" t="str">
        <f>IFERROR(__xludf.DUMMYFUNCTION("""COMPUTED_VALUE"""),"Betterhomes")</f>
        <v>Betterhomes</v>
      </c>
    </row>
    <row r="307">
      <c r="A307" s="402">
        <f>IFERROR(__xludf.DUMMYFUNCTION("""COMPUTED_VALUE"""),44986.0)</f>
        <v>44986</v>
      </c>
      <c r="B307" s="368" t="str">
        <f>IFERROR(__xludf.DUMMYFUNCTION("""COMPUTED_VALUE"""),"Tier 2")</f>
        <v>Tier 2</v>
      </c>
      <c r="C307" s="368" t="str">
        <f>IFERROR(__xludf.DUMMYFUNCTION("""COMPUTED_VALUE"""),"Gulf News")</f>
        <v>Gulf News</v>
      </c>
      <c r="D307" s="368" t="str">
        <f>IFERROR(__xludf.DUMMYFUNCTION("""COMPUTED_VALUE"""),"Dubai’s luxury property market is closing in on New York, Los Angeles")</f>
        <v>Dubai’s luxury property market is closing in on New York, Los Angeles</v>
      </c>
      <c r="E307" s="507" t="str">
        <f>IFERROR(__xludf.DUMMYFUNCTION("""COMPUTED_VALUE"""),"https://gulfnews.com/business/property/dubais-luxury-property-market-is-closing-in-on-new-york-los-angeles-1.94169475")</f>
        <v>https://gulfnews.com/business/property/dubais-luxury-property-market-is-closing-in-on-new-york-los-angeles-1.94169475</v>
      </c>
      <c r="F307" s="368" t="str">
        <f>IFERROR(__xludf.DUMMYFUNCTION("""COMPUTED_VALUE"""),"Betterhomes")</f>
        <v>Betterhomes</v>
      </c>
    </row>
    <row r="308">
      <c r="A308" s="402">
        <f>IFERROR(__xludf.DUMMYFUNCTION("""COMPUTED_VALUE"""),44986.0)</f>
        <v>44986</v>
      </c>
      <c r="B308" s="368" t="str">
        <f>IFERROR(__xludf.DUMMYFUNCTION("""COMPUTED_VALUE"""),"Tier 1")</f>
        <v>Tier 1</v>
      </c>
      <c r="C308" s="368" t="str">
        <f>IFERROR(__xludf.DUMMYFUNCTION("""COMPUTED_VALUE"""),"Bloomberg")</f>
        <v>Bloomberg</v>
      </c>
      <c r="D308" s="368" t="str">
        <f>IFERROR(__xludf.DUMMYFUNCTION("""COMPUTED_VALUE"""),"Dubai’s Luxury Homes Lead the World’s Best (and Worst) Property Markets")</f>
        <v>Dubai’s Luxury Homes Lead the World’s Best (and Worst) Property Markets</v>
      </c>
      <c r="E308" s="507" t="str">
        <f>IFERROR(__xludf.DUMMYFUNCTION("""COMPUTED_VALUE"""),"https://www.bloomberg.com/news/articles/2023-03-01/dubai-s-luxury-property-market-is-closing-in-on-new-york-london?utm_source=twitter&amp;utm_content=business&amp;utm_medium=social&amp;utm_campaign=socialflow-organic&amp;cmpid%3D=socialflow-twitter-pursuits&amp;cmpid=socialf"&amp;"low-twitter-business&amp;leadSource=uverify%20wall")</f>
        <v>https://www.bloomberg.com/news/articles/2023-03-01/dubai-s-luxury-property-market-is-closing-in-on-new-york-london?utm_source=twitter&amp;utm_content=business&amp;utm_medium=social&amp;utm_campaign=socialflow-organic&amp;cmpid%3D=socialflow-twitter-pursuits&amp;cmpid=socialflow-twitter-business&amp;leadSource=uverify%20wall</v>
      </c>
      <c r="F308" s="368" t="str">
        <f>IFERROR(__xludf.DUMMYFUNCTION("""COMPUTED_VALUE"""),"Betterhomes")</f>
        <v>Betterhomes</v>
      </c>
    </row>
    <row r="309">
      <c r="A309" s="402">
        <f>IFERROR(__xludf.DUMMYFUNCTION("""COMPUTED_VALUE"""),44986.0)</f>
        <v>44986</v>
      </c>
      <c r="B309" s="368" t="str">
        <f>IFERROR(__xludf.DUMMYFUNCTION("""COMPUTED_VALUE"""),"Tier 2")</f>
        <v>Tier 2</v>
      </c>
      <c r="C309" s="368" t="str">
        <f>IFERROR(__xludf.DUMMYFUNCTION("""COMPUTED_VALUE"""),"The Business Times")</f>
        <v>The Business Times</v>
      </c>
      <c r="D309" s="368" t="str">
        <f>IFERROR(__xludf.DUMMYFUNCTION("""COMPUTED_VALUE"""),"Dubai’s luxury property market closing in on New York, LA")</f>
        <v>Dubai’s luxury property market closing in on New York, LA</v>
      </c>
      <c r="E309" s="507" t="str">
        <f>IFERROR(__xludf.DUMMYFUNCTION("""COMPUTED_VALUE"""),"https://www.businesstimes.com.sg/property/dubais-luxury-property-market-closing-new-york-la")</f>
        <v>https://www.businesstimes.com.sg/property/dubais-luxury-property-market-closing-new-york-la</v>
      </c>
      <c r="F309" s="368" t="str">
        <f>IFERROR(__xludf.DUMMYFUNCTION("""COMPUTED_VALUE"""),"Betterhomes")</f>
        <v>Betterhomes</v>
      </c>
    </row>
    <row r="310">
      <c r="A310" s="402">
        <f>IFERROR(__xludf.DUMMYFUNCTION("""COMPUTED_VALUE"""),44986.0)</f>
        <v>44986</v>
      </c>
      <c r="B310" s="368" t="str">
        <f>IFERROR(__xludf.DUMMYFUNCTION("""COMPUTED_VALUE"""),"Tier 3")</f>
        <v>Tier 3</v>
      </c>
      <c r="C310" s="368" t="str">
        <f>IFERROR(__xludf.DUMMYFUNCTION("""COMPUTED_VALUE"""),"La Republica (Spain)")</f>
        <v>La Republica (Spain)</v>
      </c>
      <c r="D310" s="368" t="str">
        <f>IFERROR(__xludf.DUMMYFUNCTION("""COMPUTED_VALUE"""),"Dubai luxury homes lead the best (and worst) real estate markets")</f>
        <v>Dubai luxury homes lead the best (and worst) real estate markets</v>
      </c>
      <c r="E310" s="507" t="str">
        <f>IFERROR(__xludf.DUMMYFUNCTION("""COMPUTED_VALUE"""),"https://www.larepublica.co/ocio/las-casas-de-lujo-de-dubai-lideran-los-mejores-y-peores-mercados-inmobiliarios-del-mundo-3558753")</f>
        <v>https://www.larepublica.co/ocio/las-casas-de-lujo-de-dubai-lideran-los-mejores-y-peores-mercados-inmobiliarios-del-mundo-3558753</v>
      </c>
      <c r="F310" s="368" t="str">
        <f>IFERROR(__xludf.DUMMYFUNCTION("""COMPUTED_VALUE"""),"Betterhomes")</f>
        <v>Betterhomes</v>
      </c>
    </row>
    <row r="311">
      <c r="A311" s="402">
        <f>IFERROR(__xludf.DUMMYFUNCTION("""COMPUTED_VALUE"""),44988.0)</f>
        <v>44988</v>
      </c>
      <c r="B311" s="368" t="str">
        <f>IFERROR(__xludf.DUMMYFUNCTION("""COMPUTED_VALUE"""),"Tier 1")</f>
        <v>Tier 1</v>
      </c>
      <c r="C311" s="368" t="str">
        <f>IFERROR(__xludf.DUMMYFUNCTION("""COMPUTED_VALUE"""),"Financial Times")</f>
        <v>Financial Times</v>
      </c>
      <c r="D311" s="368" t="str">
        <f>IFERROR(__xludf.DUMMYFUNCTION("""COMPUTED_VALUE"""),"Where Russian homebuyers went next")</f>
        <v>Where Russian homebuyers went next</v>
      </c>
      <c r="E311" s="507" t="str">
        <f>IFERROR(__xludf.DUMMYFUNCTION("""COMPUTED_VALUE"""),"https://www.ft.com/content/5ccb498b-9d6c-4a67-87aa-69f7e3f17092")</f>
        <v>https://www.ft.com/content/5ccb498b-9d6c-4a67-87aa-69f7e3f17092</v>
      </c>
      <c r="F311" s="368" t="str">
        <f>IFERROR(__xludf.DUMMYFUNCTION("""COMPUTED_VALUE"""),"Betterhomes")</f>
        <v>Betterhomes</v>
      </c>
    </row>
    <row r="312">
      <c r="A312" s="402">
        <f>IFERROR(__xludf.DUMMYFUNCTION("""COMPUTED_VALUE"""),44988.0)</f>
        <v>44988</v>
      </c>
      <c r="B312" s="368" t="str">
        <f>IFERROR(__xludf.DUMMYFUNCTION("""COMPUTED_VALUE"""),"Tier 3")</f>
        <v>Tier 3</v>
      </c>
      <c r="C312" s="368" t="str">
        <f>IFERROR(__xludf.DUMMYFUNCTION("""COMPUTED_VALUE"""),"Irytas (Lithuania)")</f>
        <v>Irytas (Lithuania)</v>
      </c>
      <c r="D312" s="368" t="str">
        <f>IFERROR(__xludf.DUMMYFUNCTION("""COMPUTED_VALUE"""),"The rich fleeing from Russia have distorted the real estate market in Dubai")</f>
        <v>The rich fleeing from Russia have distorted the real estate market in Dubai</v>
      </c>
      <c r="E312" s="507" t="str">
        <f>IFERROR(__xludf.DUMMYFUNCTION("""COMPUTED_VALUE"""),"https://www.lrytas.lt/bustas/nekilnojamasis-turtas/2023/03/08/news/is-rusijos-begantys-turciai-iskraipe-nt-rinka-dubajuje-uz-bustus-ne-nesideredami-jie-moka-beprotiskas-sumas-26342315")</f>
        <v>https://www.lrytas.lt/bustas/nekilnojamasis-turtas/2023/03/08/news/is-rusijos-begantys-turciai-iskraipe-nt-rinka-dubajuje-uz-bustus-ne-nesideredami-jie-moka-beprotiskas-sumas-26342315</v>
      </c>
      <c r="F312" s="368" t="str">
        <f>IFERROR(__xludf.DUMMYFUNCTION("""COMPUTED_VALUE"""),"Betterhomes")</f>
        <v>Betterhomes</v>
      </c>
    </row>
    <row r="313">
      <c r="A313" s="402">
        <f>IFERROR(__xludf.DUMMYFUNCTION("""COMPUTED_VALUE"""),44988.0)</f>
        <v>44988</v>
      </c>
      <c r="B313" s="368" t="str">
        <f>IFERROR(__xludf.DUMMYFUNCTION("""COMPUTED_VALUE"""),"Tier 3")</f>
        <v>Tier 3</v>
      </c>
      <c r="C313" s="368" t="str">
        <f>IFERROR(__xludf.DUMMYFUNCTION("""COMPUTED_VALUE"""),"House Fun (China)")</f>
        <v>House Fun (China)</v>
      </c>
      <c r="D313" s="368" t="str">
        <f>IFERROR(__xludf.DUMMYFUNCTION("""COMPUTED_VALUE"""),"Dubai real estate construction project revives")</f>
        <v>Dubai real estate construction project revives</v>
      </c>
      <c r="E313" s="507" t="str">
        <f>IFERROR(__xludf.DUMMYFUNCTION("""COMPUTED_VALUE"""),"https://news.housefun.com.tw/news/article/569264367691.html")</f>
        <v>https://news.housefun.com.tw/news/article/569264367691.html</v>
      </c>
      <c r="F313" s="368" t="str">
        <f>IFERROR(__xludf.DUMMYFUNCTION("""COMPUTED_VALUE"""),"Betterhomes")</f>
        <v>Betterhomes</v>
      </c>
    </row>
    <row r="314">
      <c r="A314" s="402">
        <f>IFERROR(__xludf.DUMMYFUNCTION("""COMPUTED_VALUE"""),44991.0)</f>
        <v>44991</v>
      </c>
      <c r="B314" s="368" t="str">
        <f>IFERROR(__xludf.DUMMYFUNCTION("""COMPUTED_VALUE"""),"Tier 2")</f>
        <v>Tier 2</v>
      </c>
      <c r="C314" s="368" t="str">
        <f>IFERROR(__xludf.DUMMYFUNCTION("""COMPUTED_VALUE"""),"Zawya ")</f>
        <v>Zawya </v>
      </c>
      <c r="D314" s="368" t="str">
        <f>IFERROR(__xludf.DUMMYFUNCTION("""COMPUTED_VALUE"""),"Demand for Dubai properties is increasing, but Russian buyers are not the main drivers")</f>
        <v>Demand for Dubai properties is increasing, but Russian buyers are not the main drivers</v>
      </c>
      <c r="E314" s="507" t="str">
        <f>IFERROR(__xludf.DUMMYFUNCTION("""COMPUTED_VALUE"""),"https://www.zawya.com/en/business/real-estate/demand-for-dubai-properties-is-increasing-but-russian-buyers-are-not-the-main-drivers-rkqoqu4s")</f>
        <v>https://www.zawya.com/en/business/real-estate/demand-for-dubai-properties-is-increasing-but-russian-buyers-are-not-the-main-drivers-rkqoqu4s</v>
      </c>
      <c r="F314" s="368" t="str">
        <f>IFERROR(__xludf.DUMMYFUNCTION("""COMPUTED_VALUE"""),"Betterhomes")</f>
        <v>Betterhomes</v>
      </c>
    </row>
    <row r="315">
      <c r="A315" s="402">
        <f>IFERROR(__xludf.DUMMYFUNCTION("""COMPUTED_VALUE"""),44994.0)</f>
        <v>44994</v>
      </c>
      <c r="B315" s="368" t="str">
        <f>IFERROR(__xludf.DUMMYFUNCTION("""COMPUTED_VALUE"""),"Tier 2")</f>
        <v>Tier 2</v>
      </c>
      <c r="C315" s="368" t="str">
        <f>IFERROR(__xludf.DUMMYFUNCTION("""COMPUTED_VALUE"""),"Khaleej Times")</f>
        <v>Khaleej Times</v>
      </c>
      <c r="D315" s="368" t="str">
        <f>IFERROR(__xludf.DUMMYFUNCTION("""COMPUTED_VALUE"""),"Dubai: Should you buy, rent property directly from the owner or through a property agent?")</f>
        <v>Dubai: Should you buy, rent property directly from the owner or through a property agent?</v>
      </c>
      <c r="E315" s="507" t="str">
        <f>IFERROR(__xludf.DUMMYFUNCTION("""COMPUTED_VALUE"""),"https://www.khaleejtimes.com/business/dubai-should-you-buy-rent-property-directly-from-the-owner-or-through-a-property-agent")</f>
        <v>https://www.khaleejtimes.com/business/dubai-should-you-buy-rent-property-directly-from-the-owner-or-through-a-property-agent</v>
      </c>
      <c r="F315" s="368" t="str">
        <f>IFERROR(__xludf.DUMMYFUNCTION("""COMPUTED_VALUE"""),"Betterhomes")</f>
        <v>Betterhomes</v>
      </c>
    </row>
    <row r="316">
      <c r="A316" s="402">
        <f>IFERROR(__xludf.DUMMYFUNCTION("""COMPUTED_VALUE"""),44997.0)</f>
        <v>44997</v>
      </c>
      <c r="B316" s="368" t="str">
        <f>IFERROR(__xludf.DUMMYFUNCTION("""COMPUTED_VALUE"""),"Tier 1")</f>
        <v>Tier 1</v>
      </c>
      <c r="C316" s="368" t="str">
        <f>IFERROR(__xludf.DUMMYFUNCTION("""COMPUTED_VALUE"""),"Bloomberg (Portugal)")</f>
        <v>Bloomberg (Portugal)</v>
      </c>
      <c r="D316" s="368" t="str">
        <f>IFERROR(__xludf.DUMMYFUNCTION("""COMPUTED_VALUE"""),"Dubai catches up with NY on luxury real estate boom")</f>
        <v>Dubai catches up with NY on luxury real estate boom</v>
      </c>
      <c r="E316" s="507" t="str">
        <f>IFERROR(__xludf.DUMMYFUNCTION("""COMPUTED_VALUE"""),"https://www.bloomberglinea.com.br/2023/03/12/dubai-se-aproxima-de-ny-na-atracao-de-milionarios-que-buscam-casas-de-luxo/")</f>
        <v>https://www.bloomberglinea.com.br/2023/03/12/dubai-se-aproxima-de-ny-na-atracao-de-milionarios-que-buscam-casas-de-luxo/</v>
      </c>
      <c r="F316" s="368" t="str">
        <f>IFERROR(__xludf.DUMMYFUNCTION("""COMPUTED_VALUE"""),"Betterhomes")</f>
        <v>Betterhomes</v>
      </c>
    </row>
    <row r="317">
      <c r="A317" s="402">
        <f>IFERROR(__xludf.DUMMYFUNCTION("""COMPUTED_VALUE"""),44997.0)</f>
        <v>44997</v>
      </c>
      <c r="B317" s="368" t="str">
        <f>IFERROR(__xludf.DUMMYFUNCTION("""COMPUTED_VALUE"""),"Tier 2")</f>
        <v>Tier 2</v>
      </c>
      <c r="C317" s="368" t="str">
        <f>IFERROR(__xludf.DUMMYFUNCTION("""COMPUTED_VALUE"""),"Mena FN")</f>
        <v>Mena FN</v>
      </c>
      <c r="D317" s="368" t="str">
        <f>IFERROR(__xludf.DUMMYFUNCTION("""COMPUTED_VALUE"""),"Why Property Buyers Pay Up To 7% Extra Of Total Value?")</f>
        <v>Why Property Buyers Pay Up To 7% Extra Of Total Value?</v>
      </c>
      <c r="E317" s="507" t="str">
        <f>IFERROR(__xludf.DUMMYFUNCTION("""COMPUTED_VALUE"""),"https://menafn.com/1105778651/Why-Property-Buyers-Pay-Up-To-7-Extra-Of-Total-Value")</f>
        <v>https://menafn.com/1105778651/Why-Property-Buyers-Pay-Up-To-7-Extra-Of-Total-Value</v>
      </c>
      <c r="F317" s="368" t="str">
        <f>IFERROR(__xludf.DUMMYFUNCTION("""COMPUTED_VALUE"""),"Betterhomes")</f>
        <v>Betterhomes</v>
      </c>
    </row>
    <row r="318">
      <c r="A318" s="402">
        <f>IFERROR(__xludf.DUMMYFUNCTION("""COMPUTED_VALUE"""),44999.0)</f>
        <v>44999</v>
      </c>
      <c r="B318" s="368" t="str">
        <f>IFERROR(__xludf.DUMMYFUNCTION("""COMPUTED_VALUE"""),"Tier 3")</f>
        <v>Tier 3</v>
      </c>
      <c r="C318" s="368" t="str">
        <f>IFERROR(__xludf.DUMMYFUNCTION("""COMPUTED_VALUE"""),"The Indian Express (India)")</f>
        <v>The Indian Express (India)</v>
      </c>
      <c r="D318" s="368" t="str">
        <f>IFERROR(__xludf.DUMMYFUNCTION("""COMPUTED_VALUE"""),"Russia outside Russia’: For elite, Dubai becomes a wartime harbour")</f>
        <v>Russia outside Russia’: For elite, Dubai becomes a wartime harbour</v>
      </c>
      <c r="E318" s="507" t="str">
        <f>IFERROR(__xludf.DUMMYFUNCTION("""COMPUTED_VALUE"""),"https://indianexpress.com/article/world/how-dubai-became-russia-wartime-harbour-8495299/")</f>
        <v>https://indianexpress.com/article/world/how-dubai-became-russia-wartime-harbour-8495299/</v>
      </c>
      <c r="F318" s="368" t="str">
        <f>IFERROR(__xludf.DUMMYFUNCTION("""COMPUTED_VALUE"""),"Betterhomes")</f>
        <v>Betterhomes</v>
      </c>
    </row>
    <row r="319">
      <c r="A319" s="402">
        <f>IFERROR(__xludf.DUMMYFUNCTION("""COMPUTED_VALUE"""),44999.0)</f>
        <v>44999</v>
      </c>
      <c r="B319" s="368" t="str">
        <f>IFERROR(__xludf.DUMMYFUNCTION("""COMPUTED_VALUE"""),"Tier 2")</f>
        <v>Tier 2</v>
      </c>
      <c r="C319" s="368" t="str">
        <f>IFERROR(__xludf.DUMMYFUNCTION("""COMPUTED_VALUE"""),"Khaleej Times")</f>
        <v>Khaleej Times</v>
      </c>
      <c r="D319" s="368" t="str">
        <f>IFERROR(__xludf.DUMMYFUNCTION("""COMPUTED_VALUE"""),"Why Property Buyers Pay Up To 7% Extra Of Total Value?")</f>
        <v>Why Property Buyers Pay Up To 7% Extra Of Total Value?</v>
      </c>
      <c r="E319" s="507" t="str">
        <f>IFERROR(__xludf.DUMMYFUNCTION("""COMPUTED_VALUE"""),"https://www.khaleejtimes.com/business/why-property-buyers-pay-up-to-7-extra-of-total-value")</f>
        <v>https://www.khaleejtimes.com/business/why-property-buyers-pay-up-to-7-extra-of-total-value</v>
      </c>
      <c r="F319" s="368" t="str">
        <f>IFERROR(__xludf.DUMMYFUNCTION("""COMPUTED_VALUE"""),"Betterhomes")</f>
        <v>Betterhomes</v>
      </c>
    </row>
    <row r="320">
      <c r="A320" s="402">
        <f>IFERROR(__xludf.DUMMYFUNCTION("""COMPUTED_VALUE"""),45000.0)</f>
        <v>45000</v>
      </c>
      <c r="B320" s="368" t="str">
        <f>IFERROR(__xludf.DUMMYFUNCTION("""COMPUTED_VALUE"""),"Tier 2")</f>
        <v>Tier 2</v>
      </c>
      <c r="C320" s="368" t="str">
        <f>IFERROR(__xludf.DUMMYFUNCTION("""COMPUTED_VALUE"""),"Gulf News")</f>
        <v>Gulf News</v>
      </c>
      <c r="D320" s="368" t="str">
        <f>IFERROR(__xludf.DUMMYFUNCTION("""COMPUTED_VALUE"""),"Bayut and dubizzle hold their annual awards ceremony")</f>
        <v>Bayut and dubizzle hold their annual awards ceremony</v>
      </c>
      <c r="E320" s="507" t="str">
        <f>IFERROR(__xludf.DUMMYFUNCTION("""COMPUTED_VALUE"""),"https://gulfnews.com/business/corporate-news/bayut-and-dubizzle-hold-their-annual-awards-ceremony-1.1678870778266")</f>
        <v>https://gulfnews.com/business/corporate-news/bayut-and-dubizzle-hold-their-annual-awards-ceremony-1.1678870778266</v>
      </c>
      <c r="F320" s="368" t="str">
        <f>IFERROR(__xludf.DUMMYFUNCTION("""COMPUTED_VALUE"""),"Betterhomes")</f>
        <v>Betterhomes</v>
      </c>
    </row>
    <row r="321">
      <c r="A321" s="402">
        <f>IFERROR(__xludf.DUMMYFUNCTION("""COMPUTED_VALUE"""),45001.0)</f>
        <v>45001</v>
      </c>
      <c r="B321" s="368" t="str">
        <f>IFERROR(__xludf.DUMMYFUNCTION("""COMPUTED_VALUE"""),"Tier 3")</f>
        <v>Tier 3</v>
      </c>
      <c r="C321" s="368" t="str">
        <f>IFERROR(__xludf.DUMMYFUNCTION("""COMPUTED_VALUE"""),"De Morgen (Netherlands)")</f>
        <v>De Morgen (Netherlands)</v>
      </c>
      <c r="D321" s="368" t="str">
        <f>IFERROR(__xludf.DUMMYFUNCTION("""COMPUTED_VALUE"""),"This is a part of Russia outside Russia': how Dubai is becoming a haven for the Russian elite")</f>
        <v>This is a part of Russia outside Russia': how Dubai is becoming a haven for the Russian elite</v>
      </c>
      <c r="E321" s="507" t="str">
        <f>IFERROR(__xludf.DUMMYFUNCTION("""COMPUTED_VALUE"""),"https://www.demorgen.be/oorlog-in-oekraine/dit-is-een-deel-van-rusland-buiten-rusland-hoe-dubai-een-toevluchtsoord-voor-de-russische-elite-wordt~b198e9fd/?referrer=https%3A%2F%2Fwww.google.com%2F")</f>
        <v>https://www.demorgen.be/oorlog-in-oekraine/dit-is-een-deel-van-rusland-buiten-rusland-hoe-dubai-een-toevluchtsoord-voor-de-russische-elite-wordt~b198e9fd/?referrer=https%3A%2F%2Fwww.google.com%2F</v>
      </c>
      <c r="F321" s="368" t="str">
        <f>IFERROR(__xludf.DUMMYFUNCTION("""COMPUTED_VALUE"""),"Betterhomes")</f>
        <v>Betterhomes</v>
      </c>
    </row>
    <row r="322">
      <c r="A322" s="402">
        <f>IFERROR(__xludf.DUMMYFUNCTION("""COMPUTED_VALUE"""),45005.0)</f>
        <v>45005</v>
      </c>
      <c r="B322" s="368" t="str">
        <f>IFERROR(__xludf.DUMMYFUNCTION("""COMPUTED_VALUE"""),"Tier 1")</f>
        <v>Tier 1</v>
      </c>
      <c r="C322" s="368" t="str">
        <f>IFERROR(__xludf.DUMMYFUNCTION("""COMPUTED_VALUE"""),"The New York Times")</f>
        <v>The New York Times</v>
      </c>
      <c r="D322" s="368" t="str">
        <f>IFERROR(__xludf.DUMMYFUNCTION("""COMPUTED_VALUE"""),"Russia Outside Russia’: For Elite, Dubai Becomes a Wartime Harbor")</f>
        <v>Russia Outside Russia’: For Elite, Dubai Becomes a Wartime Harbor</v>
      </c>
      <c r="E322" s="507" t="str">
        <f>IFERROR(__xludf.DUMMYFUNCTION("""COMPUTED_VALUE"""),"https://www.nytimes.com/es/2023/03/20/espanol/rusos-dubai.html")</f>
        <v>https://www.nytimes.com/es/2023/03/20/espanol/rusos-dubai.html</v>
      </c>
      <c r="F322" s="368" t="str">
        <f>IFERROR(__xludf.DUMMYFUNCTION("""COMPUTED_VALUE"""),"Betterhomes")</f>
        <v>Betterhomes</v>
      </c>
    </row>
    <row r="323">
      <c r="A323" s="402">
        <f>IFERROR(__xludf.DUMMYFUNCTION("""COMPUTED_VALUE"""),45005.0)</f>
        <v>45005</v>
      </c>
      <c r="B323" s="368" t="str">
        <f>IFERROR(__xludf.DUMMYFUNCTION("""COMPUTED_VALUE"""),"Tier 1")</f>
        <v>Tier 1</v>
      </c>
      <c r="C323" s="368" t="str">
        <f>IFERROR(__xludf.DUMMYFUNCTION("""COMPUTED_VALUE"""),"BNN Bloomberg")</f>
        <v>BNN Bloomberg</v>
      </c>
      <c r="D323" s="368" t="str">
        <f>IFERROR(__xludf.DUMMYFUNCTION("""COMPUTED_VALUE"""),"Champagne Exports to Gulf Nations, Turkey Soar as Russia Sinks")</f>
        <v>Champagne Exports to Gulf Nations, Turkey Soar as Russia Sinks</v>
      </c>
      <c r="E323" s="507" t="str">
        <f>IFERROR(__xludf.DUMMYFUNCTION("""COMPUTED_VALUE"""),"https://www.bnnbloomberg.ca/champagne-exports-to-gulf-nations-turkey-soar-as-russia-sinks-1.1898741")</f>
        <v>https://www.bnnbloomberg.ca/champagne-exports-to-gulf-nations-turkey-soar-as-russia-sinks-1.1898741</v>
      </c>
      <c r="F323" s="368" t="str">
        <f>IFERROR(__xludf.DUMMYFUNCTION("""COMPUTED_VALUE"""),"Betterhomes")</f>
        <v>Betterhomes</v>
      </c>
    </row>
    <row r="324">
      <c r="A324" s="402">
        <f>IFERROR(__xludf.DUMMYFUNCTION("""COMPUTED_VALUE"""),45006.0)</f>
        <v>45006</v>
      </c>
      <c r="B324" s="368" t="str">
        <f>IFERROR(__xludf.DUMMYFUNCTION("""COMPUTED_VALUE"""),"Tier 2")</f>
        <v>Tier 2</v>
      </c>
      <c r="C324" s="368" t="str">
        <f>IFERROR(__xludf.DUMMYFUNCTION("""COMPUTED_VALUE"""),"Zawya ")</f>
        <v>Zawya </v>
      </c>
      <c r="D324" s="368" t="str">
        <f>IFERROR(__xludf.DUMMYFUNCTION("""COMPUTED_VALUE"""),"The inaugural Top 50 Homes competition takes Dubai by storm")</f>
        <v>The inaugural Top 50 Homes competition takes Dubai by storm</v>
      </c>
      <c r="E324" s="507" t="str">
        <f>IFERROR(__xludf.DUMMYFUNCTION("""COMPUTED_VALUE"""),"https://www.zawya.com/en/press-release/companies-news/the-inaugural-top-50-homes-competition-takes-dubai-by-storm-u1711svg")</f>
        <v>https://www.zawya.com/en/press-release/companies-news/the-inaugural-top-50-homes-competition-takes-dubai-by-storm-u1711svg</v>
      </c>
      <c r="F324" s="368" t="str">
        <f>IFERROR(__xludf.DUMMYFUNCTION("""COMPUTED_VALUE"""),"Prime by Betterhomes")</f>
        <v>Prime by Betterhomes</v>
      </c>
    </row>
    <row r="325">
      <c r="A325" s="402">
        <f>IFERROR(__xludf.DUMMYFUNCTION("""COMPUTED_VALUE"""),45006.0)</f>
        <v>45006</v>
      </c>
      <c r="B325" s="368" t="str">
        <f>IFERROR(__xludf.DUMMYFUNCTION("""COMPUTED_VALUE"""),"Tier 2")</f>
        <v>Tier 2</v>
      </c>
      <c r="C325" s="368" t="str">
        <f>IFERROR(__xludf.DUMMYFUNCTION("""COMPUTED_VALUE"""),"Khaleej Times")</f>
        <v>Khaleej Times</v>
      </c>
      <c r="D325" s="368" t="str">
        <f>IFERROR(__xludf.DUMMYFUNCTION("""COMPUTED_VALUE"""),"What you should know about freehold and leasehold properties")</f>
        <v>What you should know about freehold and leasehold properties</v>
      </c>
      <c r="E325" s="507" t="str">
        <f>IFERROR(__xludf.DUMMYFUNCTION("""COMPUTED_VALUE"""),"https://www.khaleejtimes.com/business/what-you-should-know-about-freehold-and-leasehold-properties")</f>
        <v>https://www.khaleejtimes.com/business/what-you-should-know-about-freehold-and-leasehold-properties</v>
      </c>
      <c r="F325" s="368" t="str">
        <f>IFERROR(__xludf.DUMMYFUNCTION("""COMPUTED_VALUE"""),"Betterhomes")</f>
        <v>Betterhomes</v>
      </c>
    </row>
    <row r="326">
      <c r="A326" s="402">
        <f>IFERROR(__xludf.DUMMYFUNCTION("""COMPUTED_VALUE"""),45014.0)</f>
        <v>45014</v>
      </c>
      <c r="B326" s="368" t="str">
        <f>IFERROR(__xludf.DUMMYFUNCTION("""COMPUTED_VALUE"""),"Tier 1")</f>
        <v>Tier 1</v>
      </c>
      <c r="C326" s="368" t="str">
        <f>IFERROR(__xludf.DUMMYFUNCTION("""COMPUTED_VALUE"""),"BBC ")</f>
        <v>BBC </v>
      </c>
      <c r="D326" s="368" t="str">
        <f>IFERROR(__xludf.DUMMYFUNCTION("""COMPUTED_VALUE"""),"Russian influx drives up rental prices in Dubai")</f>
        <v>Russian influx drives up rental prices in Dubai</v>
      </c>
      <c r="E326" s="507" t="str">
        <f>IFERROR(__xludf.DUMMYFUNCTION("""COMPUTED_VALUE"""),"https://www.bbc.com/news/business-65037061")</f>
        <v>https://www.bbc.com/news/business-65037061</v>
      </c>
      <c r="F326" s="368" t="str">
        <f>IFERROR(__xludf.DUMMYFUNCTION("""COMPUTED_VALUE"""),"Betterhomes")</f>
        <v>Betterhomes</v>
      </c>
    </row>
    <row r="327">
      <c r="A327" s="402">
        <f>IFERROR(__xludf.DUMMYFUNCTION("""COMPUTED_VALUE"""),45014.0)</f>
        <v>45014</v>
      </c>
      <c r="B327" s="368" t="str">
        <f>IFERROR(__xludf.DUMMYFUNCTION("""COMPUTED_VALUE"""),"Tier 2")</f>
        <v>Tier 2</v>
      </c>
      <c r="C327" s="368" t="str">
        <f>IFERROR(__xludf.DUMMYFUNCTION("""COMPUTED_VALUE"""),"Khaleej Times")</f>
        <v>Khaleej Times</v>
      </c>
      <c r="D327" s="368" t="str">
        <f>IFERROR(__xludf.DUMMYFUNCTION("""COMPUTED_VALUE"""),"Three options to consider if you are selling your property in Dubai")</f>
        <v>Three options to consider if you are selling your property in Dubai</v>
      </c>
      <c r="E327" s="507" t="str">
        <f>IFERROR(__xludf.DUMMYFUNCTION("""COMPUTED_VALUE"""),"https://www.khaleejtimes.com/business/three-options-to-consider-if-you-are-selling-your-property-in-dubai-2")</f>
        <v>https://www.khaleejtimes.com/business/three-options-to-consider-if-you-are-selling-your-property-in-dubai-2</v>
      </c>
      <c r="F327" s="368" t="str">
        <f>IFERROR(__xludf.DUMMYFUNCTION("""COMPUTED_VALUE"""),"Betterhomes")</f>
        <v>Betterhomes</v>
      </c>
    </row>
    <row r="328">
      <c r="A328" s="402">
        <f>IFERROR(__xludf.DUMMYFUNCTION("""COMPUTED_VALUE"""),45015.0)</f>
        <v>45015</v>
      </c>
      <c r="B328" s="368" t="str">
        <f>IFERROR(__xludf.DUMMYFUNCTION("""COMPUTED_VALUE"""),"Tier 2")</f>
        <v>Tier 2</v>
      </c>
      <c r="C328" s="368" t="str">
        <f>IFERROR(__xludf.DUMMYFUNCTION("""COMPUTED_VALUE"""),"Time Out Dubai")</f>
        <v>Time Out Dubai</v>
      </c>
      <c r="D328" s="368" t="str">
        <f>IFERROR(__xludf.DUMMYFUNCTION("""COMPUTED_VALUE"""),"You can now vote for Dubai’s most luxurious home")</f>
        <v>You can now vote for Dubai’s most luxurious home</v>
      </c>
      <c r="E328" s="507" t="str">
        <f>IFERROR(__xludf.DUMMYFUNCTION("""COMPUTED_VALUE"""),"https://www.timeoutdubai.com/news/dubai-luxury-homes-competition")</f>
        <v>https://www.timeoutdubai.com/news/dubai-luxury-homes-competition</v>
      </c>
      <c r="F328" s="368" t="str">
        <f>IFERROR(__xludf.DUMMYFUNCTION("""COMPUTED_VALUE"""),"Prime by Betterhomes")</f>
        <v>Prime by Betterhomes</v>
      </c>
    </row>
    <row r="329">
      <c r="A329" s="402">
        <f>IFERROR(__xludf.DUMMYFUNCTION("""COMPUTED_VALUE"""),45016.0)</f>
        <v>45016</v>
      </c>
      <c r="B329" s="368" t="str">
        <f>IFERROR(__xludf.DUMMYFUNCTION("""COMPUTED_VALUE"""),"Tier 2")</f>
        <v>Tier 2</v>
      </c>
      <c r="C329" s="368" t="str">
        <f>IFERROR(__xludf.DUMMYFUNCTION("""COMPUTED_VALUE"""),"Time Out Dubai")</f>
        <v>Time Out Dubai</v>
      </c>
      <c r="D329" s="368" t="str">
        <f>IFERROR(__xludf.DUMMYFUNCTION("""COMPUTED_VALUE"""),"See inside Mo Vlogs’ bachelor pad in Downtown Dubai")</f>
        <v>See inside Mo Vlogs’ bachelor pad in Downtown Dubai</v>
      </c>
      <c r="E329" s="507" t="str">
        <f>IFERROR(__xludf.DUMMYFUNCTION("""COMPUTED_VALUE"""),"https://www.timeoutdubai.com/news/mo-vlogs-house-downtown-dubai")</f>
        <v>https://www.timeoutdubai.com/news/mo-vlogs-house-downtown-dubai</v>
      </c>
      <c r="F329" s="368" t="str">
        <f>IFERROR(__xludf.DUMMYFUNCTION("""COMPUTED_VALUE"""),"Prime by Betterhomes")</f>
        <v>Prime by Betterhomes</v>
      </c>
    </row>
    <row r="330">
      <c r="A330" s="402">
        <f>IFERROR(__xludf.DUMMYFUNCTION("""COMPUTED_VALUE"""),45017.0)</f>
        <v>45017</v>
      </c>
      <c r="B330" s="368" t="str">
        <f>IFERROR(__xludf.DUMMYFUNCTION("""COMPUTED_VALUE"""),"Tier 2")</f>
        <v>Tier 2</v>
      </c>
      <c r="C330" s="368" t="str">
        <f>IFERROR(__xludf.DUMMYFUNCTION("""COMPUTED_VALUE"""),"Arabian Business")</f>
        <v>Arabian Business</v>
      </c>
      <c r="D330" s="368" t="str">
        <f>IFERROR(__xludf.DUMMYFUNCTION("""COMPUTED_VALUE"""),"Revealed: 50 best homes in Dubai")</f>
        <v>Revealed: 50 best homes in Dubai</v>
      </c>
      <c r="E330" s="507" t="str">
        <f>IFERROR(__xludf.DUMMYFUNCTION("""COMPUTED_VALUE"""),"https://www.arabianbusiness.com/industries/real-estate/revealed-50-best-homes-in-dubai")</f>
        <v>https://www.arabianbusiness.com/industries/real-estate/revealed-50-best-homes-in-dubai</v>
      </c>
      <c r="F330" s="368" t="str">
        <f>IFERROR(__xludf.DUMMYFUNCTION("""COMPUTED_VALUE"""),"Prime by Betterhomes")</f>
        <v>Prime by Betterhomes</v>
      </c>
    </row>
    <row r="331">
      <c r="A331" s="402">
        <f>IFERROR(__xludf.DUMMYFUNCTION("""COMPUTED_VALUE"""),45018.0)</f>
        <v>45018</v>
      </c>
      <c r="B331" s="368" t="str">
        <f>IFERROR(__xludf.DUMMYFUNCTION("""COMPUTED_VALUE"""),"Tier 1")</f>
        <v>Tier 1</v>
      </c>
      <c r="C331" s="368" t="str">
        <f>IFERROR(__xludf.DUMMYFUNCTION("""COMPUTED_VALUE"""),"Bloomberg")</f>
        <v>Bloomberg</v>
      </c>
      <c r="D331" s="368" t="str">
        <f>IFERROR(__xludf.DUMMYFUNCTION("""COMPUTED_VALUE"""),"Dubai’s Latest Boom Is Pricing Out the Expats It Once Coveted")</f>
        <v>Dubai’s Latest Boom Is Pricing Out the Expats It Once Coveted</v>
      </c>
      <c r="E331" s="507" t="str">
        <f>IFERROR(__xludf.DUMMYFUNCTION("""COMPUTED_VALUE"""),"https://www.bloomberg.com/news/articles/2023-04-02/how-expensive-is-dubai-for-expats-rents-groceries-school-fees-surge#xj4y7vzkg")</f>
        <v>https://www.bloomberg.com/news/articles/2023-04-02/how-expensive-is-dubai-for-expats-rents-groceries-school-fees-surge#xj4y7vzkg</v>
      </c>
      <c r="F331" s="368" t="str">
        <f>IFERROR(__xludf.DUMMYFUNCTION("""COMPUTED_VALUE"""),"Betterhomes")</f>
        <v>Betterhomes</v>
      </c>
    </row>
    <row r="332">
      <c r="A332" s="402">
        <f>IFERROR(__xludf.DUMMYFUNCTION("""COMPUTED_VALUE"""),45019.0)</f>
        <v>45019</v>
      </c>
      <c r="B332" s="368" t="str">
        <f>IFERROR(__xludf.DUMMYFUNCTION("""COMPUTED_VALUE"""),"Tier 3")</f>
        <v>Tier 3</v>
      </c>
      <c r="C332" s="368" t="str">
        <f>IFERROR(__xludf.DUMMYFUNCTION("""COMPUTED_VALUE"""),"Harber Global (Turkey)")</f>
        <v>Harber Global (Turkey)</v>
      </c>
      <c r="D332" s="368" t="str">
        <f>IFERROR(__xludf.DUMMYFUNCTION("""COMPUTED_VALUE"""),"Familiar words in Dubai: 'We will move out, get out'")</f>
        <v>Familiar words in Dubai: 'We will move out, get out'</v>
      </c>
      <c r="E332" s="507" t="str">
        <f>IFERROR(__xludf.DUMMYFUNCTION("""COMPUTED_VALUE"""),"https://haberglobal.com.tr/ekonomi/dubaide-tanidik-sozler-biz-tasinacagiz-cikin-241925")</f>
        <v>https://haberglobal.com.tr/ekonomi/dubaide-tanidik-sozler-biz-tasinacagiz-cikin-241925</v>
      </c>
      <c r="F332" s="368" t="str">
        <f>IFERROR(__xludf.DUMMYFUNCTION("""COMPUTED_VALUE"""),"Betterhomes")</f>
        <v>Betterhomes</v>
      </c>
    </row>
    <row r="333">
      <c r="A333" s="402">
        <f>IFERROR(__xludf.DUMMYFUNCTION("""COMPUTED_VALUE"""),45019.0)</f>
        <v>45019</v>
      </c>
      <c r="B333" s="368" t="str">
        <f>IFERROR(__xludf.DUMMYFUNCTION("""COMPUTED_VALUE"""),"Tier 1")</f>
        <v>Tier 1</v>
      </c>
      <c r="C333" s="368" t="str">
        <f>IFERROR(__xludf.DUMMYFUNCTION("""COMPUTED_VALUE"""),"BBC ")</f>
        <v>BBC </v>
      </c>
      <c r="D333" s="368" t="str">
        <f>IFERROR(__xludf.DUMMYFUNCTION("""COMPUTED_VALUE"""),"How the influx of Russians has increased the rent in Dubai")</f>
        <v>How the influx of Russians has increased the rent in Dubai</v>
      </c>
      <c r="E333" s="507" t="str">
        <f>IFERROR(__xludf.DUMMYFUNCTION("""COMPUTED_VALUE"""),"https://www.bbc.com/hausa/articles/cqqzzd3r5nvo")</f>
        <v>https://www.bbc.com/hausa/articles/cqqzzd3r5nvo</v>
      </c>
      <c r="F333" s="368" t="str">
        <f>IFERROR(__xludf.DUMMYFUNCTION("""COMPUTED_VALUE"""),"Betterhomes")</f>
        <v>Betterhomes</v>
      </c>
    </row>
    <row r="334">
      <c r="A334" s="402">
        <f>IFERROR(__xludf.DUMMYFUNCTION("""COMPUTED_VALUE"""),45019.0)</f>
        <v>45019</v>
      </c>
      <c r="B334" s="368" t="str">
        <f>IFERROR(__xludf.DUMMYFUNCTION("""COMPUTED_VALUE"""),"Tier 3")</f>
        <v>Tier 3</v>
      </c>
      <c r="C334" s="368" t="str">
        <f>IFERROR(__xludf.DUMMYFUNCTION("""COMPUTED_VALUE"""),"Jordan News")</f>
        <v>Jordan News</v>
      </c>
      <c r="D334" s="368" t="str">
        <f>IFERROR(__xludf.DUMMYFUNCTION("""COMPUTED_VALUE"""),"‘Russia outside Russia’: For elite, Dubai becomes a wartime harbor")</f>
        <v>‘Russia outside Russia’: For elite, Dubai becomes a wartime harbor</v>
      </c>
      <c r="E334" s="507" t="str">
        <f>IFERROR(__xludf.DUMMYFUNCTION("""COMPUTED_VALUE"""),"https://www.jordannews.jo/Section-120/All/Russia-outside-Russia-For-elite-Dubai-becomes-a-wartime-harbor-27896")</f>
        <v>https://www.jordannews.jo/Section-120/All/Russia-outside-Russia-For-elite-Dubai-becomes-a-wartime-harbor-27896</v>
      </c>
      <c r="F334" s="368" t="str">
        <f>IFERROR(__xludf.DUMMYFUNCTION("""COMPUTED_VALUE"""),"Betterhomes")</f>
        <v>Betterhomes</v>
      </c>
    </row>
    <row r="335">
      <c r="A335" s="402">
        <f>IFERROR(__xludf.DUMMYFUNCTION("""COMPUTED_VALUE"""),45021.0)</f>
        <v>45021</v>
      </c>
      <c r="B335" s="368" t="str">
        <f>IFERROR(__xludf.DUMMYFUNCTION("""COMPUTED_VALUE"""),"Tier 2")</f>
        <v>Tier 2</v>
      </c>
      <c r="C335" s="368" t="str">
        <f>IFERROR(__xludf.DUMMYFUNCTION("""COMPUTED_VALUE"""),"Khaleej Times")</f>
        <v>Khaleej Times</v>
      </c>
      <c r="D335" s="368" t="str">
        <f>IFERROR(__xludf.DUMMYFUNCTION("""COMPUTED_VALUE"""),"Dubai: Landlord must give 12 months' notice if property is to be vacated for renovation")</f>
        <v>Dubai: Landlord must give 12 months' notice if property is to be vacated for renovation</v>
      </c>
      <c r="E335" s="507" t="str">
        <f>IFERROR(__xludf.DUMMYFUNCTION("""COMPUTED_VALUE"""),"https://www.khaleejtimes.com/business/dubai-landlord-must-give-12-months-notice-if-property-is-to-be-vacated-for-renovation")</f>
        <v>https://www.khaleejtimes.com/business/dubai-landlord-must-give-12-months-notice-if-property-is-to-be-vacated-for-renovation</v>
      </c>
      <c r="F335" s="368" t="str">
        <f>IFERROR(__xludf.DUMMYFUNCTION("""COMPUTED_VALUE"""),"Betterhomes")</f>
        <v>Betterhomes</v>
      </c>
    </row>
    <row r="336">
      <c r="A336" s="402">
        <f>IFERROR(__xludf.DUMMYFUNCTION("""COMPUTED_VALUE"""),45030.0)</f>
        <v>45030</v>
      </c>
      <c r="B336" s="368" t="str">
        <f>IFERROR(__xludf.DUMMYFUNCTION("""COMPUTED_VALUE"""),"Tier 2")</f>
        <v>Tier 2</v>
      </c>
      <c r="C336" s="368" t="str">
        <f>IFERROR(__xludf.DUMMYFUNCTION("""COMPUTED_VALUE"""),"Zawya ")</f>
        <v>Zawya </v>
      </c>
      <c r="D336" s="368" t="str">
        <f>IFERROR(__xludf.DUMMYFUNCTION("""COMPUTED_VALUE"""),"How to buy property in Dubai if you are not a resident")</f>
        <v>How to buy property in Dubai if you are not a resident</v>
      </c>
      <c r="E336" s="507" t="str">
        <f>IFERROR(__xludf.DUMMYFUNCTION("""COMPUTED_VALUE"""),"https://www.zawya.com/en/business/real-estate/how-to-buy-property-in-dubai-if-you-are-not-a-resident-ly409tqq")</f>
        <v>https://www.zawya.com/en/business/real-estate/how-to-buy-property-in-dubai-if-you-are-not-a-resident-ly409tqq</v>
      </c>
      <c r="F336" s="368" t="str">
        <f>IFERROR(__xludf.DUMMYFUNCTION("""COMPUTED_VALUE"""),"Betterhomes")</f>
        <v>Betterhomes</v>
      </c>
    </row>
    <row r="337">
      <c r="A337" s="402">
        <f>IFERROR(__xludf.DUMMYFUNCTION("""COMPUTED_VALUE"""),45030.0)</f>
        <v>45030</v>
      </c>
      <c r="B337" s="368" t="str">
        <f>IFERROR(__xludf.DUMMYFUNCTION("""COMPUTED_VALUE"""),"Tier 2")</f>
        <v>Tier 2</v>
      </c>
      <c r="C337" s="368" t="str">
        <f>IFERROR(__xludf.DUMMYFUNCTION("""COMPUTED_VALUE"""),"Khaleej Times")</f>
        <v>Khaleej Times</v>
      </c>
      <c r="D337" s="368" t="str">
        <f>IFERROR(__xludf.DUMMYFUNCTION("""COMPUTED_VALUE"""),"How to buy property in Dubai if you are not a resident")</f>
        <v>How to buy property in Dubai if you are not a resident</v>
      </c>
      <c r="E337" s="507" t="str">
        <f>IFERROR(__xludf.DUMMYFUNCTION("""COMPUTED_VALUE"""),"https://www.khaleejtimes.com/business/how-to-buy-property-in-dubai-if-you-are-not-a-resident")</f>
        <v>https://www.khaleejtimes.com/business/how-to-buy-property-in-dubai-if-you-are-not-a-resident</v>
      </c>
      <c r="F337" s="368" t="str">
        <f>IFERROR(__xludf.DUMMYFUNCTION("""COMPUTED_VALUE"""),"Betterhomes")</f>
        <v>Betterhomes</v>
      </c>
    </row>
    <row r="338">
      <c r="A338" s="402">
        <f>IFERROR(__xludf.DUMMYFUNCTION("""COMPUTED_VALUE"""),45031.0)</f>
        <v>45031</v>
      </c>
      <c r="B338" s="368" t="str">
        <f>IFERROR(__xludf.DUMMYFUNCTION("""COMPUTED_VALUE"""),"Tier 3")</f>
        <v>Tier 3</v>
      </c>
      <c r="C338" s="368" t="str">
        <f>IFERROR(__xludf.DUMMYFUNCTION("""COMPUTED_VALUE"""),"Ziare (Romania)")</f>
        <v>Ziare (Romania)</v>
      </c>
      <c r="D338" s="368" t="str">
        <f>IFERROR(__xludf.DUMMYFUNCTION("""COMPUTED_VALUE"""),"The country of Russian paradise, a coup for Moscow: Block the accounts of Putin's fugitives      ")</f>
        <v>The country of Russian paradise, a coup for Moscow: Block the accounts of Putin's fugitives      </v>
      </c>
      <c r="E338" s="507" t="str">
        <f>IFERROR(__xludf.DUMMYFUNCTION("""COMPUTED_VALUE"""),"https://ziare.com/dubai/paradisul-rusilor-emiratele-arabe-lovitura-pentru-putin-cea-mai-mare-banca-dubai-enbd-blocheaza-conturile-investitii-rusi-1799578")</f>
        <v>https://ziare.com/dubai/paradisul-rusilor-emiratele-arabe-lovitura-pentru-putin-cea-mai-mare-banca-dubai-enbd-blocheaza-conturile-investitii-rusi-1799578</v>
      </c>
      <c r="F338" s="368" t="str">
        <f>IFERROR(__xludf.DUMMYFUNCTION("""COMPUTED_VALUE"""),"Betterhomes")</f>
        <v>Betterhomes</v>
      </c>
    </row>
    <row r="339">
      <c r="A339" s="402">
        <f>IFERROR(__xludf.DUMMYFUNCTION("""COMPUTED_VALUE"""),45043.0)</f>
        <v>45043</v>
      </c>
      <c r="B339" s="368" t="str">
        <f>IFERROR(__xludf.DUMMYFUNCTION("""COMPUTED_VALUE"""),"Tier 1")</f>
        <v>Tier 1</v>
      </c>
      <c r="C339" s="368" t="str">
        <f>IFERROR(__xludf.DUMMYFUNCTION("""COMPUTED_VALUE"""),"Forbes (Russia)")</f>
        <v>Forbes (Russia)</v>
      </c>
      <c r="D339" s="368" t="str">
        <f>IFERROR(__xludf.DUMMYFUNCTION("""COMPUTED_VALUE"""),"Live where the sun and the sea: 12 questions about real estate in Turkey")</f>
        <v>Live where the sun and the sea: 12 questions about real estate in Turkey</v>
      </c>
      <c r="E339" s="507" t="str">
        <f>IFERROR(__xludf.DUMMYFUNCTION("""COMPUTED_VALUE"""),"https://www.forbes.ru/brandvoice/488403-zit-gde-solnce-i-more-12-voprosov-o-nedvizimosti-v-turcii")</f>
        <v>https://www.forbes.ru/brandvoice/488403-zit-gde-solnce-i-more-12-voprosov-o-nedvizimosti-v-turcii</v>
      </c>
      <c r="F339" s="368" t="str">
        <f>IFERROR(__xludf.DUMMYFUNCTION("""COMPUTED_VALUE"""),"Betterhomes")</f>
        <v>Betterhomes</v>
      </c>
    </row>
    <row r="340">
      <c r="A340" s="402">
        <f>IFERROR(__xludf.DUMMYFUNCTION("""COMPUTED_VALUE"""),45043.0)</f>
        <v>45043</v>
      </c>
      <c r="B340" s="368" t="str">
        <f>IFERROR(__xludf.DUMMYFUNCTION("""COMPUTED_VALUE"""),"Tier 1")</f>
        <v>Tier 1</v>
      </c>
      <c r="C340" s="368" t="str">
        <f>IFERROR(__xludf.DUMMYFUNCTION("""COMPUTED_VALUE"""),"Forbes (Russia)")</f>
        <v>Forbes (Russia)</v>
      </c>
      <c r="D340" s="368" t="str">
        <f>IFERROR(__xludf.DUMMYFUNCTION("""COMPUTED_VALUE"""),"Emirate of opportunities: features of relocation to Dubai")</f>
        <v>Emirate of opportunities: features of relocation to Dubai</v>
      </c>
      <c r="E340" s="507" t="str">
        <f>IFERROR(__xludf.DUMMYFUNCTION("""COMPUTED_VALUE"""),"https://www.forbes.ru/brandvoice/488385-emirat-vozmoznostej-osobennosti-relokacii-v-dubaj")</f>
        <v>https://www.forbes.ru/brandvoice/488385-emirat-vozmoznostej-osobennosti-relokacii-v-dubaj</v>
      </c>
      <c r="F340" s="368" t="str">
        <f>IFERROR(__xludf.DUMMYFUNCTION("""COMPUTED_VALUE"""),"Betterhomes")</f>
        <v>Betterhomes</v>
      </c>
    </row>
    <row r="341">
      <c r="A341" s="402">
        <f>IFERROR(__xludf.DUMMYFUNCTION("""COMPUTED_VALUE"""),45043.0)</f>
        <v>45043</v>
      </c>
      <c r="B341" s="368" t="str">
        <f>IFERROR(__xludf.DUMMYFUNCTION("""COMPUTED_VALUE"""),"Tier 2")</f>
        <v>Tier 2</v>
      </c>
      <c r="C341" s="368" t="str">
        <f>IFERROR(__xludf.DUMMYFUNCTION("""COMPUTED_VALUE"""),"Zawya ")</f>
        <v>Zawya </v>
      </c>
      <c r="D341" s="368" t="str">
        <f>IFERROR(__xludf.DUMMYFUNCTION("""COMPUTED_VALUE"""),"Dubai property: British, Indian, and Russian buyers lead real estate market; Pakistanis slip out of top 10")</f>
        <v>Dubai property: British, Indian, and Russian buyers lead real estate market; Pakistanis slip out of top 10</v>
      </c>
      <c r="E341" s="507" t="str">
        <f>IFERROR(__xludf.DUMMYFUNCTION("""COMPUTED_VALUE"""),"https://www.zawya.com/en/business/real-estate/dubai-property-british-indian-and-russian-buyers-lead-real-estate-market-pakistanis-slip-out-of-top-10-n61n484u")</f>
        <v>https://www.zawya.com/en/business/real-estate/dubai-property-british-indian-and-russian-buyers-lead-real-estate-market-pakistanis-slip-out-of-top-10-n61n484u</v>
      </c>
      <c r="F341" s="368" t="str">
        <f>IFERROR(__xludf.DUMMYFUNCTION("""COMPUTED_VALUE"""),"Betterhomes")</f>
        <v>Betterhomes</v>
      </c>
    </row>
    <row r="342">
      <c r="A342" s="402">
        <f>IFERROR(__xludf.DUMMYFUNCTION("""COMPUTED_VALUE"""),45043.0)</f>
        <v>45043</v>
      </c>
      <c r="B342" s="368" t="str">
        <f>IFERROR(__xludf.DUMMYFUNCTION("""COMPUTED_VALUE"""),"Tier 2")</f>
        <v>Tier 2</v>
      </c>
      <c r="C342" s="368" t="str">
        <f>IFERROR(__xludf.DUMMYFUNCTION("""COMPUTED_VALUE"""),"Khaleej Times")</f>
        <v>Khaleej Times</v>
      </c>
      <c r="D342" s="368" t="str">
        <f>IFERROR(__xludf.DUMMYFUNCTION("""COMPUTED_VALUE"""),"Dubai property: British, Indian, and Russian buyers lead real estate market; Pakistanis slip out of top 10")</f>
        <v>Dubai property: British, Indian, and Russian buyers lead real estate market; Pakistanis slip out of top 10</v>
      </c>
      <c r="E342" s="507" t="str">
        <f>IFERROR(__xludf.DUMMYFUNCTION("""COMPUTED_VALUE"""),"https://www.khaleejtimes.com/business/property/dubai-property-british-indian-and-russian-buyers-lead-real-estate-market-pakistanis-slip-out-of")</f>
        <v>https://www.khaleejtimes.com/business/property/dubai-property-british-indian-and-russian-buyers-lead-real-estate-market-pakistanis-slip-out-of</v>
      </c>
      <c r="F342" s="368" t="str">
        <f>IFERROR(__xludf.DUMMYFUNCTION("""COMPUTED_VALUE"""),"Betterhomes")</f>
        <v>Betterhomes</v>
      </c>
    </row>
    <row r="343">
      <c r="A343" s="402">
        <f>IFERROR(__xludf.DUMMYFUNCTION("""COMPUTED_VALUE"""),45044.0)</f>
        <v>45044</v>
      </c>
      <c r="B343" s="368" t="str">
        <f>IFERROR(__xludf.DUMMYFUNCTION("""COMPUTED_VALUE"""),"Tier 2")</f>
        <v>Tier 2</v>
      </c>
      <c r="C343" s="368" t="str">
        <f>IFERROR(__xludf.DUMMYFUNCTION("""COMPUTED_VALUE"""),"Zawya ")</f>
        <v>Zawya </v>
      </c>
      <c r="D343" s="368" t="str">
        <f>IFERROR(__xludf.DUMMYFUNCTION("""COMPUTED_VALUE"""),"Steps to buying a property in Dubai")</f>
        <v>Steps to buying a property in Dubai</v>
      </c>
      <c r="E343" s="507" t="str">
        <f>IFERROR(__xludf.DUMMYFUNCTION("""COMPUTED_VALUE"""),"https://www.zawya.com/en/business/real-estate/steps-to-buying-a-property-in-dubai-ym3xbfuu")</f>
        <v>https://www.zawya.com/en/business/real-estate/steps-to-buying-a-property-in-dubai-ym3xbfuu</v>
      </c>
      <c r="F343" s="368" t="str">
        <f>IFERROR(__xludf.DUMMYFUNCTION("""COMPUTED_VALUE"""),"Betterhomes")</f>
        <v>Betterhomes</v>
      </c>
    </row>
    <row r="344">
      <c r="A344" s="402">
        <f>IFERROR(__xludf.DUMMYFUNCTION("""COMPUTED_VALUE"""),45044.0)</f>
        <v>45044</v>
      </c>
      <c r="B344" s="368" t="str">
        <f>IFERROR(__xludf.DUMMYFUNCTION("""COMPUTED_VALUE"""),"Tier 2")</f>
        <v>Tier 2</v>
      </c>
      <c r="C344" s="368" t="str">
        <f>IFERROR(__xludf.DUMMYFUNCTION("""COMPUTED_VALUE"""),"Khaleej Times")</f>
        <v>Khaleej Times</v>
      </c>
      <c r="D344" s="368" t="str">
        <f>IFERROR(__xludf.DUMMYFUNCTION("""COMPUTED_VALUE"""),"Steps to buying a property in Dubai")</f>
        <v>Steps to buying a property in Dubai</v>
      </c>
      <c r="E344" s="507" t="str">
        <f>IFERROR(__xludf.DUMMYFUNCTION("""COMPUTED_VALUE"""),"https://www.khaleejtimes.com/business/property/steps-to-buying-a-property-in-dubai")</f>
        <v>https://www.khaleejtimes.com/business/property/steps-to-buying-a-property-in-dubai</v>
      </c>
      <c r="F344" s="368" t="str">
        <f>IFERROR(__xludf.DUMMYFUNCTION("""COMPUTED_VALUE"""),"Betterhomes")</f>
        <v>Betterhomes</v>
      </c>
    </row>
    <row r="345">
      <c r="A345" s="402">
        <f>IFERROR(__xludf.DUMMYFUNCTION("""COMPUTED_VALUE"""),45044.0)</f>
        <v>45044</v>
      </c>
      <c r="B345" s="368" t="str">
        <f>IFERROR(__xludf.DUMMYFUNCTION("""COMPUTED_VALUE"""),"Tier 3")</f>
        <v>Tier 3</v>
      </c>
      <c r="C345" s="368" t="str">
        <f>IFERROR(__xludf.DUMMYFUNCTION("""COMPUTED_VALUE"""),"9News")</f>
        <v>9News</v>
      </c>
      <c r="D345" s="368" t="str">
        <f>IFERROR(__xludf.DUMMYFUNCTION("""COMPUTED_VALUE"""),"Parcel of sandy land on Dubai island sells for $50 million")</f>
        <v>Parcel of sandy land on Dubai island sells for $50 million</v>
      </c>
      <c r="E345" s="507" t="str">
        <f>IFERROR(__xludf.DUMMYFUNCTION("""COMPUTED_VALUE"""),"https://www.9news.com.au/world/dubai-island-plot-of-empty-land-sold-for-fifty-million-dollars-in-record-sale/7e7745b4-340e-47e2-be40-166b3c9b3c1f")</f>
        <v>https://www.9news.com.au/world/dubai-island-plot-of-empty-land-sold-for-fifty-million-dollars-in-record-sale/7e7745b4-340e-47e2-be40-166b3c9b3c1f</v>
      </c>
      <c r="F345" s="368" t="str">
        <f>IFERROR(__xludf.DUMMYFUNCTION("""COMPUTED_VALUE"""),"Betterhomes")</f>
        <v>Betterhomes</v>
      </c>
    </row>
    <row r="346">
      <c r="A346" s="402">
        <f>IFERROR(__xludf.DUMMYFUNCTION("""COMPUTED_VALUE"""),45049.0)</f>
        <v>45049</v>
      </c>
      <c r="B346" s="368" t="str">
        <f>IFERROR(__xludf.DUMMYFUNCTION("""COMPUTED_VALUE"""),"Tier 2")</f>
        <v>Tier 2</v>
      </c>
      <c r="C346" s="368" t="str">
        <f>IFERROR(__xludf.DUMMYFUNCTION("""COMPUTED_VALUE"""),"Khaleej Times")</f>
        <v>Khaleej Times</v>
      </c>
      <c r="D346" s="368" t="str">
        <f>IFERROR(__xludf.DUMMYFUNCTION("""COMPUTED_VALUE"""),"How much do I have to pay an agent to buy a home in Dubai?")</f>
        <v>How much do I have to pay an agent to buy a home in Dubai?</v>
      </c>
      <c r="E346" s="507" t="str">
        <f>IFERROR(__xludf.DUMMYFUNCTION("""COMPUTED_VALUE"""),"https://www.khaleejtimes.com/business/how-much-do-i-have-to-pay-an-agent-to-buy-a-home-in-dubai")</f>
        <v>https://www.khaleejtimes.com/business/how-much-do-i-have-to-pay-an-agent-to-buy-a-home-in-dubai</v>
      </c>
      <c r="F346" s="368" t="str">
        <f>IFERROR(__xludf.DUMMYFUNCTION("""COMPUTED_VALUE"""),"Betterhomes")</f>
        <v>Betterhomes</v>
      </c>
    </row>
    <row r="347">
      <c r="A347" s="402">
        <f>IFERROR(__xludf.DUMMYFUNCTION("""COMPUTED_VALUE"""),45050.0)</f>
        <v>45050</v>
      </c>
      <c r="B347" s="368" t="str">
        <f>IFERROR(__xludf.DUMMYFUNCTION("""COMPUTED_VALUE"""),"Tier 2")</f>
        <v>Tier 2</v>
      </c>
      <c r="C347" s="368" t="str">
        <f>IFERROR(__xludf.DUMMYFUNCTION("""COMPUTED_VALUE"""),"Construction News")</f>
        <v>Construction News</v>
      </c>
      <c r="D347" s="368" t="str">
        <f>IFERROR(__xludf.DUMMYFUNCTION("""COMPUTED_VALUE"""),"Buying property in Dubai: Top buyer nationalities revealed")</f>
        <v>Buying property in Dubai: Top buyer nationalities revealed</v>
      </c>
      <c r="E347" s="507" t="str">
        <f>IFERROR(__xludf.DUMMYFUNCTION("""COMPUTED_VALUE"""),"https://www.constructionweekonline.com/business/buying-property-in-dubai-top-buyer-nationalities-revealed")</f>
        <v>https://www.constructionweekonline.com/business/buying-property-in-dubai-top-buyer-nationalities-revealed</v>
      </c>
      <c r="F347" s="368" t="str">
        <f>IFERROR(__xludf.DUMMYFUNCTION("""COMPUTED_VALUE"""),"Betterhomes")</f>
        <v>Betterhomes</v>
      </c>
    </row>
    <row r="348">
      <c r="A348" s="402">
        <f>IFERROR(__xludf.DUMMYFUNCTION("""COMPUTED_VALUE"""),45049.0)</f>
        <v>45049</v>
      </c>
      <c r="B348" s="368" t="str">
        <f>IFERROR(__xludf.DUMMYFUNCTION("""COMPUTED_VALUE"""),"Tier 2")</f>
        <v>Tier 2</v>
      </c>
      <c r="C348" s="368" t="str">
        <f>IFERROR(__xludf.DUMMYFUNCTION("""COMPUTED_VALUE"""),"Arabian Business")</f>
        <v>Arabian Business</v>
      </c>
      <c r="D348" s="368" t="str">
        <f>IFERROR(__xludf.DUMMYFUNCTION("""COMPUTED_VALUE"""),"Dubai’s most popular residential areas, buyer nationalities revealed")</f>
        <v>Dubai’s most popular residential areas, buyer nationalities revealed</v>
      </c>
      <c r="E348" s="507" t="str">
        <f>IFERROR(__xludf.DUMMYFUNCTION("""COMPUTED_VALUE"""),"https://www.arabianbusiness.com/industries/real-estate/dubais-most-popular-residential-areas-buyer-nationalities-revealed")</f>
        <v>https://www.arabianbusiness.com/industries/real-estate/dubais-most-popular-residential-areas-buyer-nationalities-revealed</v>
      </c>
      <c r="F348" s="368" t="str">
        <f>IFERROR(__xludf.DUMMYFUNCTION("""COMPUTED_VALUE"""),"Betterhomes")</f>
        <v>Betterhomes</v>
      </c>
    </row>
    <row r="349">
      <c r="A349" s="402">
        <f>IFERROR(__xludf.DUMMYFUNCTION("""COMPUTED_VALUE"""),45049.0)</f>
        <v>45049</v>
      </c>
      <c r="B349" s="368" t="str">
        <f>IFERROR(__xludf.DUMMYFUNCTION("""COMPUTED_VALUE"""),"Tier 3")</f>
        <v>Tier 3</v>
      </c>
      <c r="C349" s="368" t="str">
        <f>IFERROR(__xludf.DUMMYFUNCTION("""COMPUTED_VALUE"""),"RU News24 (Russia)")</f>
        <v>RU News24 (Russia)</v>
      </c>
      <c r="D349" s="368" t="str">
        <f>IFERROR(__xludf.DUMMYFUNCTION("""COMPUTED_VALUE"""),"RUSSIANS ENTERED THE TOP 3 MAIN BUYERS OF REAL ESTATE IN DUBAI")</f>
        <v>RUSSIANS ENTERED THE TOP 3 MAIN BUYERS OF REAL ESTATE IN DUBAI</v>
      </c>
      <c r="E349" s="507" t="str">
        <f>IFERROR(__xludf.DUMMYFUNCTION("""COMPUTED_VALUE"""),"https://runews24.ru/realty/08/05/2023/2d3010790707d895bb61870f26beba78")</f>
        <v>https://runews24.ru/realty/08/05/2023/2d3010790707d895bb61870f26beba78</v>
      </c>
      <c r="F349" s="368" t="str">
        <f>IFERROR(__xludf.DUMMYFUNCTION("""COMPUTED_VALUE"""),"Betterhomes")</f>
        <v>Betterhomes</v>
      </c>
    </row>
    <row r="350">
      <c r="A350" s="402">
        <f>IFERROR(__xludf.DUMMYFUNCTION("""COMPUTED_VALUE"""),45053.0)</f>
        <v>45053</v>
      </c>
      <c r="B350" s="368" t="str">
        <f>IFERROR(__xludf.DUMMYFUNCTION("""COMPUTED_VALUE"""),"Tier 2")</f>
        <v>Tier 2</v>
      </c>
      <c r="C350" s="368" t="str">
        <f>IFERROR(__xludf.DUMMYFUNCTION("""COMPUTED_VALUE"""),"The National ")</f>
        <v>The National </v>
      </c>
      <c r="D350" s="368" t="str">
        <f>IFERROR(__xludf.DUMMYFUNCTION("""COMPUTED_VALUE"""),"Dubai's World Islands developer aims for 2026 finish after delays")</f>
        <v>Dubai's World Islands developer aims for 2026 finish after delays</v>
      </c>
      <c r="E350" s="507" t="str">
        <f>IFERROR(__xludf.DUMMYFUNCTION("""COMPUTED_VALUE"""),"https://www.thenationalnews.com/uae/2023/05/07/dubais-world-islands-developer-aims-for-2026-finish-after-fresh-delays/")</f>
        <v>https://www.thenationalnews.com/uae/2023/05/07/dubais-world-islands-developer-aims-for-2026-finish-after-fresh-delays/</v>
      </c>
      <c r="F350" s="368" t="str">
        <f>IFERROR(__xludf.DUMMYFUNCTION("""COMPUTED_VALUE"""),"Betterhomes")</f>
        <v>Betterhomes</v>
      </c>
    </row>
    <row r="351">
      <c r="A351" s="402">
        <f>IFERROR(__xludf.DUMMYFUNCTION("""COMPUTED_VALUE"""),45053.0)</f>
        <v>45053</v>
      </c>
      <c r="B351" s="368" t="str">
        <f>IFERROR(__xludf.DUMMYFUNCTION("""COMPUTED_VALUE"""),"Tier 2")</f>
        <v>Tier 2</v>
      </c>
      <c r="C351" s="368" t="str">
        <f>IFERROR(__xludf.DUMMYFUNCTION("""COMPUTED_VALUE"""),"Khaleej Times")</f>
        <v>Khaleej Times</v>
      </c>
      <c r="D351" s="368" t="str">
        <f>IFERROR(__xludf.DUMMYFUNCTION("""COMPUTED_VALUE"""),"Renting in Dubai? Fees to pay, required documents, all you need to know before moving")</f>
        <v>Renting in Dubai? Fees to pay, required documents, all you need to know before moving</v>
      </c>
      <c r="E351" s="507" t="str">
        <f>IFERROR(__xludf.DUMMYFUNCTION("""COMPUTED_VALUE"""),"https://www.khaleejtimes.com/business/your-guide-to-renting-in-dubai")</f>
        <v>https://www.khaleejtimes.com/business/your-guide-to-renting-in-dubai</v>
      </c>
      <c r="F351" s="368" t="str">
        <f>IFERROR(__xludf.DUMMYFUNCTION("""COMPUTED_VALUE"""),"Betterhomes")</f>
        <v>Betterhomes</v>
      </c>
    </row>
    <row r="352">
      <c r="A352" s="402">
        <f>IFERROR(__xludf.DUMMYFUNCTION("""COMPUTED_VALUE"""),45061.0)</f>
        <v>45061</v>
      </c>
      <c r="B352" s="368" t="str">
        <f>IFERROR(__xludf.DUMMYFUNCTION("""COMPUTED_VALUE"""),"Tier 3")</f>
        <v>Tier 3</v>
      </c>
      <c r="C352" s="368" t="str">
        <f>IFERROR(__xludf.DUMMYFUNCTION("""COMPUTED_VALUE"""),"Atalayar (Spain)")</f>
        <v>Atalayar (Spain)</v>
      </c>
      <c r="D352" s="368" t="str">
        <f>IFERROR(__xludf.DUMMYFUNCTION("""COMPUTED_VALUE"""),"Dubai, the city that increasingly attracts foreign businessmen")</f>
        <v>Dubai, the city that increasingly attracts foreign businessmen</v>
      </c>
      <c r="E352" s="507" t="str">
        <f>IFERROR(__xludf.DUMMYFUNCTION("""COMPUTED_VALUE"""),"https://www.atalayar.com/articulo/economia-y-empresas/dubai-ciudad-que-atrae-cada-vez-mas-empresarios-extranjeros/20230509162107184378.html")</f>
        <v>https://www.atalayar.com/articulo/economia-y-empresas/dubai-ciudad-que-atrae-cada-vez-mas-empresarios-extranjeros/20230509162107184378.html</v>
      </c>
      <c r="F352" s="368" t="str">
        <f>IFERROR(__xludf.DUMMYFUNCTION("""COMPUTED_VALUE"""),"Betterhomes")</f>
        <v>Betterhomes</v>
      </c>
    </row>
    <row r="353">
      <c r="A353" s="402">
        <f>IFERROR(__xludf.DUMMYFUNCTION("""COMPUTED_VALUE"""),45063.0)</f>
        <v>45063</v>
      </c>
      <c r="B353" s="368" t="str">
        <f>IFERROR(__xludf.DUMMYFUNCTION("""COMPUTED_VALUE"""),"Tier 2")</f>
        <v>Tier 2</v>
      </c>
      <c r="C353" s="368" t="str">
        <f>IFERROR(__xludf.DUMMYFUNCTION("""COMPUTED_VALUE"""),"The National ")</f>
        <v>The National </v>
      </c>
      <c r="D353" s="368" t="str">
        <f>IFERROR(__xludf.DUMMYFUNCTION("""COMPUTED_VALUE"""),"Tenants served notice as Palm Jumeirah's The Pointe tipped for redevelopment")</f>
        <v>Tenants served notice as Palm Jumeirah's The Pointe tipped for redevelopment</v>
      </c>
      <c r="E353" s="507" t="str">
        <f>IFERROR(__xludf.DUMMYFUNCTION("""COMPUTED_VALUE"""),"https://www.thenationalnews.com/uae/2023/05/17/tenants-served-notice-as-palm-jumeriahs-the-pointe-tipped-for-redevelopment/")</f>
        <v>https://www.thenationalnews.com/uae/2023/05/17/tenants-served-notice-as-palm-jumeriahs-the-pointe-tipped-for-redevelopment/</v>
      </c>
      <c r="F353" s="368" t="str">
        <f>IFERROR(__xludf.DUMMYFUNCTION("""COMPUTED_VALUE"""),"Betterhomes")</f>
        <v>Betterhomes</v>
      </c>
    </row>
    <row r="354">
      <c r="A354" s="402">
        <f>IFERROR(__xludf.DUMMYFUNCTION("""COMPUTED_VALUE"""),45071.0)</f>
        <v>45071</v>
      </c>
      <c r="B354" s="368" t="str">
        <f>IFERROR(__xludf.DUMMYFUNCTION("""COMPUTED_VALUE"""),"Tier 3")</f>
        <v>Tier 3</v>
      </c>
      <c r="C354" s="368" t="str">
        <f>IFERROR(__xludf.DUMMYFUNCTION("""COMPUTED_VALUE"""),"Le Monde (France)")</f>
        <v>Le Monde (France)</v>
      </c>
      <c r="D354" s="368" t="str">
        <f>IFERROR(__xludf.DUMMYFUNCTION("""COMPUTED_VALUE"""),"In Dubai, the influx of Russians causes a surge in real estate")</f>
        <v>In Dubai, the influx of Russians causes a surge in real estate</v>
      </c>
      <c r="E354" s="507" t="str">
        <f>IFERROR(__xludf.DUMMYFUNCTION("""COMPUTED_VALUE"""),"https://www.lemonde.fr/international/article/2023/05/24/a-dubai-l-afflux-des-russes-provoque-une-crise-immobiliere_6174649_3210.html")</f>
        <v>https://www.lemonde.fr/international/article/2023/05/24/a-dubai-l-afflux-des-russes-provoque-une-crise-immobiliere_6174649_3210.html</v>
      </c>
      <c r="F354" s="368" t="str">
        <f>IFERROR(__xludf.DUMMYFUNCTION("""COMPUTED_VALUE"""),"Betterhomes")</f>
        <v>Betterhomes</v>
      </c>
    </row>
    <row r="355">
      <c r="A355" s="402">
        <f>IFERROR(__xludf.DUMMYFUNCTION("""COMPUTED_VALUE"""),45071.0)</f>
        <v>45071</v>
      </c>
      <c r="B355" s="368" t="str">
        <f>IFERROR(__xludf.DUMMYFUNCTION("""COMPUTED_VALUE"""),"Tier 3")</f>
        <v>Tier 3</v>
      </c>
      <c r="C355" s="368" t="str">
        <f>IFERROR(__xludf.DUMMYFUNCTION("""COMPUTED_VALUE"""),"The Cradle")</f>
        <v>The Cradle</v>
      </c>
      <c r="D355" s="368" t="str">
        <f>IFERROR(__xludf.DUMMYFUNCTION("""COMPUTED_VALUE"""),"UAE becomes Russian gold trade hub due to western sanctions")</f>
        <v>UAE becomes Russian gold trade hub due to western sanctions</v>
      </c>
      <c r="E355" s="507" t="str">
        <f>IFERROR(__xludf.DUMMYFUNCTION("""COMPUTED_VALUE"""),"https://thecradle.co/article-view/25252/uae-becomes-russian-gold-trade-hub-due-to-western-sanctions")</f>
        <v>https://thecradle.co/article-view/25252/uae-becomes-russian-gold-trade-hub-due-to-western-sanctions</v>
      </c>
      <c r="F355" s="368" t="str">
        <f>IFERROR(__xludf.DUMMYFUNCTION("""COMPUTED_VALUE"""),"Betterhomes")</f>
        <v>Betterhomes</v>
      </c>
    </row>
    <row r="356">
      <c r="A356" s="402">
        <f>IFERROR(__xludf.DUMMYFUNCTION("""COMPUTED_VALUE"""),45072.0)</f>
        <v>45072</v>
      </c>
      <c r="B356" s="368" t="str">
        <f>IFERROR(__xludf.DUMMYFUNCTION("""COMPUTED_VALUE"""),"Tier 2")</f>
        <v>Tier 2</v>
      </c>
      <c r="C356" s="368" t="str">
        <f>IFERROR(__xludf.DUMMYFUNCTION("""COMPUTED_VALUE"""),"Zawya ")</f>
        <v>Zawya </v>
      </c>
      <c r="D356" s="368" t="str">
        <f>IFERROR(__xludf.DUMMYFUNCTION("""COMPUTED_VALUE"""),"Are rent-to-own units a good option for property buyers in Dubai?")</f>
        <v>Are rent-to-own units a good option for property buyers in Dubai?</v>
      </c>
      <c r="E356" s="507" t="str">
        <f>IFERROR(__xludf.DUMMYFUNCTION("""COMPUTED_VALUE"""),"https://www.zawya.com/en/business/real-estate/are-rent-to-own-units-a-good-option-for-property-buyers-in-dubai-j01bp4vu")</f>
        <v>https://www.zawya.com/en/business/real-estate/are-rent-to-own-units-a-good-option-for-property-buyers-in-dubai-j01bp4vu</v>
      </c>
      <c r="F356" s="368" t="str">
        <f>IFERROR(__xludf.DUMMYFUNCTION("""COMPUTED_VALUE"""),"Betterhomes")</f>
        <v>Betterhomes</v>
      </c>
    </row>
    <row r="357">
      <c r="A357" s="402">
        <f>IFERROR(__xludf.DUMMYFUNCTION("""COMPUTED_VALUE"""),45072.0)</f>
        <v>45072</v>
      </c>
      <c r="B357" s="368" t="str">
        <f>IFERROR(__xludf.DUMMYFUNCTION("""COMPUTED_VALUE"""),"Tier 2")</f>
        <v>Tier 2</v>
      </c>
      <c r="C357" s="368" t="str">
        <f>IFERROR(__xludf.DUMMYFUNCTION("""COMPUTED_VALUE"""),"Khaleej Times")</f>
        <v>Khaleej Times</v>
      </c>
      <c r="D357" s="368" t="str">
        <f>IFERROR(__xludf.DUMMYFUNCTION("""COMPUTED_VALUE"""),"Are rent-to-own units a good option for property buyers in Dubai?")</f>
        <v>Are rent-to-own units a good option for property buyers in Dubai?</v>
      </c>
      <c r="E357" s="507" t="str">
        <f>IFERROR(__xludf.DUMMYFUNCTION("""COMPUTED_VALUE"""),"https://www.khaleejtimes.com/business/are-rent-to-own-units-a-good-option-for-property-buyers-in-dubai")</f>
        <v>https://www.khaleejtimes.com/business/are-rent-to-own-units-a-good-option-for-property-buyers-in-dubai</v>
      </c>
      <c r="F357" s="368" t="str">
        <f>IFERROR(__xludf.DUMMYFUNCTION("""COMPUTED_VALUE"""),"Betterhomes")</f>
        <v>Betterhomes</v>
      </c>
    </row>
    <row r="358">
      <c r="A358" s="402">
        <f>IFERROR(__xludf.DUMMYFUNCTION("""COMPUTED_VALUE"""),45069.0)</f>
        <v>45069</v>
      </c>
      <c r="B358" s="368" t="str">
        <f>IFERROR(__xludf.DUMMYFUNCTION("""COMPUTED_VALUE"""),"Tier 2")</f>
        <v>Tier 2</v>
      </c>
      <c r="C358" s="368" t="str">
        <f>IFERROR(__xludf.DUMMYFUNCTION("""COMPUTED_VALUE"""),"Zawya ")</f>
        <v>Zawya </v>
      </c>
      <c r="D358" s="368" t="str">
        <f>IFERROR(__xludf.DUMMYFUNCTION("""COMPUTED_VALUE"""),"Property Finder brings together UAE real estate industry leaders at Property Finder Connect 2023 event")</f>
        <v>Property Finder brings together UAE real estate industry leaders at Property Finder Connect 2023 event</v>
      </c>
      <c r="E358" s="507" t="str">
        <f>IFERROR(__xludf.DUMMYFUNCTION("""COMPUTED_VALUE"""),"https://www.zawya.com/en/press-release/companies-news/property-finder-brings-together-uae-real-estate-industry-leaders-at-property-finder-connect-2023-event-x1vs7r8h")</f>
        <v>https://www.zawya.com/en/press-release/companies-news/property-finder-brings-together-uae-real-estate-industry-leaders-at-property-finder-connect-2023-event-x1vs7r8h</v>
      </c>
      <c r="F358" s="368" t="str">
        <f>IFERROR(__xludf.DUMMYFUNCTION("""COMPUTED_VALUE"""),"Betterhomes")</f>
        <v>Betterhomes</v>
      </c>
    </row>
    <row r="359">
      <c r="A359" s="402">
        <f>IFERROR(__xludf.DUMMYFUNCTION("""COMPUTED_VALUE"""),45077.0)</f>
        <v>45077</v>
      </c>
      <c r="B359" s="368" t="str">
        <f>IFERROR(__xludf.DUMMYFUNCTION("""COMPUTED_VALUE"""),"Tier 3")</f>
        <v>Tier 3</v>
      </c>
      <c r="C359" s="368" t="str">
        <f>IFERROR(__xludf.DUMMYFUNCTION("""COMPUTED_VALUE"""),"Capital (France)")</f>
        <v>Capital (France)</v>
      </c>
      <c r="D359" s="368" t="str">
        <f>IFERROR(__xludf.DUMMYFUNCTION("""COMPUTED_VALUE"""),"Why the war in Ukraine caused a 36% increase in rents in Dubai")</f>
        <v>Why the war in Ukraine caused a 36% increase in rents in Dubai</v>
      </c>
      <c r="E359" s="507" t="str">
        <f>IFERROR(__xludf.DUMMYFUNCTION("""COMPUTED_VALUE"""),"https://www.capital.fr/immobilier/pourquoi-la-guerre-en-ukraine-a-provoque-une-augmentation-de-36-des-loyers-a-dubai-1469893")</f>
        <v>https://www.capital.fr/immobilier/pourquoi-la-guerre-en-ukraine-a-provoque-une-augmentation-de-36-des-loyers-a-dubai-1469893</v>
      </c>
      <c r="F359" s="368" t="str">
        <f>IFERROR(__xludf.DUMMYFUNCTION("""COMPUTED_VALUE"""),"Betterhomes")</f>
        <v>Betterhomes</v>
      </c>
    </row>
    <row r="360">
      <c r="A360" s="402">
        <f>IFERROR(__xludf.DUMMYFUNCTION("""COMPUTED_VALUE"""),45077.0)</f>
        <v>45077</v>
      </c>
      <c r="B360" s="368" t="str">
        <f>IFERROR(__xludf.DUMMYFUNCTION("""COMPUTED_VALUE"""),"Tier 2")</f>
        <v>Tier 2</v>
      </c>
      <c r="C360" s="368" t="str">
        <f>IFERROR(__xludf.DUMMYFUNCTION("""COMPUTED_VALUE"""),"Khaleej Times")</f>
        <v>Khaleej Times</v>
      </c>
      <c r="D360" s="368" t="str">
        <f>IFERROR(__xludf.DUMMYFUNCTION("""COMPUTED_VALUE"""),"Top luxury property buyers in Dubai: Chinese, British investors overtake Indians")</f>
        <v>Top luxury property buyers in Dubai: Chinese, British investors overtake Indians</v>
      </c>
      <c r="E360" s="507" t="str">
        <f>IFERROR(__xludf.DUMMYFUNCTION("""COMPUTED_VALUE"""),"https://www.khaleejtimes.com/business/property/top-luxury-property-buyers-in-dubai-chinese-british-investors-overtake-indians")</f>
        <v>https://www.khaleejtimes.com/business/property/top-luxury-property-buyers-in-dubai-chinese-british-investors-overtake-indians</v>
      </c>
      <c r="F360" s="368" t="str">
        <f>IFERROR(__xludf.DUMMYFUNCTION("""COMPUTED_VALUE"""),"Betterhomes")</f>
        <v>Betterhomes</v>
      </c>
    </row>
    <row r="361">
      <c r="A361" s="402">
        <f>IFERROR(__xludf.DUMMYFUNCTION("""COMPUTED_VALUE"""),45077.0)</f>
        <v>45077</v>
      </c>
      <c r="B361" s="368" t="str">
        <f>IFERROR(__xludf.DUMMYFUNCTION("""COMPUTED_VALUE"""),"Tier 3")</f>
        <v>Tier 3</v>
      </c>
      <c r="C361" s="368" t="str">
        <f>IFERROR(__xludf.DUMMYFUNCTION("""COMPUTED_VALUE"""),"Le Petit Journal (France)")</f>
        <v>Le Petit Journal (France)</v>
      </c>
      <c r="D361" s="368" t="str">
        <f>IFERROR(__xludf.DUMMYFUNCTION("""COMPUTED_VALUE"""),"The most popular areas of Dubai and the nationalities of buyers")</f>
        <v>The most popular areas of Dubai and the nationalities of buyers</v>
      </c>
      <c r="E361" s="507" t="str">
        <f>IFERROR(__xludf.DUMMYFUNCTION("""COMPUTED_VALUE"""),"https://lepetitjournal.com/dubai/logement/quartiers-populaires-dubai-nationalites-acheteurs-361117")</f>
        <v>https://lepetitjournal.com/dubai/logement/quartiers-populaires-dubai-nationalites-acheteurs-361117</v>
      </c>
      <c r="F361" s="368" t="str">
        <f>IFERROR(__xludf.DUMMYFUNCTION("""COMPUTED_VALUE"""),"Betterhomes")</f>
        <v>Betterhomes</v>
      </c>
    </row>
    <row r="362">
      <c r="A362" s="402">
        <f>IFERROR(__xludf.DUMMYFUNCTION("""COMPUTED_VALUE"""),45085.0)</f>
        <v>45085</v>
      </c>
      <c r="B362" s="368" t="str">
        <f>IFERROR(__xludf.DUMMYFUNCTION("""COMPUTED_VALUE"""),"Tier 2")</f>
        <v>Tier 2</v>
      </c>
      <c r="C362" s="368" t="str">
        <f>IFERROR(__xludf.DUMMYFUNCTION("""COMPUTED_VALUE"""),"The Digital Journal ")</f>
        <v>The Digital Journal </v>
      </c>
      <c r="D362" s="368" t="str">
        <f>IFERROR(__xludf.DUMMYFUNCTION("""COMPUTED_VALUE"""),"The Uphill Trajectory of Property Technology Within the Middle East")</f>
        <v>The Uphill Trajectory of Property Technology Within the Middle East</v>
      </c>
      <c r="E362" s="507" t="str">
        <f>IFERROR(__xludf.DUMMYFUNCTION("""COMPUTED_VALUE"""),"https://www.digitaljournal.com/pr/news/binary-news-network/the-uphill-trajectory-of-property-technology-within-the-middle-east")</f>
        <v>https://www.digitaljournal.com/pr/news/binary-news-network/the-uphill-trajectory-of-property-technology-within-the-middle-east</v>
      </c>
      <c r="F362" s="368" t="str">
        <f>IFERROR(__xludf.DUMMYFUNCTION("""COMPUTED_VALUE"""),"Betterhomes")</f>
        <v>Betterhomes</v>
      </c>
    </row>
    <row r="363">
      <c r="A363" s="402">
        <f>IFERROR(__xludf.DUMMYFUNCTION("""COMPUTED_VALUE"""),45085.0)</f>
        <v>45085</v>
      </c>
      <c r="B363" s="368" t="str">
        <f>IFERROR(__xludf.DUMMYFUNCTION("""COMPUTED_VALUE"""),"Tier 2")</f>
        <v>Tier 2</v>
      </c>
      <c r="C363" s="368" t="str">
        <f>IFERROR(__xludf.DUMMYFUNCTION("""COMPUTED_VALUE"""),"The National ")</f>
        <v>The National </v>
      </c>
      <c r="D363" s="368" t="str">
        <f>IFERROR(__xludf.DUMMYFUNCTION("""COMPUTED_VALUE"""),"Moving to Abu Dhabi: Best residential areas for middle income earners")</f>
        <v>Moving to Abu Dhabi: Best residential areas for middle income earners</v>
      </c>
      <c r="E363" s="507" t="str">
        <f>IFERROR(__xludf.DUMMYFUNCTION("""COMPUTED_VALUE"""),"https://www.thenationalnews.com/uae/2023/06/08/moving-to-abu-dhabi-best-residential-areas-for-middle-income-earners/")</f>
        <v>https://www.thenationalnews.com/uae/2023/06/08/moving-to-abu-dhabi-best-residential-areas-for-middle-income-earners/</v>
      </c>
      <c r="F363" s="368" t="str">
        <f>IFERROR(__xludf.DUMMYFUNCTION("""COMPUTED_VALUE"""),"Betterhomes")</f>
        <v>Betterhomes</v>
      </c>
    </row>
    <row r="364">
      <c r="A364" s="402">
        <f>IFERROR(__xludf.DUMMYFUNCTION("""COMPUTED_VALUE"""),45088.0)</f>
        <v>45088</v>
      </c>
      <c r="B364" s="368" t="str">
        <f>IFERROR(__xludf.DUMMYFUNCTION("""COMPUTED_VALUE"""),"Tier 3")</f>
        <v>Tier 3</v>
      </c>
      <c r="C364" s="368" t="str">
        <f>IFERROR(__xludf.DUMMYFUNCTION("""COMPUTED_VALUE"""),"Panorama")</f>
        <v>Panorama</v>
      </c>
      <c r="D364" s="368" t="str">
        <f>IFERROR(__xludf.DUMMYFUNCTION("""COMPUTED_VALUE"""),"Real estate investments in Dubai: From costs, offers and pitfalls, what you need to know about the trend that has reached Romania")</f>
        <v>Real estate investments in Dubai: From costs, offers and pitfalls, what you need to know about the trend that has reached Romania</v>
      </c>
      <c r="E364" s="507" t="str">
        <f>IFERROR(__xludf.DUMMYFUNCTION("""COMPUTED_VALUE"""),"https://panorama.ro/imobiliare-dubai-investitie-romani-piata-imobiliara/")</f>
        <v>https://panorama.ro/imobiliare-dubai-investitie-romani-piata-imobiliara/</v>
      </c>
      <c r="F364" s="368" t="str">
        <f>IFERROR(__xludf.DUMMYFUNCTION("""COMPUTED_VALUE"""),"Betterhomes")</f>
        <v>Betterhomes</v>
      </c>
    </row>
    <row r="365">
      <c r="A365" s="402">
        <f>IFERROR(__xludf.DUMMYFUNCTION("""COMPUTED_VALUE"""),45089.0)</f>
        <v>45089</v>
      </c>
      <c r="B365" s="368" t="str">
        <f>IFERROR(__xludf.DUMMYFUNCTION("""COMPUTED_VALUE"""),"Tier 1")</f>
        <v>Tier 1</v>
      </c>
      <c r="C365" s="368" t="str">
        <f>IFERROR(__xludf.DUMMYFUNCTION("""COMPUTED_VALUE"""),"CNN")</f>
        <v>CNN</v>
      </c>
      <c r="D365" s="368" t="str">
        <f>IFERROR(__xludf.DUMMYFUNCTION("""COMPUTED_VALUE"""),"The Dubai 50 Homes Awards celebrate exceptional design")</f>
        <v>The Dubai 50 Homes Awards celebrate exceptional design</v>
      </c>
      <c r="E365" s="507" t="str">
        <f>IFERROR(__xludf.DUMMYFUNCTION("""COMPUTED_VALUE"""),"https://cnnbusinessarabic.com/real-estate-construction/27602/%d8%ad%d9%81%d9%84-%d8%aa%d9%88%d8%b2%d9%8a%d8%b9-%d8%ac%d9%88%d8%a7%d8%a6%d8%b2-%d8%a3%d9%81%d8%b6%d9%84-50-%d9%85%d9%86%d8%b2%d9%84%d8%a7%d9%8b-%d9%81%d9%8a-%d8%af%d8%a8%d9%8a-%d9%8a%d8%ad%d8%"&amp;"aa")</f>
        <v>https://cnnbusinessarabic.com/real-estate-construction/27602/%d8%ad%d9%81%d9%84-%d8%aa%d9%88%d8%b2%d9%8a%d8%b9-%d8%ac%d9%88%d8%a7%d8%a6%d8%b2-%d8%a3%d9%81%d8%b6%d9%84-50-%d9%85%d9%86%d8%b2%d9%84%d8%a7%d9%8b-%d9%81%d9%8a-%d8%af%d8%a8%d9%8a-%d9%8a%d8%ad%d8%aa</v>
      </c>
      <c r="F365" s="368" t="str">
        <f>IFERROR(__xludf.DUMMYFUNCTION("""COMPUTED_VALUE"""),"Prime by Betterhomes")</f>
        <v>Prime by Betterhomes</v>
      </c>
    </row>
    <row r="366">
      <c r="A366" s="402">
        <f>IFERROR(__xludf.DUMMYFUNCTION("""COMPUTED_VALUE"""),45091.0)</f>
        <v>45091</v>
      </c>
      <c r="B366" s="368" t="str">
        <f>IFERROR(__xludf.DUMMYFUNCTION("""COMPUTED_VALUE"""),"Tier 2")</f>
        <v>Tier 2</v>
      </c>
      <c r="C366" s="368" t="str">
        <f>IFERROR(__xludf.DUMMYFUNCTION("""COMPUTED_VALUE"""),"Khaleej Times")</f>
        <v>Khaleej Times</v>
      </c>
      <c r="D366" s="368" t="str">
        <f>IFERROR(__xludf.DUMMYFUNCTION("""COMPUTED_VALUE"""),"UAE residency: Here are various visas you can get after purchasing a property")</f>
        <v>UAE residency: Here are various visas you can get after purchasing a property</v>
      </c>
      <c r="E366" s="507" t="str">
        <f>IFERROR(__xludf.DUMMYFUNCTION("""COMPUTED_VALUE"""),"https://www.khaleejtimes.com/business/uae-here-are-the-various-visas-you-can-get-on-purchasing-a-property")</f>
        <v>https://www.khaleejtimes.com/business/uae-here-are-the-various-visas-you-can-get-on-purchasing-a-property</v>
      </c>
      <c r="F366" s="368" t="str">
        <f>IFERROR(__xludf.DUMMYFUNCTION("""COMPUTED_VALUE"""),"Betterhomes")</f>
        <v>Betterhomes</v>
      </c>
    </row>
    <row r="367">
      <c r="A367" s="402">
        <f>IFERROR(__xludf.DUMMYFUNCTION("""COMPUTED_VALUE"""),45092.0)</f>
        <v>45092</v>
      </c>
      <c r="B367" s="368" t="str">
        <f>IFERROR(__xludf.DUMMYFUNCTION("""COMPUTED_VALUE"""),"Tier 3")</f>
        <v>Tier 3</v>
      </c>
      <c r="C367" s="368" t="str">
        <f>IFERROR(__xludf.DUMMYFUNCTION("""COMPUTED_VALUE"""),"Area Militar (Portuguese)")</f>
        <v>Area Militar (Portuguese)</v>
      </c>
      <c r="D367" s="368" t="str">
        <f>IFERROR(__xludf.DUMMYFUNCTION("""COMPUTED_VALUE"""),"Russians have led among foreign property buyers in Turkey for half a year")</f>
        <v>Russians have led among foreign property buyers in Turkey for half a year</v>
      </c>
      <c r="E367" s="507" t="str">
        <f>IFERROR(__xludf.DUMMYFUNCTION("""COMPUTED_VALUE"""),"https://areamilitarof.com/russia-os-russos-lideram-entre-os-compradores-estrangeiros-de-imoveis-na-turquia-ha-meio-ano/")</f>
        <v>https://areamilitarof.com/russia-os-russos-lideram-entre-os-compradores-estrangeiros-de-imoveis-na-turquia-ha-meio-ano/</v>
      </c>
      <c r="F367" s="368" t="str">
        <f>IFERROR(__xludf.DUMMYFUNCTION("""COMPUTED_VALUE"""),"Betterhomes")</f>
        <v>Betterhomes</v>
      </c>
    </row>
    <row r="368">
      <c r="A368" s="402">
        <f>IFERROR(__xludf.DUMMYFUNCTION("""COMPUTED_VALUE"""),45092.0)</f>
        <v>45092</v>
      </c>
      <c r="B368" s="368" t="str">
        <f>IFERROR(__xludf.DUMMYFUNCTION("""COMPUTED_VALUE"""),"Tier 2")</f>
        <v>Tier 2</v>
      </c>
      <c r="C368" s="368" t="str">
        <f>IFERROR(__xludf.DUMMYFUNCTION("""COMPUTED_VALUE"""),"Arabian Business")</f>
        <v>Arabian Business</v>
      </c>
      <c r="D368" s="368" t="str">
        <f>IFERROR(__xludf.DUMMYFUNCTION("""COMPUTED_VALUE"""),"From pandemic-era startup to industry player: K4’s rise to the top")</f>
        <v>From pandemic-era startup to industry player: K4’s rise to the top</v>
      </c>
      <c r="E368" s="507" t="str">
        <f>IFERROR(__xludf.DUMMYFUNCTION("""COMPUTED_VALUE"""),"https://www.arabianbusiness.com/resources/from-pandemic-era-startup-to-industry-player-k4s-rise-to-the-top")</f>
        <v>https://www.arabianbusiness.com/resources/from-pandemic-era-startup-to-industry-player-k4s-rise-to-the-top</v>
      </c>
      <c r="F368" s="368" t="str">
        <f>IFERROR(__xludf.DUMMYFUNCTION("""COMPUTED_VALUE"""),"Prime by Betterhomes")</f>
        <v>Prime by Betterhomes</v>
      </c>
    </row>
    <row r="369">
      <c r="A369" s="402">
        <f>IFERROR(__xludf.DUMMYFUNCTION("""COMPUTED_VALUE"""),45093.0)</f>
        <v>45093</v>
      </c>
      <c r="B369" s="368" t="str">
        <f>IFERROR(__xludf.DUMMYFUNCTION("""COMPUTED_VALUE"""),"Tier 2")</f>
        <v>Tier 2</v>
      </c>
      <c r="C369" s="368" t="str">
        <f>IFERROR(__xludf.DUMMYFUNCTION("""COMPUTED_VALUE"""),"The National ")</f>
        <v>The National </v>
      </c>
      <c r="D369" s="368" t="str">
        <f>IFERROR(__xludf.DUMMYFUNCTION("""COMPUTED_VALUE"""),"Dubai's property bubble far from bursting, real estate experts say")</f>
        <v>Dubai's property bubble far from bursting, real estate experts say</v>
      </c>
      <c r="E369" s="507" t="str">
        <f>IFERROR(__xludf.DUMMYFUNCTION("""COMPUTED_VALUE"""),"https://www.thenationalnews.com/uae/2023/06/15/dubais-property-bubble-far-from-bursting-real-estate-experts-say/")</f>
        <v>https://www.thenationalnews.com/uae/2023/06/15/dubais-property-bubble-far-from-bursting-real-estate-experts-say/</v>
      </c>
      <c r="F369" s="368" t="str">
        <f>IFERROR(__xludf.DUMMYFUNCTION("""COMPUTED_VALUE"""),"Betterhomes")</f>
        <v>Betterhomes</v>
      </c>
    </row>
    <row r="370">
      <c r="A370" s="402">
        <f>IFERROR(__xludf.DUMMYFUNCTION("""COMPUTED_VALUE"""),45096.0)</f>
        <v>45096</v>
      </c>
      <c r="B370" s="368" t="str">
        <f>IFERROR(__xludf.DUMMYFUNCTION("""COMPUTED_VALUE"""),"Tier 2")</f>
        <v>Tier 2</v>
      </c>
      <c r="C370" s="368" t="str">
        <f>IFERROR(__xludf.DUMMYFUNCTION("""COMPUTED_VALUE"""),"Yahoo")</f>
        <v>Yahoo</v>
      </c>
      <c r="D370" s="368" t="str">
        <f>IFERROR(__xludf.DUMMYFUNCTION("""COMPUTED_VALUE"""),"Dubai eyes long-term growth amid new property boom")</f>
        <v>Dubai eyes long-term growth amid new property boom</v>
      </c>
      <c r="E370" s="507" t="str">
        <f>IFERROR(__xludf.DUMMYFUNCTION("""COMPUTED_VALUE"""),"https://au.sports.yahoo.com/dubai-eyes-long-term-growth-134304251.html")</f>
        <v>https://au.sports.yahoo.com/dubai-eyes-long-term-growth-134304251.html</v>
      </c>
      <c r="F370" s="368" t="str">
        <f>IFERROR(__xludf.DUMMYFUNCTION("""COMPUTED_VALUE"""),"Betterhomes")</f>
        <v>Betterhomes</v>
      </c>
    </row>
    <row r="371">
      <c r="A371" s="402">
        <f>IFERROR(__xludf.DUMMYFUNCTION("""COMPUTED_VALUE"""),45096.0)</f>
        <v>45096</v>
      </c>
      <c r="B371" s="368" t="str">
        <f>IFERROR(__xludf.DUMMYFUNCTION("""COMPUTED_VALUE"""),"Tier 3")</f>
        <v>Tier 3</v>
      </c>
      <c r="C371" s="368" t="str">
        <f>IFERROR(__xludf.DUMMYFUNCTION("""COMPUTED_VALUE"""),"Saltwire (US)")</f>
        <v>Saltwire (US)</v>
      </c>
      <c r="D371" s="368" t="str">
        <f>IFERROR(__xludf.DUMMYFUNCTION("""COMPUTED_VALUE"""),"Dubai chases long-term growth as property booms, seeks to blunt debt risk")</f>
        <v>Dubai chases long-term growth as property booms, seeks to blunt debt risk</v>
      </c>
      <c r="E371" s="507" t="str">
        <f>IFERROR(__xludf.DUMMYFUNCTION("""COMPUTED_VALUE"""),"https://www.saltwire.com/prince-edward-island/business/dubai-chases-long-term-growth-as-property-booms-seeks-to-blunt-debt-risk-100865458/")</f>
        <v>https://www.saltwire.com/prince-edward-island/business/dubai-chases-long-term-growth-as-property-booms-seeks-to-blunt-debt-risk-100865458/</v>
      </c>
      <c r="F371" s="368" t="str">
        <f>IFERROR(__xludf.DUMMYFUNCTION("""COMPUTED_VALUE"""),"Betterhomes")</f>
        <v>Betterhomes</v>
      </c>
    </row>
    <row r="372">
      <c r="A372" s="402">
        <f>IFERROR(__xludf.DUMMYFUNCTION("""COMPUTED_VALUE"""),45096.0)</f>
        <v>45096</v>
      </c>
      <c r="B372" s="368" t="str">
        <f>IFERROR(__xludf.DUMMYFUNCTION("""COMPUTED_VALUE"""),"Tier 2")</f>
        <v>Tier 2</v>
      </c>
      <c r="C372" s="368" t="str">
        <f>IFERROR(__xludf.DUMMYFUNCTION("""COMPUTED_VALUE"""),"Zawya ")</f>
        <v>Zawya </v>
      </c>
      <c r="D372" s="368" t="str">
        <f>IFERROR(__xludf.DUMMYFUNCTION("""COMPUTED_VALUE"""),"50 of the city’s most remarkable homes competed for the crown but who won Dubai’s Top 50 Homes competition?")</f>
        <v>50 of the city’s most remarkable homes competed for the crown but who won Dubai’s Top 50 Homes competition?</v>
      </c>
      <c r="E372" s="507" t="str">
        <f>IFERROR(__xludf.DUMMYFUNCTION("""COMPUTED_VALUE"""),"https://www.zawya.com/en/press-release/companies-news/50-of-the-citys-most-remarkable-homes-competed-for-the-crown-but-who-won-dubais-top-50-homes-competition-fu0mo56k")</f>
        <v>https://www.zawya.com/en/press-release/companies-news/50-of-the-citys-most-remarkable-homes-competed-for-the-crown-but-who-won-dubais-top-50-homes-competition-fu0mo56k</v>
      </c>
      <c r="F372" s="368" t="str">
        <f>IFERROR(__xludf.DUMMYFUNCTION("""COMPUTED_VALUE"""),"Prime by Betterhomes")</f>
        <v>Prime by Betterhomes</v>
      </c>
    </row>
    <row r="373">
      <c r="A373" s="402">
        <f>IFERROR(__xludf.DUMMYFUNCTION("""COMPUTED_VALUE"""),45096.0)</f>
        <v>45096</v>
      </c>
      <c r="B373" s="368" t="str">
        <f>IFERROR(__xludf.DUMMYFUNCTION("""COMPUTED_VALUE"""),"Tier 1")</f>
        <v>Tier 1</v>
      </c>
      <c r="C373" s="368" t="str">
        <f>IFERROR(__xludf.DUMMYFUNCTION("""COMPUTED_VALUE"""),"Reuters YT")</f>
        <v>Reuters YT</v>
      </c>
      <c r="D373" s="368" t="str">
        <f>IFERROR(__xludf.DUMMYFUNCTION("""COMPUTED_VALUE"""),"Dubai chases long-term growth as property booms, seeks to blunt debt risk")</f>
        <v>Dubai chases long-term growth as property booms, seeks to blunt debt risk</v>
      </c>
      <c r="E373" s="507" t="str">
        <f>IFERROR(__xludf.DUMMYFUNCTION("""COMPUTED_VALUE"""),"https://www.youtube.com/watch?v=ulUPhJhGAjg")</f>
        <v>https://www.youtube.com/watch?v=ulUPhJhGAjg</v>
      </c>
      <c r="F373" s="368" t="str">
        <f>IFERROR(__xludf.DUMMYFUNCTION("""COMPUTED_VALUE"""),"Betterhomes")</f>
        <v>Betterhomes</v>
      </c>
    </row>
    <row r="374">
      <c r="A374" s="402">
        <f>IFERROR(__xludf.DUMMYFUNCTION("""COMPUTED_VALUE"""),45096.0)</f>
        <v>45096</v>
      </c>
      <c r="B374" s="368" t="str">
        <f>IFERROR(__xludf.DUMMYFUNCTION("""COMPUTED_VALUE"""),"Tier 1")</f>
        <v>Tier 1</v>
      </c>
      <c r="C374" s="368" t="str">
        <f>IFERROR(__xludf.DUMMYFUNCTION("""COMPUTED_VALUE"""),"Reuters")</f>
        <v>Reuters</v>
      </c>
      <c r="D374" s="368" t="str">
        <f>IFERROR(__xludf.DUMMYFUNCTION("""COMPUTED_VALUE"""),"Dubai chases long-term growth as property booms, seeks to blunt debt risk")</f>
        <v>Dubai chases long-term growth as property booms, seeks to blunt debt risk</v>
      </c>
      <c r="E374" s="507" t="str">
        <f>IFERROR(__xludf.DUMMYFUNCTION("""COMPUTED_VALUE"""),"https://www.reuters.com/world/middle-east/dubai-chases-long-term-growth-property-booms-seeks-blunt-debt-risk-2023-06-19/")</f>
        <v>https://www.reuters.com/world/middle-east/dubai-chases-long-term-growth-property-booms-seeks-blunt-debt-risk-2023-06-19/</v>
      </c>
      <c r="F374" s="368" t="str">
        <f>IFERROR(__xludf.DUMMYFUNCTION("""COMPUTED_VALUE"""),"Betterhomes")</f>
        <v>Betterhomes</v>
      </c>
    </row>
    <row r="375">
      <c r="A375" s="402">
        <f>IFERROR(__xludf.DUMMYFUNCTION("""COMPUTED_VALUE"""),45097.0)</f>
        <v>45097</v>
      </c>
      <c r="B375" s="368" t="str">
        <f>IFERROR(__xludf.DUMMYFUNCTION("""COMPUTED_VALUE"""),"Tier 3")</f>
        <v>Tier 3</v>
      </c>
      <c r="C375" s="368" t="str">
        <f>IFERROR(__xludf.DUMMYFUNCTION("""COMPUTED_VALUE"""),"The Daily Star (China)")</f>
        <v>The Daily Star (China)</v>
      </c>
      <c r="D375" s="368" t="str">
        <f>IFERROR(__xludf.DUMMYFUNCTION("""COMPUTED_VALUE"""),"Dubai chases long-term growth")</f>
        <v>Dubai chases long-term growth</v>
      </c>
      <c r="E375" s="507" t="str">
        <f>IFERROR(__xludf.DUMMYFUNCTION("""COMPUTED_VALUE"""),"https://www.thedailystar.net/business/global-economy/news/chinas-youth-confront-bleak-job-market-3351496")</f>
        <v>https://www.thedailystar.net/business/global-economy/news/chinas-youth-confront-bleak-job-market-3351496</v>
      </c>
      <c r="F375" s="368" t="str">
        <f>IFERROR(__xludf.DUMMYFUNCTION("""COMPUTED_VALUE"""),"Betterhomes")</f>
        <v>Betterhomes</v>
      </c>
    </row>
    <row r="376">
      <c r="A376" s="402">
        <f>IFERROR(__xludf.DUMMYFUNCTION("""COMPUTED_VALUE"""),45098.0)</f>
        <v>45098</v>
      </c>
      <c r="B376" s="368" t="str">
        <f>IFERROR(__xludf.DUMMYFUNCTION("""COMPUTED_VALUE"""),"Tier 2")</f>
        <v>Tier 2</v>
      </c>
      <c r="C376" s="368" t="str">
        <f>IFERROR(__xludf.DUMMYFUNCTION("""COMPUTED_VALUE"""),"Gulf Today")</f>
        <v>Gulf Today</v>
      </c>
      <c r="D376" s="368" t="str">
        <f>IFERROR(__xludf.DUMMYFUNCTION("""COMPUTED_VALUE"""),"Dubai is looking forward to long-term growth, with real estate booming after rapid recovery")</f>
        <v>Dubai is looking forward to long-term growth, with real estate booming after rapid recovery</v>
      </c>
      <c r="E376" s="507" t="str">
        <f>IFERROR(__xludf.DUMMYFUNCTION("""COMPUTED_VALUE"""),"https://www.gulftoday.ae/news/2023/06/21/dubai-is-looking-forward-to-long-term-growth-with-real-estate-booming-after-rapid-recovery")</f>
        <v>https://www.gulftoday.ae/news/2023/06/21/dubai-is-looking-forward-to-long-term-growth-with-real-estate-booming-after-rapid-recovery</v>
      </c>
      <c r="F376" s="368" t="str">
        <f>IFERROR(__xludf.DUMMYFUNCTION("""COMPUTED_VALUE"""),"Betterhomes")</f>
        <v>Betterhomes</v>
      </c>
    </row>
    <row r="377">
      <c r="A377" s="402">
        <f>IFERROR(__xludf.DUMMYFUNCTION("""COMPUTED_VALUE"""),45099.0)</f>
        <v>45099</v>
      </c>
      <c r="B377" s="368" t="str">
        <f>IFERROR(__xludf.DUMMYFUNCTION("""COMPUTED_VALUE"""),"Tier 2")</f>
        <v>Tier 2</v>
      </c>
      <c r="C377" s="368" t="str">
        <f>IFERROR(__xludf.DUMMYFUNCTION("""COMPUTED_VALUE"""),"The National ")</f>
        <v>The National </v>
      </c>
      <c r="D377" s="368" t="str">
        <f>IFERROR(__xludf.DUMMYFUNCTION("""COMPUTED_VALUE"""),"Inside a luxury Dh90 million Dubai home complete with an American-style diner")</f>
        <v>Inside a luxury Dh90 million Dubai home complete with an American-style diner</v>
      </c>
      <c r="E377" s="507" t="str">
        <f>IFERROR(__xludf.DUMMYFUNCTION("""COMPUTED_VALUE"""),"https://www.thenationalnews.com/lifestyle/home-garden/2023/06/20/inside-a-luxury-dh90-million-dubai-home-complete-with-an-american-style-diner/")</f>
        <v>https://www.thenationalnews.com/lifestyle/home-garden/2023/06/20/inside-a-luxury-dh90-million-dubai-home-complete-with-an-american-style-diner/</v>
      </c>
      <c r="F377" s="368" t="str">
        <f>IFERROR(__xludf.DUMMYFUNCTION("""COMPUTED_VALUE"""),"Prime by Betterhomes")</f>
        <v>Prime by Betterhomes</v>
      </c>
    </row>
    <row r="378">
      <c r="A378" s="402">
        <f>IFERROR(__xludf.DUMMYFUNCTION("""COMPUTED_VALUE"""),45099.0)</f>
        <v>45099</v>
      </c>
      <c r="B378" s="368" t="str">
        <f>IFERROR(__xludf.DUMMYFUNCTION("""COMPUTED_VALUE"""),"Tier 2")</f>
        <v>Tier 2</v>
      </c>
      <c r="C378" s="368" t="str">
        <f>IFERROR(__xludf.DUMMYFUNCTION("""COMPUTED_VALUE"""),"The National ")</f>
        <v>The National </v>
      </c>
      <c r="D378" s="368" t="str">
        <f>IFERROR(__xludf.DUMMYFUNCTION("""COMPUTED_VALUE"""),"Megaprojects: The $3bn Dubai tower set to join the world's tallest residential buildings")</f>
        <v>Megaprojects: The $3bn Dubai tower set to join the world's tallest residential buildings</v>
      </c>
      <c r="E378" s="507" t="str">
        <f>IFERROR(__xludf.DUMMYFUNCTION("""COMPUTED_VALUE"""),"https://www.thenationalnews.com/uae/2023/06/22/megaprojects-the-3bn-dubai-tower-set-to-join-the-worlds-tallest-residential-buildings/")</f>
        <v>https://www.thenationalnews.com/uae/2023/06/22/megaprojects-the-3bn-dubai-tower-set-to-join-the-worlds-tallest-residential-buildings/</v>
      </c>
      <c r="F378" s="368" t="str">
        <f>IFERROR(__xludf.DUMMYFUNCTION("""COMPUTED_VALUE"""),"Betterhomes")</f>
        <v>Betterhomes</v>
      </c>
    </row>
    <row r="379">
      <c r="A379" s="402">
        <f>IFERROR(__xludf.DUMMYFUNCTION("""COMPUTED_VALUE"""),45099.0)</f>
        <v>45099</v>
      </c>
      <c r="B379" s="368" t="str">
        <f>IFERROR(__xludf.DUMMYFUNCTION("""COMPUTED_VALUE"""),"Tier 1")</f>
        <v>Tier 1</v>
      </c>
      <c r="C379" s="368" t="str">
        <f>IFERROR(__xludf.DUMMYFUNCTION("""COMPUTED_VALUE"""),"Bloomberg")</f>
        <v>Bloomberg</v>
      </c>
      <c r="D379" s="368" t="str">
        <f>IFERROR(__xludf.DUMMYFUNCTION("""COMPUTED_VALUE"""),"Dubai’s Latest Property Spree Has Rich Buyers Taking More Risk")</f>
        <v>Dubai’s Latest Property Spree Has Rich Buyers Taking More Risk</v>
      </c>
      <c r="E379" s="507" t="str">
        <f>IFERROR(__xludf.DUMMYFUNCTION("""COMPUTED_VALUE"""),"https://www.bloomberg.com/news/articles/2023-06-22/dubai-s-latest-property-spree-has-rich-buyers-taking-more-risk#:~:text=a%20broad%20basis.%E2%80%9D-,More%20Risk,to%20sell%20ahead%20of%20construction.")</f>
        <v>https://www.bloomberg.com/news/articles/2023-06-22/dubai-s-latest-property-spree-has-rich-buyers-taking-more-risk#:~:text=a%20broad%20basis.%E2%80%9D-,More%20Risk,to%20sell%20ahead%20of%20construction.</v>
      </c>
      <c r="F379" s="368" t="str">
        <f>IFERROR(__xludf.DUMMYFUNCTION("""COMPUTED_VALUE"""),"Betterhomes")</f>
        <v>Betterhomes</v>
      </c>
    </row>
    <row r="380">
      <c r="A380" s="402">
        <f>IFERROR(__xludf.DUMMYFUNCTION("""COMPUTED_VALUE"""),45099.0)</f>
        <v>45099</v>
      </c>
      <c r="B380" s="368" t="str">
        <f>IFERROR(__xludf.DUMMYFUNCTION("""COMPUTED_VALUE"""),"Tier 1")</f>
        <v>Tier 1</v>
      </c>
      <c r="C380" s="368" t="str">
        <f>IFERROR(__xludf.DUMMYFUNCTION("""COMPUTED_VALUE"""),"BNN Bloomberg")</f>
        <v>BNN Bloomberg</v>
      </c>
      <c r="D380" s="368" t="str">
        <f>IFERROR(__xludf.DUMMYFUNCTION("""COMPUTED_VALUE"""),"Dubai’s Latest Property Spree Has Rich Buyers Taking More Risk")</f>
        <v>Dubai’s Latest Property Spree Has Rich Buyers Taking More Risk</v>
      </c>
      <c r="E380" s="507" t="str">
        <f>IFERROR(__xludf.DUMMYFUNCTION("""COMPUTED_VALUE"""),"https://www.bnnbloomberg.ca/dubai-s-latest-property-spree-has-rich-buyers-taking-more-risk-1.1936277")</f>
        <v>https://www.bnnbloomberg.ca/dubai-s-latest-property-spree-has-rich-buyers-taking-more-risk-1.1936277</v>
      </c>
      <c r="F380" s="368" t="str">
        <f>IFERROR(__xludf.DUMMYFUNCTION("""COMPUTED_VALUE"""),"Betterhomes")</f>
        <v>Betterhomes</v>
      </c>
    </row>
    <row r="381">
      <c r="A381" s="402">
        <f>IFERROR(__xludf.DUMMYFUNCTION("""COMPUTED_VALUE"""),45099.0)</f>
        <v>45099</v>
      </c>
      <c r="B381" s="368" t="str">
        <f>IFERROR(__xludf.DUMMYFUNCTION("""COMPUTED_VALUE"""),"Tier 2")</f>
        <v>Tier 2</v>
      </c>
      <c r="C381" s="368" t="str">
        <f>IFERROR(__xludf.DUMMYFUNCTION("""COMPUTED_VALUE"""),"Khaleej Times")</f>
        <v>Khaleej Times</v>
      </c>
      <c r="D381" s="368" t="str">
        <f>IFERROR(__xludf.DUMMYFUNCTION("""COMPUTED_VALUE"""),"Floating villas: Another game changer in Dubai real estate")</f>
        <v>Floating villas: Another game changer in Dubai real estate</v>
      </c>
      <c r="E381" s="507" t="str">
        <f>IFERROR(__xludf.DUMMYFUNCTION("""COMPUTED_VALUE"""),"https://www.khaleejtimes.com/business/floating-villas-another-game-changer-in-dubai-real-estate")</f>
        <v>https://www.khaleejtimes.com/business/floating-villas-another-game-changer-in-dubai-real-estate</v>
      </c>
      <c r="F381" s="368" t="str">
        <f>IFERROR(__xludf.DUMMYFUNCTION("""COMPUTED_VALUE"""),"Betterhomes")</f>
        <v>Betterhomes</v>
      </c>
    </row>
    <row r="382">
      <c r="A382" s="402">
        <f>IFERROR(__xludf.DUMMYFUNCTION("""COMPUTED_VALUE"""),45099.0)</f>
        <v>45099</v>
      </c>
      <c r="B382" s="368" t="str">
        <f>IFERROR(__xludf.DUMMYFUNCTION("""COMPUTED_VALUE"""),"Tier 3")</f>
        <v>Tier 3</v>
      </c>
      <c r="C382" s="368" t="str">
        <f>IFERROR(__xludf.DUMMYFUNCTION("""COMPUTED_VALUE"""),"OT (Greece)")</f>
        <v>OT (Greece)</v>
      </c>
      <c r="D382" s="368" t="str">
        <f>IFERROR(__xludf.DUMMYFUNCTION("""COMPUTED_VALUE"""),"Dubai: Real estate boom")</f>
        <v>Dubai: Real estate boom</v>
      </c>
      <c r="E382" s="507" t="str">
        <f>IFERROR(__xludf.DUMMYFUNCTION("""COMPUTED_VALUE"""),"https://www.ot.gr/2023/06/22/diethni/ntoumpai-ksefreni-anodos-gia-ta-akinita/")</f>
        <v>https://www.ot.gr/2023/06/22/diethni/ntoumpai-ksefreni-anodos-gia-ta-akinita/</v>
      </c>
      <c r="F382" s="368" t="str">
        <f>IFERROR(__xludf.DUMMYFUNCTION("""COMPUTED_VALUE"""),"Betterhomes")</f>
        <v>Betterhomes</v>
      </c>
    </row>
    <row r="383">
      <c r="A383" s="402">
        <f>IFERROR(__xludf.DUMMYFUNCTION("""COMPUTED_VALUE"""),45100.0)</f>
        <v>45100</v>
      </c>
      <c r="B383" s="368" t="str">
        <f>IFERROR(__xludf.DUMMYFUNCTION("""COMPUTED_VALUE"""),"Tier 1")</f>
        <v>Tier 1</v>
      </c>
      <c r="C383" s="368" t="str">
        <f>IFERROR(__xludf.DUMMYFUNCTION("""COMPUTED_VALUE"""),"Forbes (Romania)")</f>
        <v>Forbes (Romania)</v>
      </c>
      <c r="D383" s="368" t="str">
        <f>IFERROR(__xludf.DUMMYFUNCTION("""COMPUTED_VALUE"""),"Dubai's latest property frenzy is prompting wealthy buyers to take bigger risks")</f>
        <v>Dubai's latest property frenzy is prompting wealthy buyers to take bigger risks</v>
      </c>
      <c r="E383" s="507" t="str">
        <f>IFERROR(__xludf.DUMMYFUNCTION("""COMPUTED_VALUE"""),"https://www.forbes.ro/cea-mai-recenta-frenezie-imobiliara-din-dubai-ii-determina-pe-cumparatorii-bogati-sa-isi-asume-riscuri-mai-mari-336737")</f>
        <v>https://www.forbes.ro/cea-mai-recenta-frenezie-imobiliara-din-dubai-ii-determina-pe-cumparatorii-bogati-sa-isi-asume-riscuri-mai-mari-336737</v>
      </c>
      <c r="F383" s="368" t="str">
        <f>IFERROR(__xludf.DUMMYFUNCTION("""COMPUTED_VALUE"""),"Betterhomes")</f>
        <v>Betterhomes</v>
      </c>
    </row>
    <row r="384">
      <c r="A384" s="402">
        <f>IFERROR(__xludf.DUMMYFUNCTION("""COMPUTED_VALUE"""),45102.0)</f>
        <v>45102</v>
      </c>
      <c r="B384" s="368" t="str">
        <f>IFERROR(__xludf.DUMMYFUNCTION("""COMPUTED_VALUE"""),"Tier 3")</f>
        <v>Tier 3</v>
      </c>
      <c r="C384" s="368" t="str">
        <f>IFERROR(__xludf.DUMMYFUNCTION("""COMPUTED_VALUE"""),"News24")</f>
        <v>News24</v>
      </c>
      <c r="D384" s="368" t="str">
        <f>IFERROR(__xludf.DUMMYFUNCTION("""COMPUTED_VALUE"""),"Dubai chases long-term growth as property booms, seeks to blunt debt risk")</f>
        <v>Dubai chases long-term growth as property booms, seeks to blunt debt risk</v>
      </c>
      <c r="E384" s="507" t="str">
        <f>IFERROR(__xludf.DUMMYFUNCTION("""COMPUTED_VALUE"""),"https://www.news24.com/fin24/international/dubai-chases-long-term-growth-as-property-booms-seeks-to-blunt-debt-risk-20230619")</f>
        <v>https://www.news24.com/fin24/international/dubai-chases-long-term-growth-as-property-booms-seeks-to-blunt-debt-risk-20230619</v>
      </c>
      <c r="F384" s="368" t="str">
        <f>IFERROR(__xludf.DUMMYFUNCTION("""COMPUTED_VALUE"""),"Betterhomes")</f>
        <v>Betterhomes</v>
      </c>
    </row>
    <row r="385">
      <c r="A385" s="402">
        <f>IFERROR(__xludf.DUMMYFUNCTION("""COMPUTED_VALUE"""),45103.0)</f>
        <v>45103</v>
      </c>
      <c r="B385" s="368" t="str">
        <f>IFERROR(__xludf.DUMMYFUNCTION("""COMPUTED_VALUE"""),"Tier 3")</f>
        <v>Tier 3</v>
      </c>
      <c r="C385" s="368" t="str">
        <f>IFERROR(__xludf.DUMMYFUNCTION("""COMPUTED_VALUE"""),"Gazetatema (Albanian)")</f>
        <v>Gazetatema (Albanian)</v>
      </c>
      <c r="D385" s="368" t="str">
        <f>IFERROR(__xludf.DUMMYFUNCTION("""COMPUTED_VALUE"""),"The practice of Durres in the new construction fever in Dubai")</f>
        <v>The practice of Durres in the new construction fever in Dubai</v>
      </c>
      <c r="E385" s="507" t="str">
        <f>IFERROR(__xludf.DUMMYFUNCTION("""COMPUTED_VALUE"""),"https://www.gazetatema.net/ekonomia/praktika-e-durresit-ne-ethet-e-reja-te-ndertimit-ne-dubai-i395865")</f>
        <v>https://www.gazetatema.net/ekonomia/praktika-e-durresit-ne-ethet-e-reja-te-ndertimit-ne-dubai-i395865</v>
      </c>
      <c r="F385" s="368" t="str">
        <f>IFERROR(__xludf.DUMMYFUNCTION("""COMPUTED_VALUE"""),"Betterhomes")</f>
        <v>Betterhomes</v>
      </c>
    </row>
    <row r="386">
      <c r="A386" s="402">
        <f>IFERROR(__xludf.DUMMYFUNCTION("""COMPUTED_VALUE"""),45103.0)</f>
        <v>45103</v>
      </c>
      <c r="B386" s="368" t="str">
        <f>IFERROR(__xludf.DUMMYFUNCTION("""COMPUTED_VALUE"""),"Tier 3")</f>
        <v>Tier 3</v>
      </c>
      <c r="C386" s="368" t="str">
        <f>IFERROR(__xludf.DUMMYFUNCTION("""COMPUTED_VALUE"""),"Beritautama (Indonasia)")</f>
        <v>Beritautama (Indonasia)</v>
      </c>
      <c r="D386" s="368" t="str">
        <f>IFERROR(__xludf.DUMMYFUNCTION("""COMPUTED_VALUE"""),"Rich Russians are moving their money to the Gulf state")</f>
        <v>Rich Russians are moving their money to the Gulf state</v>
      </c>
      <c r="E386" s="507" t="str">
        <f>IFERROR(__xludf.DUMMYFUNCTION("""COMPUTED_VALUE"""),"https://beritautama.net/orang-kaya-rusia-memindahkan-uang-mereka-ke-negara-teluk/")</f>
        <v>https://beritautama.net/orang-kaya-rusia-memindahkan-uang-mereka-ke-negara-teluk/</v>
      </c>
      <c r="F386" s="368" t="str">
        <f>IFERROR(__xludf.DUMMYFUNCTION("""COMPUTED_VALUE"""),"Betterhomes")</f>
        <v>Betterhomes</v>
      </c>
    </row>
    <row r="387">
      <c r="A387" s="402">
        <f>IFERROR(__xludf.DUMMYFUNCTION("""COMPUTED_VALUE"""),45103.0)</f>
        <v>45103</v>
      </c>
      <c r="B387" s="368" t="str">
        <f>IFERROR(__xludf.DUMMYFUNCTION("""COMPUTED_VALUE"""),"Tier 3")</f>
        <v>Tier 3</v>
      </c>
      <c r="C387" s="368" t="str">
        <f>IFERROR(__xludf.DUMMYFUNCTION("""COMPUTED_VALUE"""),"Euro Post (Greece)")</f>
        <v>Euro Post (Greece)</v>
      </c>
      <c r="D387" s="368" t="str">
        <f>IFERROR(__xludf.DUMMYFUNCTION("""COMPUTED_VALUE"""),"New construction fever in Dubai")</f>
        <v>New construction fever in Dubai</v>
      </c>
      <c r="E387" s="507" t="str">
        <f>IFERROR(__xludf.DUMMYFUNCTION("""COMPUTED_VALUE"""),"https://europost.gr/neos-kataskeyastikos-pyretos-ntoympai-o-rolos-tis-rosias/")</f>
        <v>https://europost.gr/neos-kataskeyastikos-pyretos-ntoympai-o-rolos-tis-rosias/</v>
      </c>
      <c r="F387" s="368" t="str">
        <f>IFERROR(__xludf.DUMMYFUNCTION("""COMPUTED_VALUE"""),"Betterhomes")</f>
        <v>Betterhomes</v>
      </c>
    </row>
    <row r="388">
      <c r="A388" s="402">
        <f>IFERROR(__xludf.DUMMYFUNCTION("""COMPUTED_VALUE"""),45103.0)</f>
        <v>45103</v>
      </c>
      <c r="B388" s="368" t="str">
        <f>IFERROR(__xludf.DUMMYFUNCTION("""COMPUTED_VALUE"""),"Tier 2")</f>
        <v>Tier 2</v>
      </c>
      <c r="C388" s="368" t="str">
        <f>IFERROR(__xludf.DUMMYFUNCTION("""COMPUTED_VALUE"""),"AGBI")</f>
        <v>AGBI</v>
      </c>
      <c r="D388" s="368" t="str">
        <f>IFERROR(__xludf.DUMMYFUNCTION("""COMPUTED_VALUE"""),"Affordable homes warning for Dubai private developers")</f>
        <v>Affordable homes warning for Dubai private developers</v>
      </c>
      <c r="E388" s="507" t="str">
        <f>IFERROR(__xludf.DUMMYFUNCTION("""COMPUTED_VALUE"""),"https://www.agbi.com/analysis/affordable-homes-warning-for-dubai-private-developers/")</f>
        <v>https://www.agbi.com/analysis/affordable-homes-warning-for-dubai-private-developers/</v>
      </c>
      <c r="F388" s="368" t="str">
        <f>IFERROR(__xludf.DUMMYFUNCTION("""COMPUTED_VALUE"""),"Betterhomes")</f>
        <v>Betterhomes</v>
      </c>
    </row>
    <row r="389">
      <c r="A389" s="402">
        <f>IFERROR(__xludf.DUMMYFUNCTION("""COMPUTED_VALUE"""),45105.0)</f>
        <v>45105</v>
      </c>
      <c r="B389" s="368" t="str">
        <f>IFERROR(__xludf.DUMMYFUNCTION("""COMPUTED_VALUE"""),"Tier 3")</f>
        <v>Tier 3</v>
      </c>
      <c r="C389" s="368" t="str">
        <f>IFERROR(__xludf.DUMMYFUNCTION("""COMPUTED_VALUE"""),"Luzernerzeitung (German)")</f>
        <v>Luzernerzeitung (German)</v>
      </c>
      <c r="D389" s="368" t="str">
        <f>IFERROR(__xludf.DUMMYFUNCTION("""COMPUTED_VALUE"""),"From the parade ground to Dubai: rich Russians move their money to the Gulf state")</f>
        <v>From the parade ground to Dubai: rich Russians move their money to the Gulf state</v>
      </c>
      <c r="E389" s="507" t="str">
        <f>IFERROR(__xludf.DUMMYFUNCTION("""COMPUTED_VALUE"""),"https://www.luzernerzeitung.ch/wirtschaft/oligarchen-vom-paradeplatz-nach-dubai-reiche-russen-verschieben-ihr-geld-in-den-golfstaat-ld.2480762?reduced=true")</f>
        <v>https://www.luzernerzeitung.ch/wirtschaft/oligarchen-vom-paradeplatz-nach-dubai-reiche-russen-verschieben-ihr-geld-in-den-golfstaat-ld.2480762?reduced=true</v>
      </c>
      <c r="F389" s="368" t="str">
        <f>IFERROR(__xludf.DUMMYFUNCTION("""COMPUTED_VALUE"""),"Betterhomes")</f>
        <v>Betterhomes</v>
      </c>
    </row>
    <row r="390">
      <c r="A390" s="402">
        <f>IFERROR(__xludf.DUMMYFUNCTION("""COMPUTED_VALUE"""),45105.0)</f>
        <v>45105</v>
      </c>
      <c r="B390" s="368" t="str">
        <f>IFERROR(__xludf.DUMMYFUNCTION("""COMPUTED_VALUE"""),"Tier 1")</f>
        <v>Tier 1</v>
      </c>
      <c r="C390" s="368" t="str">
        <f>IFERROR(__xludf.DUMMYFUNCTION("""COMPUTED_VALUE"""),"Tagblatt (Swiss-German)")</f>
        <v>Tagblatt (Swiss-German)</v>
      </c>
      <c r="D390" s="368" t="str">
        <f>IFERROR(__xludf.DUMMYFUNCTION("""COMPUTED_VALUE"""),"From the parade ground to Dubai: rich Russians move their money to the Gulf state")</f>
        <v>From the parade ground to Dubai: rich Russians move their money to the Gulf state</v>
      </c>
      <c r="E390" s="507" t="str">
        <f>IFERROR(__xludf.DUMMYFUNCTION("""COMPUTED_VALUE"""),"https://www.tagblatt.ch/wirtschaft/oligarchen-vom-paradeplatz-nach-dubai-reiche-russen-verschieben-ihr-geld-in-den-golfstaat-ld.2480762?reduced=true")</f>
        <v>https://www.tagblatt.ch/wirtschaft/oligarchen-vom-paradeplatz-nach-dubai-reiche-russen-verschieben-ihr-geld-in-den-golfstaat-ld.2480762?reduced=true</v>
      </c>
      <c r="F390" s="368" t="str">
        <f>IFERROR(__xludf.DUMMYFUNCTION("""COMPUTED_VALUE"""),"Betterhomes")</f>
        <v>Betterhomes</v>
      </c>
    </row>
    <row r="391">
      <c r="A391" s="402">
        <f>IFERROR(__xludf.DUMMYFUNCTION("""COMPUTED_VALUE"""),45110.0)</f>
        <v>45110</v>
      </c>
      <c r="B391" s="368" t="str">
        <f>IFERROR(__xludf.DUMMYFUNCTION("""COMPUTED_VALUE"""),"Tier 2")</f>
        <v>Tier 2</v>
      </c>
      <c r="C391" s="368" t="str">
        <f>IFERROR(__xludf.DUMMYFUNCTION("""COMPUTED_VALUE"""),"Khaleej Times")</f>
        <v>Khaleej Times</v>
      </c>
      <c r="D391" s="368" t="str">
        <f>IFERROR(__xludf.DUMMYFUNCTION("""COMPUTED_VALUE"""),"Property in Dubai: How are branded residences different from luxury real estate?")</f>
        <v>Property in Dubai: How are branded residences different from luxury real estate?</v>
      </c>
      <c r="E391" s="507" t="str">
        <f>IFERROR(__xludf.DUMMYFUNCTION("""COMPUTED_VALUE"""),"https://www.khaleejtimes.com/business/property-in-dubai-how-are-branded-residences-different-from-luxury-real-estate")</f>
        <v>https://www.khaleejtimes.com/business/property-in-dubai-how-are-branded-residences-different-from-luxury-real-estate</v>
      </c>
      <c r="F391" s="368" t="str">
        <f>IFERROR(__xludf.DUMMYFUNCTION("""COMPUTED_VALUE"""),"Betterhomes")</f>
        <v>Betterhomes</v>
      </c>
    </row>
    <row r="392">
      <c r="A392" s="402">
        <f>IFERROR(__xludf.DUMMYFUNCTION("""COMPUTED_VALUE"""),45112.0)</f>
        <v>45112</v>
      </c>
      <c r="B392" s="368" t="str">
        <f>IFERROR(__xludf.DUMMYFUNCTION("""COMPUTED_VALUE"""),"Tier 2")</f>
        <v>Tier 2</v>
      </c>
      <c r="C392" s="368" t="str">
        <f>IFERROR(__xludf.DUMMYFUNCTION("""COMPUTED_VALUE"""),"The National ")</f>
        <v>The National </v>
      </c>
      <c r="D392" s="368" t="str">
        <f>IFERROR(__xludf.DUMMYFUNCTION("""COMPUTED_VALUE"""),"UAE cost of living: How much are school fees, rent and visas for expats?")</f>
        <v>UAE cost of living: How much are school fees, rent and visas for expats?</v>
      </c>
      <c r="E392" s="507" t="str">
        <f>IFERROR(__xludf.DUMMYFUNCTION("""COMPUTED_VALUE"""),"https://www.thenationalnews.com/business/money/2023/07/05/uae-cost-of-living-school-fees-rent-visa-expat/")</f>
        <v>https://www.thenationalnews.com/business/money/2023/07/05/uae-cost-of-living-school-fees-rent-visa-expat/</v>
      </c>
      <c r="F392" s="368" t="str">
        <f>IFERROR(__xludf.DUMMYFUNCTION("""COMPUTED_VALUE"""),"Betterhomes")</f>
        <v>Betterhomes</v>
      </c>
    </row>
    <row r="393">
      <c r="A393" s="402">
        <f>IFERROR(__xludf.DUMMYFUNCTION("""COMPUTED_VALUE"""),45114.0)</f>
        <v>45114</v>
      </c>
      <c r="B393" s="368" t="str">
        <f>IFERROR(__xludf.DUMMYFUNCTION("""COMPUTED_VALUE"""),"Tier 1")</f>
        <v>Tier 1</v>
      </c>
      <c r="C393" s="368" t="str">
        <f>IFERROR(__xludf.DUMMYFUNCTION("""COMPUTED_VALUE"""),"Forbes (Romania)")</f>
        <v>Forbes (Romania)</v>
      </c>
      <c r="D393" s="368" t="str">
        <f>IFERROR(__xludf.DUMMYFUNCTION("""COMPUTED_VALUE"""),"Dubai property: deals and rising prices. Risks?")</f>
        <v>Dubai property: deals and rising prices. Risks?</v>
      </c>
      <c r="E393" s="507" t="str">
        <f>IFERROR(__xludf.DUMMYFUNCTION("""COMPUTED_VALUE"""),"https://www.forbes.ro/proprietatile-din-dubai-tranzactii-si-preturi-in-crestere-riscuri-338894")</f>
        <v>https://www.forbes.ro/proprietatile-din-dubai-tranzactii-si-preturi-in-crestere-riscuri-338894</v>
      </c>
      <c r="F393" s="368" t="str">
        <f>IFERROR(__xludf.DUMMYFUNCTION("""COMPUTED_VALUE"""),"Betterhomes")</f>
        <v>Betterhomes</v>
      </c>
    </row>
    <row r="394">
      <c r="A394" s="402">
        <f>IFERROR(__xludf.DUMMYFUNCTION("""COMPUTED_VALUE"""),45116.0)</f>
        <v>45116</v>
      </c>
      <c r="B394" s="368" t="str">
        <f>IFERROR(__xludf.DUMMYFUNCTION("""COMPUTED_VALUE"""),"Tier 3")</f>
        <v>Tier 3</v>
      </c>
      <c r="C394" s="368" t="str">
        <f>IFERROR(__xludf.DUMMYFUNCTION("""COMPUTED_VALUE"""),"Rossa Prima (Russia)")</f>
        <v>Rossa Prima (Russia)</v>
      </c>
      <c r="D394" s="368" t="str">
        <f>IFERROR(__xludf.DUMMYFUNCTION("""COMPUTED_VALUE"""),"Without London, nowhere ... Who will win the battle for Dubai?")</f>
        <v>Without London, nowhere ... Who will win the battle for Dubai?</v>
      </c>
      <c r="E394" s="507" t="str">
        <f>IFERROR(__xludf.DUMMYFUNCTION("""COMPUTED_VALUE"""),"https://rossaprimavera.ru/article/50ce93fa")</f>
        <v>https://rossaprimavera.ru/article/50ce93fa</v>
      </c>
      <c r="F394" s="368" t="str">
        <f>IFERROR(__xludf.DUMMYFUNCTION("""COMPUTED_VALUE"""),"Betterhomes")</f>
        <v>Betterhomes</v>
      </c>
    </row>
    <row r="395">
      <c r="A395" s="402">
        <f>IFERROR(__xludf.DUMMYFUNCTION("""COMPUTED_VALUE"""),45116.0)</f>
        <v>45116</v>
      </c>
      <c r="B395" s="368" t="str">
        <f>IFERROR(__xludf.DUMMYFUNCTION("""COMPUTED_VALUE"""),"Tier 3")</f>
        <v>Tier 3</v>
      </c>
      <c r="C395" s="368" t="str">
        <f>IFERROR(__xludf.DUMMYFUNCTION("""COMPUTED_VALUE"""),"American News Report")</f>
        <v>American News Report</v>
      </c>
      <c r="D395" s="368" t="str">
        <f>IFERROR(__xludf.DUMMYFUNCTION("""COMPUTED_VALUE"""),"Climbing The Property Ladder: A Guide To The Top Real Estate Agencies In Dubai")</f>
        <v>Climbing The Property Ladder: A Guide To The Top Real Estate Agencies In Dubai</v>
      </c>
      <c r="E395" s="507" t="str">
        <f>IFERROR(__xludf.DUMMYFUNCTION("""COMPUTED_VALUE"""),"https://americannewsreport.com/top-real-estate-agencies-in-dubai/")</f>
        <v>https://americannewsreport.com/top-real-estate-agencies-in-dubai/</v>
      </c>
      <c r="F395" s="368" t="str">
        <f>IFERROR(__xludf.DUMMYFUNCTION("""COMPUTED_VALUE"""),"Betterhomes")</f>
        <v>Betterhomes</v>
      </c>
    </row>
    <row r="396">
      <c r="A396" s="402">
        <f>IFERROR(__xludf.DUMMYFUNCTION("""COMPUTED_VALUE"""),45122.0)</f>
        <v>45122</v>
      </c>
      <c r="B396" s="368" t="str">
        <f>IFERROR(__xludf.DUMMYFUNCTION("""COMPUTED_VALUE"""),"Tier 3")</f>
        <v>Tier 3</v>
      </c>
      <c r="C396" s="368" t="str">
        <f>IFERROR(__xludf.DUMMYFUNCTION("""COMPUTED_VALUE"""),"Andhrajyothy (India)")</f>
        <v>Andhrajyothy (India)</v>
      </c>
      <c r="D396" s="368" t="str">
        <f>IFERROR(__xludf.DUMMYFUNCTION("""COMPUTED_VALUE"""),"Indians: Dubai real estate market..Indians on the list of biggest investors")</f>
        <v>Indians: Dubai real estate market..Indians on the list of biggest investors</v>
      </c>
      <c r="E396" s="507" t="str">
        <f>IFERROR(__xludf.DUMMYFUNCTION("""COMPUTED_VALUE"""),"https://www.andhrajyothy.com/2023/nri/british-and-indian-buyers-among-top-investors-in-property-market-in-dubai-rams-spl-1103559.html")</f>
        <v>https://www.andhrajyothy.com/2023/nri/british-and-indian-buyers-among-top-investors-in-property-market-in-dubai-rams-spl-1103559.html</v>
      </c>
      <c r="F396" s="368" t="str">
        <f>IFERROR(__xludf.DUMMYFUNCTION("""COMPUTED_VALUE"""),"Betterhomes")</f>
        <v>Betterhomes</v>
      </c>
    </row>
    <row r="397">
      <c r="A397" s="402">
        <f>IFERROR(__xludf.DUMMYFUNCTION("""COMPUTED_VALUE"""),45120.0)</f>
        <v>45120</v>
      </c>
      <c r="B397" s="368" t="str">
        <f>IFERROR(__xludf.DUMMYFUNCTION("""COMPUTED_VALUE"""),"Tier 2")</f>
        <v>Tier 2</v>
      </c>
      <c r="C397" s="368" t="str">
        <f>IFERROR(__xludf.DUMMYFUNCTION("""COMPUTED_VALUE"""),"Khaleej Times")</f>
        <v>Khaleej Times</v>
      </c>
      <c r="D397" s="368" t="str">
        <f>IFERROR(__xludf.DUMMYFUNCTION("""COMPUTED_VALUE"""),"Dubai: Why tenants are unlikely to see relief in rents anytime soon")</f>
        <v>Dubai: Why tenants are unlikely to see relief in rents anytime soon</v>
      </c>
      <c r="E397" s="507" t="str">
        <f>IFERROR(__xludf.DUMMYFUNCTION("""COMPUTED_VALUE"""),"https://www.khaleejtimes.com/uae/dubai-why-tenants-are-unlikely-to-see-relief-in-rents-anytime-soon")</f>
        <v>https://www.khaleejtimes.com/uae/dubai-why-tenants-are-unlikely-to-see-relief-in-rents-anytime-soon</v>
      </c>
      <c r="F397" s="368" t="str">
        <f>IFERROR(__xludf.DUMMYFUNCTION("""COMPUTED_VALUE"""),"Betterhomes")</f>
        <v>Betterhomes</v>
      </c>
    </row>
    <row r="398">
      <c r="A398" s="402">
        <f>IFERROR(__xludf.DUMMYFUNCTION("""COMPUTED_VALUE"""),45119.0)</f>
        <v>45119</v>
      </c>
      <c r="B398" s="368" t="str">
        <f>IFERROR(__xludf.DUMMYFUNCTION("""COMPUTED_VALUE"""),"Tier 2")</f>
        <v>Tier 2</v>
      </c>
      <c r="C398" s="368" t="str">
        <f>IFERROR(__xludf.DUMMYFUNCTION("""COMPUTED_VALUE"""),"Khaleej Times")</f>
        <v>Khaleej Times</v>
      </c>
      <c r="D398" s="368" t="str">
        <f>IFERROR(__xludf.DUMMYFUNCTION("""COMPUTED_VALUE"""),"Dubai waterfront property rates have doubled; will prices drop as Palm Jebel begins to take shape?")</f>
        <v>Dubai waterfront property rates have doubled; will prices drop as Palm Jebel begins to take shape?</v>
      </c>
      <c r="E398" s="507" t="str">
        <f>IFERROR(__xludf.DUMMYFUNCTION("""COMPUTED_VALUE"""),"https://www.khaleejtimes.com/business/property/dubai-waterfront-property-rates-have-doubled-will-prices-drop-as-palm-jebel-begins-to-take-shape")</f>
        <v>https://www.khaleejtimes.com/business/property/dubai-waterfront-property-rates-have-doubled-will-prices-drop-as-palm-jebel-begins-to-take-shape</v>
      </c>
      <c r="F398" s="368" t="str">
        <f>IFERROR(__xludf.DUMMYFUNCTION("""COMPUTED_VALUE"""),"PRIME by Betterhomes")</f>
        <v>PRIME by Betterhomes</v>
      </c>
    </row>
    <row r="399">
      <c r="A399" s="402">
        <f>IFERROR(__xludf.DUMMYFUNCTION("""COMPUTED_VALUE"""),45124.0)</f>
        <v>45124</v>
      </c>
      <c r="B399" s="368" t="str">
        <f>IFERROR(__xludf.DUMMYFUNCTION("""COMPUTED_VALUE"""),"Tier 2")</f>
        <v>Tier 2</v>
      </c>
      <c r="C399" s="368" t="str">
        <f>IFERROR(__xludf.DUMMYFUNCTION("""COMPUTED_VALUE"""),"Arab News")</f>
        <v>Arab News</v>
      </c>
      <c r="D399" s="368" t="str">
        <f>IFERROR(__xludf.DUMMYFUNCTION("""COMPUTED_VALUE"""),"Dubai’s real estate transactions increase 37% in Q2: report")</f>
        <v>Dubai’s real estate transactions increase 37% in Q2: report</v>
      </c>
      <c r="E399" s="507" t="str">
        <f>IFERROR(__xludf.DUMMYFUNCTION("""COMPUTED_VALUE"""),"https://www.arabnews.com/node/2339316/business-economy")</f>
        <v>https://www.arabnews.com/node/2339316/business-economy</v>
      </c>
      <c r="F399" s="368" t="str">
        <f>IFERROR(__xludf.DUMMYFUNCTION("""COMPUTED_VALUE"""),"Betterhomes")</f>
        <v>Betterhomes</v>
      </c>
    </row>
    <row r="400">
      <c r="A400" s="402">
        <f>IFERROR(__xludf.DUMMYFUNCTION("""COMPUTED_VALUE"""),45124.0)</f>
        <v>45124</v>
      </c>
      <c r="B400" s="368" t="str">
        <f>IFERROR(__xludf.DUMMYFUNCTION("""COMPUTED_VALUE"""),"Tier 2")</f>
        <v>Tier 2</v>
      </c>
      <c r="C400" s="368" t="str">
        <f>IFERROR(__xludf.DUMMYFUNCTION("""COMPUTED_VALUE"""),"Zawya ")</f>
        <v>Zawya </v>
      </c>
      <c r="D400" s="368" t="str">
        <f>IFERROR(__xludf.DUMMYFUNCTION("""COMPUTED_VALUE"""),"Real estate update: Dubai apartment sales grow while villa sales reduce marginally")</f>
        <v>Real estate update: Dubai apartment sales grow while villa sales reduce marginally</v>
      </c>
      <c r="E400" s="507" t="str">
        <f>IFERROR(__xludf.DUMMYFUNCTION("""COMPUTED_VALUE"""),"https://www.zawya.com/en/business/real-estate/real-estate-update-dubai-apartment-sales-grow-while-villa-sales-reduce-marginally-ceqysi00")</f>
        <v>https://www.zawya.com/en/business/real-estate/real-estate-update-dubai-apartment-sales-grow-while-villa-sales-reduce-marginally-ceqysi00</v>
      </c>
      <c r="F400" s="368" t="str">
        <f>IFERROR(__xludf.DUMMYFUNCTION("""COMPUTED_VALUE"""),"Betterhomes")</f>
        <v>Betterhomes</v>
      </c>
    </row>
    <row r="401">
      <c r="A401" s="402">
        <f>IFERROR(__xludf.DUMMYFUNCTION("""COMPUTED_VALUE"""),45124.0)</f>
        <v>45124</v>
      </c>
      <c r="B401" s="368" t="str">
        <f>IFERROR(__xludf.DUMMYFUNCTION("""COMPUTED_VALUE"""),"Tier 2")</f>
        <v>Tier 2</v>
      </c>
      <c r="C401" s="368" t="str">
        <f>IFERROR(__xludf.DUMMYFUNCTION("""COMPUTED_VALUE"""),"Khaleej Times (Online &amp; Print)")</f>
        <v>Khaleej Times (Online &amp; Print)</v>
      </c>
      <c r="D401" s="368" t="str">
        <f>IFERROR(__xludf.DUMMYFUNCTION("""COMPUTED_VALUE"""),"Look: Dubai's 10 'best' homes revealed")</f>
        <v>Look: Dubai's 10 'best' homes revealed</v>
      </c>
      <c r="E401" s="507" t="str">
        <f>IFERROR(__xludf.DUMMYFUNCTION("""COMPUTED_VALUE"""),"https://www.khaleejtimes.com/business/realty/look-dubais-10-best-homes-revealed")</f>
        <v>https://www.khaleejtimes.com/business/realty/look-dubais-10-best-homes-revealed</v>
      </c>
      <c r="F401" s="368" t="str">
        <f>IFERROR(__xludf.DUMMYFUNCTION("""COMPUTED_VALUE"""),"Top 50 Homes")</f>
        <v>Top 50 Homes</v>
      </c>
    </row>
    <row r="402">
      <c r="A402" s="402">
        <f>IFERROR(__xludf.DUMMYFUNCTION("""COMPUTED_VALUE"""),45120.0)</f>
        <v>45120</v>
      </c>
      <c r="B402" s="368" t="str">
        <f>IFERROR(__xludf.DUMMYFUNCTION("""COMPUTED_VALUE"""),"Tier 2")</f>
        <v>Tier 2</v>
      </c>
      <c r="C402" s="368" t="str">
        <f>IFERROR(__xludf.DUMMYFUNCTION("""COMPUTED_VALUE"""),"Khaleej Times")</f>
        <v>Khaleej Times</v>
      </c>
      <c r="D402" s="368" t="str">
        <f>IFERROR(__xludf.DUMMYFUNCTION("""COMPUTED_VALUE"""),"Dubai: British, Indian and Russian buyers among top investors in property market in Q2")</f>
        <v>Dubai: British, Indian and Russian buyers among top investors in property market in Q2</v>
      </c>
      <c r="E402" s="507" t="str">
        <f>IFERROR(__xludf.DUMMYFUNCTION("""COMPUTED_VALUE"""),"https://www.khaleejtimes.com/business/property/dubai-british-indian-and-russian-among-top-investors-in-property-market-in-q2")</f>
        <v>https://www.khaleejtimes.com/business/property/dubai-british-indian-and-russian-among-top-investors-in-property-market-in-q2</v>
      </c>
      <c r="F402" s="368" t="str">
        <f>IFERROR(__xludf.DUMMYFUNCTION("""COMPUTED_VALUE"""),"Betterhomes")</f>
        <v>Betterhomes</v>
      </c>
    </row>
    <row r="403">
      <c r="A403" s="402">
        <f>IFERROR(__xludf.DUMMYFUNCTION("""COMPUTED_VALUE"""),45124.0)</f>
        <v>45124</v>
      </c>
      <c r="B403" s="368" t="str">
        <f>IFERROR(__xludf.DUMMYFUNCTION("""COMPUTED_VALUE"""),"Tier 1")</f>
        <v>Tier 1</v>
      </c>
      <c r="C403" s="368" t="str">
        <f>IFERROR(__xludf.DUMMYFUNCTION("""COMPUTED_VALUE"""),"Money Control ")</f>
        <v>Money Control </v>
      </c>
      <c r="D403" s="368" t="str">
        <f>IFERROR(__xludf.DUMMYFUNCTION("""COMPUTED_VALUE"""),"Investing abroad: Should you consider buying a second home in Dubai?")</f>
        <v>Investing abroad: Should you consider buying a second home in Dubai?</v>
      </c>
      <c r="E403" s="507" t="str">
        <f>IFERROR(__xludf.DUMMYFUNCTION("""COMPUTED_VALUE"""),"https://www.moneycontrol.com/news/business/real-estate/investing-abroad-should-you-consider-buying-a-second-home-in-dubai-10965401.html")</f>
        <v>https://www.moneycontrol.com/news/business/real-estate/investing-abroad-should-you-consider-buying-a-second-home-in-dubai-10965401.html</v>
      </c>
      <c r="F403" s="368" t="str">
        <f>IFERROR(__xludf.DUMMYFUNCTION("""COMPUTED_VALUE"""),"Betterhomes")</f>
        <v>Betterhomes</v>
      </c>
    </row>
    <row r="404">
      <c r="A404" s="402">
        <f>IFERROR(__xludf.DUMMYFUNCTION("""COMPUTED_VALUE"""),45124.0)</f>
        <v>45124</v>
      </c>
      <c r="B404" s="368" t="str">
        <f>IFERROR(__xludf.DUMMYFUNCTION("""COMPUTED_VALUE"""),"Tier 2")</f>
        <v>Tier 2</v>
      </c>
      <c r="C404" s="368" t="str">
        <f>IFERROR(__xludf.DUMMYFUNCTION("""COMPUTED_VALUE"""),"Zawya ")</f>
        <v>Zawya </v>
      </c>
      <c r="D404" s="368" t="str">
        <f>IFERROR(__xludf.DUMMYFUNCTION("""COMPUTED_VALUE"""),"Dubai's 10 'best' homes revealed")</f>
        <v>Dubai's 10 'best' homes revealed</v>
      </c>
      <c r="E404" s="507" t="str">
        <f>IFERROR(__xludf.DUMMYFUNCTION("""COMPUTED_VALUE"""),"https://www.zawya.com/en/business/real-estate/dubais-10-best-homes-revealed-il4crxtg")</f>
        <v>https://www.zawya.com/en/business/real-estate/dubais-10-best-homes-revealed-il4crxtg</v>
      </c>
      <c r="F404" s="368" t="str">
        <f>IFERROR(__xludf.DUMMYFUNCTION("""COMPUTED_VALUE"""),"Top 50 Homes")</f>
        <v>Top 50 Homes</v>
      </c>
    </row>
    <row r="405">
      <c r="A405" s="402">
        <f>IFERROR(__xludf.DUMMYFUNCTION("""COMPUTED_VALUE"""),45125.0)</f>
        <v>45125</v>
      </c>
      <c r="B405" s="368" t="str">
        <f>IFERROR(__xludf.DUMMYFUNCTION("""COMPUTED_VALUE"""),"Tier 2")</f>
        <v>Tier 2</v>
      </c>
      <c r="C405" s="368" t="str">
        <f>IFERROR(__xludf.DUMMYFUNCTION("""COMPUTED_VALUE"""),"Zawya ")</f>
        <v>Zawya </v>
      </c>
      <c r="D405" s="368" t="str">
        <f>IFERROR(__xludf.DUMMYFUNCTION("""COMPUTED_VALUE"""),"Dubai’s real estate transactions increase 37% in Q2: report")</f>
        <v>Dubai’s real estate transactions increase 37% in Q2: report</v>
      </c>
      <c r="E405" s="507" t="str">
        <f>IFERROR(__xludf.DUMMYFUNCTION("""COMPUTED_VALUE"""),"https://www.zawya.com/en/business/real-estate/dubai-realty-posts-37-q2-growth-as-ultra-rich-rush-in-j94zfwoo")</f>
        <v>https://www.zawya.com/en/business/real-estate/dubai-realty-posts-37-q2-growth-as-ultra-rich-rush-in-j94zfwoo</v>
      </c>
      <c r="F405" s="368" t="str">
        <f>IFERROR(__xludf.DUMMYFUNCTION("""COMPUTED_VALUE"""),"Betterhomes")</f>
        <v>Betterhomes</v>
      </c>
    </row>
    <row r="406">
      <c r="A406" s="402">
        <f>IFERROR(__xludf.DUMMYFUNCTION("""COMPUTED_VALUE"""),45125.0)</f>
        <v>45125</v>
      </c>
      <c r="B406" s="368" t="str">
        <f>IFERROR(__xludf.DUMMYFUNCTION("""COMPUTED_VALUE"""),"Tier 2")</f>
        <v>Tier 2</v>
      </c>
      <c r="C406" s="368" t="str">
        <f>IFERROR(__xludf.DUMMYFUNCTION("""COMPUTED_VALUE"""),"Khaleej Times")</f>
        <v>Khaleej Times</v>
      </c>
      <c r="D406" s="368" t="str">
        <f>IFERROR(__xludf.DUMMYFUNCTION("""COMPUTED_VALUE"""),"Dubai’s real estate transactions increase 37% in Q2: report")</f>
        <v>Dubai’s real estate transactions increase 37% in Q2: report</v>
      </c>
      <c r="E406" s="507" t="str">
        <f>IFERROR(__xludf.DUMMYFUNCTION("""COMPUTED_VALUE"""),"https://www.khaleejtimes.com/business/dubai-realty-posts-37-q2-growth-as-ultra-rich-rush-in")</f>
        <v>https://www.khaleejtimes.com/business/dubai-realty-posts-37-q2-growth-as-ultra-rich-rush-in</v>
      </c>
      <c r="F406" s="368" t="str">
        <f>IFERROR(__xludf.DUMMYFUNCTION("""COMPUTED_VALUE"""),"Betterhomes")</f>
        <v>Betterhomes</v>
      </c>
    </row>
    <row r="407">
      <c r="A407" s="402">
        <f>IFERROR(__xludf.DUMMYFUNCTION("""COMPUTED_VALUE"""),45125.0)</f>
        <v>45125</v>
      </c>
      <c r="B407" s="368" t="str">
        <f>IFERROR(__xludf.DUMMYFUNCTION("""COMPUTED_VALUE"""),"Tier 2")</f>
        <v>Tier 2</v>
      </c>
      <c r="C407" s="368" t="str">
        <f>IFERROR(__xludf.DUMMYFUNCTION("""COMPUTED_VALUE"""),"Khaleej Times")</f>
        <v>Khaleej Times</v>
      </c>
      <c r="D407" s="368" t="str">
        <f>IFERROR(__xludf.DUMMYFUNCTION("""COMPUTED_VALUE"""),"What are the most promising upcoming neighbourhoods in Dubai?")</f>
        <v>What are the most promising upcoming neighbourhoods in Dubai?</v>
      </c>
      <c r="E407" s="507" t="str">
        <f>IFERROR(__xludf.DUMMYFUNCTION("""COMPUTED_VALUE"""),"https://www.khaleejtimes.com/business/what-are-the-most-promising-upcoming-neighbourhoods-in-dubai")</f>
        <v>https://www.khaleejtimes.com/business/what-are-the-most-promising-upcoming-neighbourhoods-in-dubai</v>
      </c>
      <c r="F407" s="368" t="str">
        <f>IFERROR(__xludf.DUMMYFUNCTION("""COMPUTED_VALUE"""),"Betterhomes")</f>
        <v>Betterhomes</v>
      </c>
    </row>
    <row r="408">
      <c r="A408" s="402">
        <f>IFERROR(__xludf.DUMMYFUNCTION("""COMPUTED_VALUE"""),45125.0)</f>
        <v>45125</v>
      </c>
      <c r="B408" s="368" t="str">
        <f>IFERROR(__xludf.DUMMYFUNCTION("""COMPUTED_VALUE"""),"Tier 2")</f>
        <v>Tier 2</v>
      </c>
      <c r="C408" s="368" t="str">
        <f>IFERROR(__xludf.DUMMYFUNCTION("""COMPUTED_VALUE"""),"Zawya ")</f>
        <v>Zawya </v>
      </c>
      <c r="D408" s="368" t="str">
        <f>IFERROR(__xludf.DUMMYFUNCTION("""COMPUTED_VALUE"""),"What are the most promising upcoming neighbourhoods in Dubai?")</f>
        <v>What are the most promising upcoming neighbourhoods in Dubai?</v>
      </c>
      <c r="E408" s="507" t="str">
        <f>IFERROR(__xludf.DUMMYFUNCTION("""COMPUTED_VALUE"""),"https://www.zawya.com/en/business/real-estate/what-are-the-most-promising-upcoming-neighbourhoods-in-dubai-f2cailrd")</f>
        <v>https://www.zawya.com/en/business/real-estate/what-are-the-most-promising-upcoming-neighbourhoods-in-dubai-f2cailrd</v>
      </c>
      <c r="F408" s="368" t="str">
        <f>IFERROR(__xludf.DUMMYFUNCTION("""COMPUTED_VALUE"""),"Betterhomes")</f>
        <v>Betterhomes</v>
      </c>
    </row>
    <row r="409">
      <c r="A409" s="402">
        <f>IFERROR(__xludf.DUMMYFUNCTION("""COMPUTED_VALUE"""),45127.0)</f>
        <v>45127</v>
      </c>
      <c r="B409" s="368" t="str">
        <f>IFERROR(__xludf.DUMMYFUNCTION("""COMPUTED_VALUE"""),"Tier 2")</f>
        <v>Tier 2</v>
      </c>
      <c r="C409" s="368" t="str">
        <f>IFERROR(__xludf.DUMMYFUNCTION("""COMPUTED_VALUE"""),"Khaleej Times")</f>
        <v>Khaleej Times</v>
      </c>
      <c r="D409" s="368" t="str">
        <f>IFERROR(__xludf.DUMMYFUNCTION("""COMPUTED_VALUE"""),"Dubai’s commercial real estate transactions surge 101% in Q2")</f>
        <v>Dubai’s commercial real estate transactions surge 101% in Q2</v>
      </c>
      <c r="E409" s="507" t="str">
        <f>IFERROR(__xludf.DUMMYFUNCTION("""COMPUTED_VALUE"""),"https://www.khaleejtimes.com/business/dubais-commercial-real-estate-transactions-surge-101-in-q2")</f>
        <v>https://www.khaleejtimes.com/business/dubais-commercial-real-estate-transactions-surge-101-in-q2</v>
      </c>
      <c r="F409" s="368" t="str">
        <f>IFERROR(__xludf.DUMMYFUNCTION("""COMPUTED_VALUE"""),"CRC ")</f>
        <v>CRC </v>
      </c>
    </row>
    <row r="410">
      <c r="A410" s="402">
        <f>IFERROR(__xludf.DUMMYFUNCTION("""COMPUTED_VALUE"""),45131.0)</f>
        <v>45131</v>
      </c>
      <c r="B410" s="368" t="str">
        <f>IFERROR(__xludf.DUMMYFUNCTION("""COMPUTED_VALUE"""),"Tier 2")</f>
        <v>Tier 2</v>
      </c>
      <c r="C410" s="368" t="str">
        <f>IFERROR(__xludf.DUMMYFUNCTION("""COMPUTED_VALUE"""),"Zawya ")</f>
        <v>Zawya </v>
      </c>
      <c r="D410" s="368" t="str">
        <f>IFERROR(__xludf.DUMMYFUNCTION("""COMPUTED_VALUE"""),"Norwegians second biggest buyers of Dubai commercial real estate")</f>
        <v>Norwegians second biggest buyers of Dubai commercial real estate</v>
      </c>
      <c r="E410" s="507" t="str">
        <f>IFERROR(__xludf.DUMMYFUNCTION("""COMPUTED_VALUE"""),"https://www.zawya.com/en/business/real-estate/norwegians-second-biggest-buyers-of-dubai-commercial-real-estate-cfzxoqfu")</f>
        <v>https://www.zawya.com/en/business/real-estate/norwegians-second-biggest-buyers-of-dubai-commercial-real-estate-cfzxoqfu</v>
      </c>
      <c r="F410" s="368" t="str">
        <f>IFERROR(__xludf.DUMMYFUNCTION("""COMPUTED_VALUE"""),"CRC ")</f>
        <v>CRC </v>
      </c>
    </row>
    <row r="411">
      <c r="A411" s="402">
        <f>IFERROR(__xludf.DUMMYFUNCTION("""COMPUTED_VALUE"""),45131.0)</f>
        <v>45131</v>
      </c>
      <c r="B411" s="368" t="str">
        <f>IFERROR(__xludf.DUMMYFUNCTION("""COMPUTED_VALUE"""),"Tier 2")</f>
        <v>Tier 2</v>
      </c>
      <c r="C411" s="368" t="str">
        <f>IFERROR(__xludf.DUMMYFUNCTION("""COMPUTED_VALUE"""),"Khaleej Times")</f>
        <v>Khaleej Times</v>
      </c>
      <c r="D411" s="368" t="str">
        <f>IFERROR(__xludf.DUMMYFUNCTION("""COMPUTED_VALUE"""),"Dubai waterfront villa prices set to rise further due to limited supply")</f>
        <v>Dubai waterfront villa prices set to rise further due to limited supply</v>
      </c>
      <c r="E411" s="507" t="str">
        <f>IFERROR(__xludf.DUMMYFUNCTION("""COMPUTED_VALUE"""),"https://www.khaleejtimes.com/business/dubai-waterfront-villa-prices-set-to-rise-further-due-to-limited-supply")</f>
        <v>https://www.khaleejtimes.com/business/dubai-waterfront-villa-prices-set-to-rise-further-due-to-limited-supply</v>
      </c>
      <c r="F411" s="368" t="str">
        <f>IFERROR(__xludf.DUMMYFUNCTION("""COMPUTED_VALUE"""),"PRIME by Betterhomes")</f>
        <v>PRIME by Betterhomes</v>
      </c>
    </row>
    <row r="412">
      <c r="A412" s="402">
        <f>IFERROR(__xludf.DUMMYFUNCTION("""COMPUTED_VALUE"""),45131.0)</f>
        <v>45131</v>
      </c>
      <c r="B412" s="368" t="str">
        <f>IFERROR(__xludf.DUMMYFUNCTION("""COMPUTED_VALUE"""),"Tier 2")</f>
        <v>Tier 2</v>
      </c>
      <c r="C412" s="368" t="str">
        <f>IFERROR(__xludf.DUMMYFUNCTION("""COMPUTED_VALUE"""),"Arabian Business")</f>
        <v>Arabian Business</v>
      </c>
      <c r="D412" s="368" t="str">
        <f>IFERROR(__xludf.DUMMYFUNCTION("""COMPUTED_VALUE"""),"Dubai real estate: Off-plan property resurgence fuels market boom amid rising population")</f>
        <v>Dubai real estate: Off-plan property resurgence fuels market boom amid rising population</v>
      </c>
      <c r="E412" s="507" t="str">
        <f>IFERROR(__xludf.DUMMYFUNCTION("""COMPUTED_VALUE"""),"https://www.arabianbusiness.com/industries/real-estate/dubai-real-estate-off-plan-property-resurgence-fuels-market-boom-amid-rising-population")</f>
        <v>https://www.arabianbusiness.com/industries/real-estate/dubai-real-estate-off-plan-property-resurgence-fuels-market-boom-amid-rising-population</v>
      </c>
      <c r="F412" s="368" t="str">
        <f>IFERROR(__xludf.DUMMYFUNCTION("""COMPUTED_VALUE"""),"Off-plan")</f>
        <v>Off-plan</v>
      </c>
    </row>
    <row r="413">
      <c r="A413" s="402">
        <f>IFERROR(__xludf.DUMMYFUNCTION("""COMPUTED_VALUE"""),45132.0)</f>
        <v>45132</v>
      </c>
      <c r="B413" s="368" t="str">
        <f>IFERROR(__xludf.DUMMYFUNCTION("""COMPUTED_VALUE"""),"Tier 2")</f>
        <v>Tier 2</v>
      </c>
      <c r="C413" s="368" t="str">
        <f>IFERROR(__xludf.DUMMYFUNCTION("""COMPUTED_VALUE"""),"Gulf News")</f>
        <v>Gulf News</v>
      </c>
      <c r="D413" s="368" t="str">
        <f>IFERROR(__xludf.DUMMYFUNCTION("""COMPUTED_VALUE"""),"As Dubai property market nears peak, ready homes get buyers’ full attention")</f>
        <v>As Dubai property market nears peak, ready homes get buyers’ full attention</v>
      </c>
      <c r="E413" s="507" t="str">
        <f>IFERROR(__xludf.DUMMYFUNCTION("""COMPUTED_VALUE"""),"https://gulfnews.com/business/property/as-dubai-property-market-nears-peak-ready-homes-get-buyers-full-attention-1.97161895")</f>
        <v>https://gulfnews.com/business/property/as-dubai-property-market-nears-peak-ready-homes-get-buyers-full-attention-1.97161895</v>
      </c>
      <c r="F413" s="368" t="str">
        <f>IFERROR(__xludf.DUMMYFUNCTION("""COMPUTED_VALUE"""),"Betterhomes")</f>
        <v>Betterhomes</v>
      </c>
    </row>
    <row r="414">
      <c r="A414" s="402">
        <f>IFERROR(__xludf.DUMMYFUNCTION("""COMPUTED_VALUE"""),45132.0)</f>
        <v>45132</v>
      </c>
      <c r="B414" s="368" t="str">
        <f>IFERROR(__xludf.DUMMYFUNCTION("""COMPUTED_VALUE"""),"Tier 2")</f>
        <v>Tier 2</v>
      </c>
      <c r="C414" s="368" t="str">
        <f>IFERROR(__xludf.DUMMYFUNCTION("""COMPUTED_VALUE"""),"Khaleej Times (Online &amp; Print)")</f>
        <v>Khaleej Times (Online &amp; Print)</v>
      </c>
      <c r="D414" s="368" t="str">
        <f>IFERROR(__xludf.DUMMYFUNCTION("""COMPUTED_VALUE"""),"Dubai commercial property sees high demand")</f>
        <v>Dubai commercial property sees high demand</v>
      </c>
      <c r="E414" s="507" t="str">
        <f>IFERROR(__xludf.DUMMYFUNCTION("""COMPUTED_VALUE"""),"https://www.khaleejtimes.com/business/dubai-commercial-property-sees-high-demand")</f>
        <v>https://www.khaleejtimes.com/business/dubai-commercial-property-sees-high-demand</v>
      </c>
      <c r="F414" s="368" t="str">
        <f>IFERROR(__xludf.DUMMYFUNCTION("""COMPUTED_VALUE"""),"CRC ")</f>
        <v>CRC </v>
      </c>
    </row>
    <row r="415">
      <c r="A415" s="402">
        <f>IFERROR(__xludf.DUMMYFUNCTION("""COMPUTED_VALUE"""),45132.0)</f>
        <v>45132</v>
      </c>
      <c r="B415" s="368" t="str">
        <f>IFERROR(__xludf.DUMMYFUNCTION("""COMPUTED_VALUE"""),"Tier 2")</f>
        <v>Tier 2</v>
      </c>
      <c r="C415" s="368" t="str">
        <f>IFERROR(__xludf.DUMMYFUNCTION("""COMPUTED_VALUE"""),"Zawya ")</f>
        <v>Zawya </v>
      </c>
      <c r="D415" s="368" t="str">
        <f>IFERROR(__xludf.DUMMYFUNCTION("""COMPUTED_VALUE"""),"Dubai commercial property sees high demand")</f>
        <v>Dubai commercial property sees high demand</v>
      </c>
      <c r="E415" s="507" t="str">
        <f>IFERROR(__xludf.DUMMYFUNCTION("""COMPUTED_VALUE"""),"https://www.zawya.com/en/business/real-estate/dubai-commercial-property-sees-high-demand-c2lxyinv")</f>
        <v>https://www.zawya.com/en/business/real-estate/dubai-commercial-property-sees-high-demand-c2lxyinv</v>
      </c>
      <c r="F415" s="368" t="str">
        <f>IFERROR(__xludf.DUMMYFUNCTION("""COMPUTED_VALUE"""),"CRC ")</f>
        <v>CRC </v>
      </c>
    </row>
    <row r="416">
      <c r="A416" s="402">
        <f>IFERROR(__xludf.DUMMYFUNCTION("""COMPUTED_VALUE"""),45133.0)</f>
        <v>45133</v>
      </c>
      <c r="B416" s="368" t="str">
        <f>IFERROR(__xludf.DUMMYFUNCTION("""COMPUTED_VALUE"""),"Tier 2")</f>
        <v>Tier 2</v>
      </c>
      <c r="C416" s="368" t="str">
        <f>IFERROR(__xludf.DUMMYFUNCTION("""COMPUTED_VALUE"""),"AGBI")</f>
        <v>AGBI</v>
      </c>
      <c r="D416" s="368" t="str">
        <f>IFERROR(__xludf.DUMMYFUNCTION("""COMPUTED_VALUE"""),"Norwegians return to Dubai commercial property sector")</f>
        <v>Norwegians return to Dubai commercial property sector</v>
      </c>
      <c r="E416" s="507" t="str">
        <f>IFERROR(__xludf.DUMMYFUNCTION("""COMPUTED_VALUE"""),"https://www.agbi.com/articles/norwegians-return-dubai-commercial-property-sector/")</f>
        <v>https://www.agbi.com/articles/norwegians-return-dubai-commercial-property-sector/</v>
      </c>
      <c r="F416" s="368" t="str">
        <f>IFERROR(__xludf.DUMMYFUNCTION("""COMPUTED_VALUE"""),"CRC ")</f>
        <v>CRC </v>
      </c>
    </row>
    <row r="417">
      <c r="A417" s="402">
        <f>IFERROR(__xludf.DUMMYFUNCTION("""COMPUTED_VALUE"""),45133.0)</f>
        <v>45133</v>
      </c>
      <c r="B417" s="368" t="str">
        <f>IFERROR(__xludf.DUMMYFUNCTION("""COMPUTED_VALUE"""),"Tier 2")</f>
        <v>Tier 2</v>
      </c>
      <c r="C417" s="368" t="str">
        <f>IFERROR(__xludf.DUMMYFUNCTION("""COMPUTED_VALUE"""),"Arabian Business")</f>
        <v>Arabian Business</v>
      </c>
      <c r="D417" s="368" t="str">
        <f>IFERROR(__xludf.DUMMYFUNCTION("""COMPUTED_VALUE"""),"Dubai, Abu Dhabi real estate markets cash in as soaring investor confidence fuels UAE off-plan property boom")</f>
        <v>Dubai, Abu Dhabi real estate markets cash in as soaring investor confidence fuels UAE off-plan property boom</v>
      </c>
      <c r="E417" s="507" t="str">
        <f>IFERROR(__xludf.DUMMYFUNCTION("""COMPUTED_VALUE"""),"https://www.arabianbusiness.com/industries/real-estate/dubai-abu-dhabi-real-estate-markets-cash-in-as-soaring-investor-confidence-fuels-uae-off-plan-property-boom")</f>
        <v>https://www.arabianbusiness.com/industries/real-estate/dubai-abu-dhabi-real-estate-markets-cash-in-as-soaring-investor-confidence-fuels-uae-off-plan-property-boom</v>
      </c>
      <c r="F417" s="368" t="str">
        <f>IFERROR(__xludf.DUMMYFUNCTION("""COMPUTED_VALUE"""),"Off-plan")</f>
        <v>Off-plan</v>
      </c>
    </row>
    <row r="418">
      <c r="A418" s="402">
        <f>IFERROR(__xludf.DUMMYFUNCTION("""COMPUTED_VALUE"""),45134.0)</f>
        <v>45134</v>
      </c>
      <c r="B418" s="368" t="str">
        <f>IFERROR(__xludf.DUMMYFUNCTION("""COMPUTED_VALUE"""),"Tier 2")</f>
        <v>Tier 2</v>
      </c>
      <c r="C418" s="368" t="str">
        <f>IFERROR(__xludf.DUMMYFUNCTION("""COMPUTED_VALUE"""),"AGBI")</f>
        <v>AGBI</v>
      </c>
      <c r="D418" s="368" t="str">
        <f>IFERROR(__xludf.DUMMYFUNCTION("""COMPUTED_VALUE"""),"Russians bucking trend in Dubai with bigger, pricier homes")</f>
        <v>Russians bucking trend in Dubai with bigger, pricier homes</v>
      </c>
      <c r="E418" s="507" t="str">
        <f>IFERROR(__xludf.DUMMYFUNCTION("""COMPUTED_VALUE"""),"https://www.agbi.com/articles/russians-bigger-long-term-dubai-homes/?utm_source=linkedin&amp;utm_medium=social&amp;utm_campaign=awa&amp;utm_content=russians_dubai_villas-img&amp;utm_term=feed-real_estate")</f>
        <v>https://www.agbi.com/articles/russians-bigger-long-term-dubai-homes/?utm_source=linkedin&amp;utm_medium=social&amp;utm_campaign=awa&amp;utm_content=russians_dubai_villas-img&amp;utm_term=feed-real_estate</v>
      </c>
      <c r="F418" s="368" t="str">
        <f>IFERROR(__xludf.DUMMYFUNCTION("""COMPUTED_VALUE"""),"Betterhomes")</f>
        <v>Betterhomes</v>
      </c>
    </row>
    <row r="419">
      <c r="A419" s="402">
        <f>IFERROR(__xludf.DUMMYFUNCTION("""COMPUTED_VALUE"""),45135.0)</f>
        <v>45135</v>
      </c>
      <c r="B419" s="368" t="str">
        <f>IFERROR(__xludf.DUMMYFUNCTION("""COMPUTED_VALUE"""),"Tier 2")</f>
        <v>Tier 2</v>
      </c>
      <c r="C419" s="368" t="str">
        <f>IFERROR(__xludf.DUMMYFUNCTION("""COMPUTED_VALUE"""),"Time Out Dubai")</f>
        <v>Time Out Dubai</v>
      </c>
      <c r="D419" s="368" t="str">
        <f>IFERROR(__xludf.DUMMYFUNCTION("""COMPUTED_VALUE"""),"House-hunting? Download these real estate apps in Dubai")</f>
        <v>House-hunting? Download these real estate apps in Dubai</v>
      </c>
      <c r="E419" s="507" t="str">
        <f>IFERROR(__xludf.DUMMYFUNCTION("""COMPUTED_VALUE"""),"https://www.timeoutdubai.com/moving-to-dubai/real-estate-apps-in-dubai")</f>
        <v>https://www.timeoutdubai.com/moving-to-dubai/real-estate-apps-in-dubai</v>
      </c>
      <c r="F419" s="368" t="str">
        <f>IFERROR(__xludf.DUMMYFUNCTION("""COMPUTED_VALUE"""),"Betterhomes")</f>
        <v>Betterhomes</v>
      </c>
    </row>
    <row r="420">
      <c r="A420" s="402">
        <f>IFERROR(__xludf.DUMMYFUNCTION("""COMPUTED_VALUE"""),45136.0)</f>
        <v>45136</v>
      </c>
      <c r="B420" s="368" t="str">
        <f>IFERROR(__xludf.DUMMYFUNCTION("""COMPUTED_VALUE"""),"Tier 3")</f>
        <v>Tier 3</v>
      </c>
      <c r="C420" s="368" t="str">
        <f>IFERROR(__xludf.DUMMYFUNCTION("""COMPUTED_VALUE"""),"Watson (France)")</f>
        <v>Watson (France)</v>
      </c>
      <c r="D420" s="368" t="str">
        <f>IFERROR(__xludf.DUMMYFUNCTION("""COMPUTED_VALUE"""),"From Switzerland to Dubai: Russian oligarchs move their money")</f>
        <v>From Switzerland to Dubai: Russian oligarchs move their money</v>
      </c>
      <c r="E420" s="507" t="str">
        <f>IFERROR(__xludf.DUMMYFUNCTION("""COMPUTED_VALUE"""),"https://www.watson.ch/fr/economie/russie/982986502-de-la-paradeplatz-a-dubai-les-riches-russes-deplacent-leur-argent")</f>
        <v>https://www.watson.ch/fr/economie/russie/982986502-de-la-paradeplatz-a-dubai-les-riches-russes-deplacent-leur-argent</v>
      </c>
      <c r="F420" s="368"/>
    </row>
    <row r="421">
      <c r="A421" s="402">
        <f>IFERROR(__xludf.DUMMYFUNCTION("""COMPUTED_VALUE"""),45137.0)</f>
        <v>45137</v>
      </c>
      <c r="B421" s="368" t="str">
        <f>IFERROR(__xludf.DUMMYFUNCTION("""COMPUTED_VALUE"""),"Tier 3")</f>
        <v>Tier 3</v>
      </c>
      <c r="C421" s="368" t="str">
        <f>IFERROR(__xludf.DUMMYFUNCTION("""COMPUTED_VALUE"""),"Prian (Russia)")</f>
        <v>Prian (Russia)</v>
      </c>
      <c r="D421" s="368" t="str">
        <f>IFERROR(__xludf.DUMMYFUNCTION("""COMPUTED_VALUE"""),"The most Russian districts of Dubai: where investors from the Russian Federation buy real estate")</f>
        <v>The most Russian districts of Dubai: where investors from the Russian Federation buy real estate</v>
      </c>
      <c r="E421" s="507" t="str">
        <f>IFERROR(__xludf.DUMMYFUNCTION("""COMPUTED_VALUE"""),"https://prian.ru/pub/samye-russkie-rayony-dubaya-gde-pokupayut-nedvizhimost-investory-iz-rf.html")</f>
        <v>https://prian.ru/pub/samye-russkie-rayony-dubaya-gde-pokupayut-nedvizhimost-investory-iz-rf.html</v>
      </c>
      <c r="F421" s="368" t="str">
        <f>IFERROR(__xludf.DUMMYFUNCTION("""COMPUTED_VALUE"""),"Betterhomes")</f>
        <v>Betterhomes</v>
      </c>
    </row>
    <row r="422">
      <c r="A422" s="402">
        <f>IFERROR(__xludf.DUMMYFUNCTION("""COMPUTED_VALUE"""),45138.0)</f>
        <v>45138</v>
      </c>
      <c r="B422" s="368" t="str">
        <f>IFERROR(__xludf.DUMMYFUNCTION("""COMPUTED_VALUE"""),"Tier 2")</f>
        <v>Tier 2</v>
      </c>
      <c r="C422" s="368" t="str">
        <f>IFERROR(__xludf.DUMMYFUNCTION("""COMPUTED_VALUE"""),"The National ")</f>
        <v>The National </v>
      </c>
      <c r="D422" s="368" t="str">
        <f>IFERROR(__xludf.DUMMYFUNCTION("""COMPUTED_VALUE"""),"What's next for the Dubai property market?")</f>
        <v>What's next for the Dubai property market?</v>
      </c>
      <c r="E422" s="507" t="str">
        <f>IFERROR(__xludf.DUMMYFUNCTION("""COMPUTED_VALUE"""),"https://www.thenationalnews.com/weekend/2023/07/28/whats-next-for-the-dubai-property-market/")</f>
        <v>https://www.thenationalnews.com/weekend/2023/07/28/whats-next-for-the-dubai-property-market/</v>
      </c>
      <c r="F422" s="368" t="str">
        <f>IFERROR(__xludf.DUMMYFUNCTION("""COMPUTED_VALUE"""),"Betterhomes")</f>
        <v>Betterhomes</v>
      </c>
    </row>
    <row r="423">
      <c r="A423" s="402">
        <f>IFERROR(__xludf.DUMMYFUNCTION("""COMPUTED_VALUE"""),45140.0)</f>
        <v>45140</v>
      </c>
      <c r="B423" s="368" t="str">
        <f>IFERROR(__xludf.DUMMYFUNCTION("""COMPUTED_VALUE"""),"Tier 2")</f>
        <v>Tier 2</v>
      </c>
      <c r="C423" s="368" t="str">
        <f>IFERROR(__xludf.DUMMYFUNCTION("""COMPUTED_VALUE"""),"Khaleej Times")</f>
        <v>Khaleej Times</v>
      </c>
      <c r="D423" s="368" t="str">
        <f>IFERROR(__xludf.DUMMYFUNCTION("""COMPUTED_VALUE"""),"Rents in Dubai: Up to Dh20,000 discount on fewer cheque payments")</f>
        <v>Rents in Dubai: Up to Dh20,000 discount on fewer cheque payments</v>
      </c>
      <c r="E423" s="507" t="str">
        <f>IFERROR(__xludf.DUMMYFUNCTION("""COMPUTED_VALUE"""),"https://www.khaleejtimes.com/life-and-living/housing-in-uae/rents-in-dubai-up-to-dh20000-discount-on-fewer-cheque-payments?_refresh=true")</f>
        <v>https://www.khaleejtimes.com/life-and-living/housing-in-uae/rents-in-dubai-up-to-dh20000-discount-on-fewer-cheque-payments?_refresh=true</v>
      </c>
      <c r="F423" s="368" t="str">
        <f>IFERROR(__xludf.DUMMYFUNCTION("""COMPUTED_VALUE"""),"Betterhomes")</f>
        <v>Betterhomes</v>
      </c>
    </row>
    <row r="424">
      <c r="A424" s="402">
        <f>IFERROR(__xludf.DUMMYFUNCTION("""COMPUTED_VALUE"""),45140.0)</f>
        <v>45140</v>
      </c>
      <c r="B424" s="368" t="str">
        <f>IFERROR(__xludf.DUMMYFUNCTION("""COMPUTED_VALUE"""),"Tier 2")</f>
        <v>Tier 2</v>
      </c>
      <c r="C424" s="368" t="str">
        <f>IFERROR(__xludf.DUMMYFUNCTION("""COMPUTED_VALUE"""),"Zawya ")</f>
        <v>Zawya </v>
      </c>
      <c r="D424" s="368" t="str">
        <f>IFERROR(__xludf.DUMMYFUNCTION("""COMPUTED_VALUE"""),"Rents in Dubai: Up to $5,500 discount on fewer cheque payments")</f>
        <v>Rents in Dubai: Up to $5,500 discount on fewer cheque payments</v>
      </c>
      <c r="E424" s="507" t="str">
        <f>IFERROR(__xludf.DUMMYFUNCTION("""COMPUTED_VALUE"""),"https://www.zawya.com/en/business/real-estate/rents-in-dubai-up-to-5-500-discount-on-fewer-cheque-payments-snyex3vu")</f>
        <v>https://www.zawya.com/en/business/real-estate/rents-in-dubai-up-to-5-500-discount-on-fewer-cheque-payments-snyex3vu</v>
      </c>
      <c r="F424" s="368" t="str">
        <f>IFERROR(__xludf.DUMMYFUNCTION("""COMPUTED_VALUE"""),"Betterhomes")</f>
        <v>Betterhomes</v>
      </c>
    </row>
    <row r="425">
      <c r="A425" s="402">
        <f>IFERROR(__xludf.DUMMYFUNCTION("""COMPUTED_VALUE"""),45141.0)</f>
        <v>45141</v>
      </c>
      <c r="B425" s="368" t="str">
        <f>IFERROR(__xludf.DUMMYFUNCTION("""COMPUTED_VALUE"""),"Tier 2")</f>
        <v>Tier 2</v>
      </c>
      <c r="C425" s="368" t="str">
        <f>IFERROR(__xludf.DUMMYFUNCTION("""COMPUTED_VALUE"""),"Khaleej Times")</f>
        <v>Khaleej Times</v>
      </c>
      <c r="D425" s="368" t="str">
        <f>IFERROR(__xludf.DUMMYFUNCTION("""COMPUTED_VALUE"""),"How is off-plan investment different from investing in ready properties?")</f>
        <v>How is off-plan investment different from investing in ready properties?</v>
      </c>
      <c r="E425" s="507" t="str">
        <f>IFERROR(__xludf.DUMMYFUNCTION("""COMPUTED_VALUE"""),"https://www.khaleejtimes.com/business/how-is-off-plan-investment-different-from-investing-in-ready-properties#:~:text=Unlike%20off%2Dplan%20investments%2C%20ready,in%20the%20completion%20of%20construction.")</f>
        <v>https://www.khaleejtimes.com/business/how-is-off-plan-investment-different-from-investing-in-ready-properties#:~:text=Unlike%20off%2Dplan%20investments%2C%20ready,in%20the%20completion%20of%20construction.</v>
      </c>
      <c r="F425" s="368" t="str">
        <f>IFERROR(__xludf.DUMMYFUNCTION("""COMPUTED_VALUE"""),"Betterhomes")</f>
        <v>Betterhomes</v>
      </c>
    </row>
    <row r="426">
      <c r="A426" s="402">
        <f>IFERROR(__xludf.DUMMYFUNCTION("""COMPUTED_VALUE"""),45153.0)</f>
        <v>45153</v>
      </c>
      <c r="B426" s="368" t="str">
        <f>IFERROR(__xludf.DUMMYFUNCTION("""COMPUTED_VALUE"""),"Tier 1")</f>
        <v>Tier 1</v>
      </c>
      <c r="C426" s="368" t="str">
        <f>IFERROR(__xludf.DUMMYFUNCTION("""COMPUTED_VALUE"""),"CNN ")</f>
        <v>CNN </v>
      </c>
      <c r="D426" s="368" t="str">
        <f>IFERROR(__xludf.DUMMYFUNCTION("""COMPUTED_VALUE"""),"Which is better.. buying or renting real estate? The experts answer")</f>
        <v>Which is better.. buying or renting real estate? The experts answer</v>
      </c>
      <c r="E426" s="507" t="str">
        <f>IFERROR(__xludf.DUMMYFUNCTION("""COMPUTED_VALUE"""),"https://cnnbusinessarabic.com/real-estate-construction/34375/%D8%A3%D9%8A%D9%87%D9%85%D8%A7-%D8%A3%D9%81%D8%B6%D9%84-%D8%B4%D8%B1%D8%A7%D8%A1-%D8%A7%D9%84%D8%B9%D9%82%D8%A7%D8%B1%D8%A7%D8%AA-%D8%A3%D9%85-%D8%A7%D8%B3%D8%AA%D8%A6%D8%AC%D8%A7%D8%B1%D9%87%D8"&amp;"%A7%D8%9F-%D8%A7%D9%84%D8%AE%D8%A8%D8%B1%D8%A7%D8%A1-%D9%8A%D8%AC%D9%8A%D8%A8%D9%88%D9%86")</f>
        <v>https://cnnbusinessarabic.com/real-estate-construction/34375/%D8%A3%D9%8A%D9%87%D9%85%D8%A7-%D8%A3%D9%81%D8%B6%D9%84-%D8%B4%D8%B1%D8%A7%D8%A1-%D8%A7%D9%84%D8%B9%D9%82%D8%A7%D8%B1%D8%A7%D8%AA-%D8%A3%D9%85-%D8%A7%D8%B3%D8%AA%D8%A6%D8%AC%D8%A7%D8%B1%D9%87%D8%A7%D8%9F-%D8%A7%D9%84%D8%AE%D8%A8%D8%B1%D8%A7%D8%A1-%D9%8A%D8%AC%D9%8A%D8%A8%D9%88%D9%86</v>
      </c>
      <c r="F426" s="368" t="str">
        <f>IFERROR(__xludf.DUMMYFUNCTION("""COMPUTED_VALUE"""),"Betterhomes")</f>
        <v>Betterhomes</v>
      </c>
    </row>
    <row r="427">
      <c r="A427" s="402">
        <f>IFERROR(__xludf.DUMMYFUNCTION("""COMPUTED_VALUE"""),45155.0)</f>
        <v>45155</v>
      </c>
      <c r="B427" s="368" t="str">
        <f>IFERROR(__xludf.DUMMYFUNCTION("""COMPUTED_VALUE"""),"Tier 2")</f>
        <v>Tier 2</v>
      </c>
      <c r="C427" s="368" t="str">
        <f>IFERROR(__xludf.DUMMYFUNCTION("""COMPUTED_VALUE"""),"Mena FN")</f>
        <v>Mena FN</v>
      </c>
      <c r="D427" s="368" t="str">
        <f>IFERROR(__xludf.DUMMYFUNCTION("""COMPUTED_VALUE"""),"The Surge Of Custom-Built Villas In Palm Jumeirah: Unveiling The Trend And Its Motivations")</f>
        <v>The Surge Of Custom-Built Villas In Palm Jumeirah: Unveiling The Trend And Its Motivations</v>
      </c>
      <c r="E427" s="507" t="str">
        <f>IFERROR(__xludf.DUMMYFUNCTION("""COMPUTED_VALUE"""),"https://menafn.com/1106880144/The-Surge-Of-Custom-Built-Villas-In-Palm-Jumeirah-Unveiling-The-Trend-And-Its-Motivations")</f>
        <v>https://menafn.com/1106880144/The-Surge-Of-Custom-Built-Villas-In-Palm-Jumeirah-Unveiling-The-Trend-And-Its-Motivations</v>
      </c>
      <c r="F427" s="368" t="str">
        <f>IFERROR(__xludf.DUMMYFUNCTION("""COMPUTED_VALUE"""),"Betterhomes")</f>
        <v>Betterhomes</v>
      </c>
    </row>
    <row r="428">
      <c r="A428" s="402">
        <f>IFERROR(__xludf.DUMMYFUNCTION("""COMPUTED_VALUE"""),45155.0)</f>
        <v>45155</v>
      </c>
      <c r="B428" s="368" t="str">
        <f>IFERROR(__xludf.DUMMYFUNCTION("""COMPUTED_VALUE"""),"Tier 2")</f>
        <v>Tier 2</v>
      </c>
      <c r="C428" s="368" t="str">
        <f>IFERROR(__xludf.DUMMYFUNCTION("""COMPUTED_VALUE"""),"Khaleej Times")</f>
        <v>Khaleej Times</v>
      </c>
      <c r="D428" s="368" t="str">
        <f>IFERROR(__xludf.DUMMYFUNCTION("""COMPUTED_VALUE"""),"The Surge Of Custom-Built Villas In Palm Jumeirah: Unveiling The Trend And Its Motivations")</f>
        <v>The Surge Of Custom-Built Villas In Palm Jumeirah: Unveiling The Trend And Its Motivations</v>
      </c>
      <c r="E428" s="507" t="str">
        <f>IFERROR(__xludf.DUMMYFUNCTION("""COMPUTED_VALUE"""),"https://www.khaleejtimes.com/business/the-surge-of-custom-built-villas-in-palm-jumeirah-unveiling-the-trend-and-its-motivations")</f>
        <v>https://www.khaleejtimes.com/business/the-surge-of-custom-built-villas-in-palm-jumeirah-unveiling-the-trend-and-its-motivations</v>
      </c>
      <c r="F428" s="368" t="str">
        <f>IFERROR(__xludf.DUMMYFUNCTION("""COMPUTED_VALUE"""),"Betterhomes")</f>
        <v>Betterhomes</v>
      </c>
    </row>
    <row r="429">
      <c r="A429" s="402">
        <f>IFERROR(__xludf.DUMMYFUNCTION("""COMPUTED_VALUE"""),45155.0)</f>
        <v>45155</v>
      </c>
      <c r="B429" s="368" t="str">
        <f>IFERROR(__xludf.DUMMYFUNCTION("""COMPUTED_VALUE"""),"Tier 2")</f>
        <v>Tier 2</v>
      </c>
      <c r="C429" s="368" t="str">
        <f>IFERROR(__xludf.DUMMYFUNCTION("""COMPUTED_VALUE"""),"The National ")</f>
        <v>The National </v>
      </c>
      <c r="D429" s="368" t="str">
        <f>IFERROR(__xludf.DUMMYFUNCTION("""COMPUTED_VALUE"""),"Where are the best places to live in Dubai with children?")</f>
        <v>Where are the best places to live in Dubai with children?</v>
      </c>
      <c r="E429" s="507" t="str">
        <f>IFERROR(__xludf.DUMMYFUNCTION("""COMPUTED_VALUE"""),"https://www.thenationalnews.com/uae/2023/08/24/best-area-live-dubai-family/")</f>
        <v>https://www.thenationalnews.com/uae/2023/08/24/best-area-live-dubai-family/</v>
      </c>
      <c r="F429" s="368" t="str">
        <f>IFERROR(__xludf.DUMMYFUNCTION("""COMPUTED_VALUE"""),"Betterhomes")</f>
        <v>Betterhomes</v>
      </c>
    </row>
    <row r="430">
      <c r="A430" s="402">
        <f>IFERROR(__xludf.DUMMYFUNCTION("""COMPUTED_VALUE"""),45156.0)</f>
        <v>45156</v>
      </c>
      <c r="B430" s="368" t="str">
        <f>IFERROR(__xludf.DUMMYFUNCTION("""COMPUTED_VALUE"""),"Tier 3")</f>
        <v>Tier 3</v>
      </c>
      <c r="C430" s="368" t="str">
        <f>IFERROR(__xludf.DUMMYFUNCTION("""COMPUTED_VALUE"""),"Russia Matters")</f>
        <v>Russia Matters</v>
      </c>
      <c r="D430" s="368" t="str">
        <f>IFERROR(__xludf.DUMMYFUNCTION("""COMPUTED_VALUE"""),"Russia in Review")</f>
        <v>Russia in Review</v>
      </c>
      <c r="E430" s="507" t="str">
        <f>IFERROR(__xludf.DUMMYFUNCTION("""COMPUTED_VALUE"""),"https://www.russiamatters.org/news/russia-review/russia-review-aug-18-25-2023")</f>
        <v>https://www.russiamatters.org/news/russia-review/russia-review-aug-18-25-2023</v>
      </c>
      <c r="F430" s="368" t="str">
        <f>IFERROR(__xludf.DUMMYFUNCTION("""COMPUTED_VALUE"""),"Betterhomes")</f>
        <v>Betterhomes</v>
      </c>
    </row>
    <row r="431">
      <c r="A431" s="402">
        <f>IFERROR(__xludf.DUMMYFUNCTION("""COMPUTED_VALUE"""),45156.0)</f>
        <v>45156</v>
      </c>
      <c r="B431" s="368" t="str">
        <f>IFERROR(__xludf.DUMMYFUNCTION("""COMPUTED_VALUE"""),"Tier 2")</f>
        <v>Tier 2</v>
      </c>
      <c r="C431" s="368" t="str">
        <f>IFERROR(__xludf.DUMMYFUNCTION("""COMPUTED_VALUE"""),"Business Insider")</f>
        <v>Business Insider</v>
      </c>
      <c r="D431" s="368" t="str">
        <f>IFERROR(__xludf.DUMMYFUNCTION("""COMPUTED_VALUE"""),"Russia's economic woes have led to a flood of cash and sparked a real estate boom in the United Arab Emirates")</f>
        <v>Russia's economic woes have led to a flood of cash and sparked a real estate boom in the United Arab Emirates</v>
      </c>
      <c r="E431" s="507" t="str">
        <f>IFERROR(__xludf.DUMMYFUNCTION("""COMPUTED_VALUE"""),"https://www.businessinsider.de/politik/international-politics/russlands-wirtschaftliche-probleme-haben-zu-flut-von-bargeld-gefuehrt-und-immobilienboom-in-den-vereinigten-arabischen-emiraten-ausgeloest/")</f>
        <v>https://www.businessinsider.de/politik/international-politics/russlands-wirtschaftliche-probleme-haben-zu-flut-von-bargeld-gefuehrt-und-immobilienboom-in-den-vereinigten-arabischen-emiraten-ausgeloest/</v>
      </c>
      <c r="F431" s="368" t="str">
        <f>IFERROR(__xludf.DUMMYFUNCTION("""COMPUTED_VALUE"""),"Betterhomes")</f>
        <v>Betterhomes</v>
      </c>
    </row>
    <row r="432">
      <c r="A432" s="402">
        <f>IFERROR(__xludf.DUMMYFUNCTION("""COMPUTED_VALUE"""),45159.0)</f>
        <v>45159</v>
      </c>
      <c r="B432" s="368" t="str">
        <f>IFERROR(__xludf.DUMMYFUNCTION("""COMPUTED_VALUE"""),"Tier 1")</f>
        <v>Tier 1</v>
      </c>
      <c r="C432" s="368" t="str">
        <f>IFERROR(__xludf.DUMMYFUNCTION("""COMPUTED_VALUE"""),"The Wall Street Journal")</f>
        <v>The Wall Street Journal</v>
      </c>
      <c r="D432" s="368" t="str">
        <f>IFERROR(__xludf.DUMMYFUNCTION("""COMPUTED_VALUE"""),"U.A.E. Cashes In on Russia’s Economic Woes")</f>
        <v>U.A.E. Cashes In on Russia’s Economic Woes</v>
      </c>
      <c r="E432" s="507" t="str">
        <f>IFERROR(__xludf.DUMMYFUNCTION("""COMPUTED_VALUE"""),"https://www.wsj.com/world/russia/u-a-e-cashes-in-on-russias-economic-woes-52700157")</f>
        <v>https://www.wsj.com/world/russia/u-a-e-cashes-in-on-russias-economic-woes-52700157</v>
      </c>
      <c r="F432" s="368" t="str">
        <f>IFERROR(__xludf.DUMMYFUNCTION("""COMPUTED_VALUE"""),"Betterhomes")</f>
        <v>Betterhomes</v>
      </c>
    </row>
    <row r="433">
      <c r="A433" s="402">
        <f>IFERROR(__xludf.DUMMYFUNCTION("""COMPUTED_VALUE"""),45160.0)</f>
        <v>45160</v>
      </c>
      <c r="B433" s="368" t="str">
        <f>IFERROR(__xludf.DUMMYFUNCTION("""COMPUTED_VALUE"""),"Tier 2")</f>
        <v>Tier 2</v>
      </c>
      <c r="C433" s="368" t="str">
        <f>IFERROR(__xludf.DUMMYFUNCTION("""COMPUTED_VALUE"""),"News Arab")</f>
        <v>News Arab</v>
      </c>
      <c r="D433" s="368" t="str">
        <f>IFERROR(__xludf.DUMMYFUNCTION("""COMPUTED_VALUE"""),"UAE denies sanctions violations as it deepens economic ties with Russia")</f>
        <v>UAE denies sanctions violations as it deepens economic ties with Russia</v>
      </c>
      <c r="E433" s="507" t="str">
        <f>IFERROR(__xludf.DUMMYFUNCTION("""COMPUTED_VALUE"""),"https://www.newarab.com/news/uae-denies-sanctions-violations-it-deepens-russia-ties")</f>
        <v>https://www.newarab.com/news/uae-denies-sanctions-violations-it-deepens-russia-ties</v>
      </c>
      <c r="F433" s="368" t="str">
        <f>IFERROR(__xludf.DUMMYFUNCTION("""COMPUTED_VALUE"""),"Betterhomes")</f>
        <v>Betterhomes</v>
      </c>
    </row>
    <row r="434">
      <c r="A434" s="402">
        <f>IFERROR(__xludf.DUMMYFUNCTION("""COMPUTED_VALUE"""),45160.0)</f>
        <v>45160</v>
      </c>
      <c r="B434" s="368" t="str">
        <f>IFERROR(__xludf.DUMMYFUNCTION("""COMPUTED_VALUE"""),"Tier 2")</f>
        <v>Tier 2</v>
      </c>
      <c r="C434" s="368" t="str">
        <f>IFERROR(__xludf.DUMMYFUNCTION("""COMPUTED_VALUE"""),"Gulf News")</f>
        <v>Gulf News</v>
      </c>
      <c r="D434" s="368" t="str">
        <f>IFERROR(__xludf.DUMMYFUNCTION("""COMPUTED_VALUE"""),"UAE free zones take lead in drawing new businesses as corporate tax rules become clear")</f>
        <v>UAE free zones take lead in drawing new businesses as corporate tax rules become clear</v>
      </c>
      <c r="E434" s="507" t="str">
        <f>IFERROR(__xludf.DUMMYFUNCTION("""COMPUTED_VALUE"""),"https://gulfnews.com/business/tax-news/uae-free-zones-take-lead-in-drawing-new-businesses-as-corporate-tax-rules-become-clear-1.1692591947595")</f>
        <v>https://gulfnews.com/business/tax-news/uae-free-zones-take-lead-in-drawing-new-businesses-as-corporate-tax-rules-become-clear-1.1692591947595</v>
      </c>
      <c r="F434" s="368" t="str">
        <f>IFERROR(__xludf.DUMMYFUNCTION("""COMPUTED_VALUE"""),"CRC")</f>
        <v>CRC</v>
      </c>
    </row>
    <row r="435">
      <c r="A435" s="402">
        <f>IFERROR(__xludf.DUMMYFUNCTION("""COMPUTED_VALUE"""),45161.0)</f>
        <v>45161</v>
      </c>
      <c r="B435" s="368" t="str">
        <f>IFERROR(__xludf.DUMMYFUNCTION("""COMPUTED_VALUE"""),"Tier 3")</f>
        <v>Tier 3</v>
      </c>
      <c r="C435" s="368" t="str">
        <f>IFERROR(__xludf.DUMMYFUNCTION("""COMPUTED_VALUE"""),"Toitre (Vietnam)")</f>
        <v>Toitre (Vietnam)</v>
      </c>
      <c r="D435" s="368" t="str">
        <f>IFERROR(__xludf.DUMMYFUNCTION("""COMPUTED_VALUE"""),"Russian people bring money to Dubai to invest in real estate")</f>
        <v>Russian people bring money to Dubai to invest in real estate</v>
      </c>
      <c r="E435" s="507" t="str">
        <f>IFERROR(__xludf.DUMMYFUNCTION("""COMPUTED_VALUE"""),"https://tuoitre.vn/dan-nga-dem-tien-sang-dubai-dau-tu-bat-dong-san-20230823162821013.htm")</f>
        <v>https://tuoitre.vn/dan-nga-dem-tien-sang-dubai-dau-tu-bat-dong-san-20230823162821013.htm</v>
      </c>
      <c r="F435" s="368" t="str">
        <f>IFERROR(__xludf.DUMMYFUNCTION("""COMPUTED_VALUE"""),"Betterhomes")</f>
        <v>Betterhomes</v>
      </c>
    </row>
    <row r="436">
      <c r="A436" s="402">
        <f>IFERROR(__xludf.DUMMYFUNCTION("""COMPUTED_VALUE"""),45171.0)</f>
        <v>45171</v>
      </c>
      <c r="B436" s="368" t="str">
        <f>IFERROR(__xludf.DUMMYFUNCTION("""COMPUTED_VALUE"""),"Tier 3")</f>
        <v>Tier 3</v>
      </c>
      <c r="C436" s="368" t="str">
        <f>IFERROR(__xludf.DUMMYFUNCTION("""COMPUTED_VALUE"""),"Logicno (Croatia)")</f>
        <v>Logicno (Croatia)</v>
      </c>
      <c r="D436" s="368" t="str">
        <f>IFERROR(__xludf.DUMMYFUNCTION("""COMPUTED_VALUE"""),"Massive withdrawal of capital from Switzerland to the Middle East")</f>
        <v>Massive withdrawal of capital from Switzerland to the Middle East</v>
      </c>
      <c r="E436" s="507" t="str">
        <f>IFERROR(__xludf.DUMMYFUNCTION("""COMPUTED_VALUE"""),"https://www.logicno.com/politika/ogromno-povlacenje-kapitala-iz-svicarske-na-bliski-istok.html")</f>
        <v>https://www.logicno.com/politika/ogromno-povlacenje-kapitala-iz-svicarske-na-bliski-istok.html</v>
      </c>
      <c r="F436" s="368" t="str">
        <f>IFERROR(__xludf.DUMMYFUNCTION("""COMPUTED_VALUE"""),"Betterhomes")</f>
        <v>Betterhomes</v>
      </c>
    </row>
    <row r="437">
      <c r="A437" s="402">
        <f>IFERROR(__xludf.DUMMYFUNCTION("""COMPUTED_VALUE"""),45173.0)</f>
        <v>45173</v>
      </c>
      <c r="B437" s="368" t="str">
        <f>IFERROR(__xludf.DUMMYFUNCTION("""COMPUTED_VALUE"""),"Tier 2")</f>
        <v>Tier 2</v>
      </c>
      <c r="C437" s="368" t="str">
        <f>IFERROR(__xludf.DUMMYFUNCTION("""COMPUTED_VALUE"""),"Khaleej Times")</f>
        <v>Khaleej Times</v>
      </c>
      <c r="D437" s="368" t="str">
        <f>IFERROR(__xludf.DUMMYFUNCTION("""COMPUTED_VALUE"""),"Dubai: Should you buy, rent property directly from the owner or through a property agent?")</f>
        <v>Dubai: Should you buy, rent property directly from the owner or through a property agent?</v>
      </c>
      <c r="E437" s="507" t="str">
        <f>IFERROR(__xludf.DUMMYFUNCTION("""COMPUTED_VALUE"""),"https://www.khaleejtimes.com/business/dubai-should-you-buy-rent-property-directly-from-the-owner-or-through-a-property-agent")</f>
        <v>https://www.khaleejtimes.com/business/dubai-should-you-buy-rent-property-directly-from-the-owner-or-through-a-property-agent</v>
      </c>
      <c r="F437" s="368" t="str">
        <f>IFERROR(__xludf.DUMMYFUNCTION("""COMPUTED_VALUE"""),"Betterhomes")</f>
        <v>Betterhomes</v>
      </c>
    </row>
    <row r="438">
      <c r="A438" s="402">
        <f>IFERROR(__xludf.DUMMYFUNCTION("""COMPUTED_VALUE"""),45175.0)</f>
        <v>45175</v>
      </c>
      <c r="B438" s="368" t="str">
        <f>IFERROR(__xludf.DUMMYFUNCTION("""COMPUTED_VALUE"""),"Tier 3")</f>
        <v>Tier 3</v>
      </c>
      <c r="C438" s="368" t="str">
        <f>IFERROR(__xludf.DUMMYFUNCTION("""COMPUTED_VALUE"""),"Cafe F (Vietnam)")</f>
        <v>Cafe F (Vietnam)</v>
      </c>
      <c r="D438" s="368" t="str">
        <f>IFERROR(__xludf.DUMMYFUNCTION("""COMPUTED_VALUE"""),"The attraction of the super-rich kingdom receives huge flows of assets from Russia")</f>
        <v>The attraction of the super-rich kingdom receives huge flows of assets from Russia</v>
      </c>
      <c r="E438" s="507" t="str">
        <f>IFERROR(__xludf.DUMMYFUNCTION("""COMPUTED_VALUE"""),"https://cafef.vn/suc-hap-dan-cua-vuong-quoc-sieu-giau-don-nhan-dong-tai-san-khong-lo-tu-nga-188230906093157615.chn")</f>
        <v>https://cafef.vn/suc-hap-dan-cua-vuong-quoc-sieu-giau-don-nhan-dong-tai-san-khong-lo-tu-nga-188230906093157615.chn</v>
      </c>
      <c r="F438" s="368" t="str">
        <f>IFERROR(__xludf.DUMMYFUNCTION("""COMPUTED_VALUE"""),"Betterhomes")</f>
        <v>Betterhomes</v>
      </c>
    </row>
    <row r="439">
      <c r="A439" s="402">
        <f>IFERROR(__xludf.DUMMYFUNCTION("""COMPUTED_VALUE"""),45180.0)</f>
        <v>45180</v>
      </c>
      <c r="B439" s="368" t="str">
        <f>IFERROR(__xludf.DUMMYFUNCTION("""COMPUTED_VALUE"""),"Tier 2")</f>
        <v>Tier 2</v>
      </c>
      <c r="C439" s="368" t="str">
        <f>IFERROR(__xludf.DUMMYFUNCTION("""COMPUTED_VALUE"""),"Khaleej Times")</f>
        <v>Khaleej Times</v>
      </c>
      <c r="D439" s="368" t="str">
        <f>IFERROR(__xludf.DUMMYFUNCTION("""COMPUTED_VALUE"""),"What are the best locations for an investor seeking to buy mid-range property in Dubai?")</f>
        <v>What are the best locations for an investor seeking to buy mid-range property in Dubai?</v>
      </c>
      <c r="E439" s="507" t="str">
        <f>IFERROR(__xludf.DUMMYFUNCTION("""COMPUTED_VALUE"""),"https://www.khaleejtimes.com/business/what-are-the-best-locations-for-an-investor-seeking-to-buy-mid-range-property-in-dubai")</f>
        <v>https://www.khaleejtimes.com/business/what-are-the-best-locations-for-an-investor-seeking-to-buy-mid-range-property-in-dubai</v>
      </c>
      <c r="F439" s="368" t="str">
        <f>IFERROR(__xludf.DUMMYFUNCTION("""COMPUTED_VALUE"""),"Betterhomes")</f>
        <v>Betterhomes</v>
      </c>
    </row>
    <row r="440">
      <c r="A440" s="402">
        <f>IFERROR(__xludf.DUMMYFUNCTION("""COMPUTED_VALUE"""),45181.0)</f>
        <v>45181</v>
      </c>
      <c r="B440" s="368" t="str">
        <f>IFERROR(__xludf.DUMMYFUNCTION("""COMPUTED_VALUE"""),"Tier 2")</f>
        <v>Tier 2</v>
      </c>
      <c r="C440" s="368" t="str">
        <f>IFERROR(__xludf.DUMMYFUNCTION("""COMPUTED_VALUE"""),"Mena FN")</f>
        <v>Mena FN</v>
      </c>
      <c r="D440" s="368" t="str">
        <f>IFERROR(__xludf.DUMMYFUNCTION("""COMPUTED_VALUE"""),"What Are The Best Locations For An Investor Seeking To Buy Mid-Range Property In Dubai?")</f>
        <v>What Are The Best Locations For An Investor Seeking To Buy Mid-Range Property In Dubai?</v>
      </c>
      <c r="E440" s="507" t="str">
        <f>IFERROR(__xludf.DUMMYFUNCTION("""COMPUTED_VALUE"""),"https://menafn.com/1107053466/What-Are-The-Best-Locations-For-An-Investor-Seeking-To-Buy-Mid-Range-Property-In-Dubai")</f>
        <v>https://menafn.com/1107053466/What-Are-The-Best-Locations-For-An-Investor-Seeking-To-Buy-Mid-Range-Property-In-Dubai</v>
      </c>
      <c r="F440" s="368" t="str">
        <f>IFERROR(__xludf.DUMMYFUNCTION("""COMPUTED_VALUE"""),"Betterhomes")</f>
        <v>Betterhomes</v>
      </c>
    </row>
    <row r="441">
      <c r="A441" s="402">
        <f>IFERROR(__xludf.DUMMYFUNCTION("""COMPUTED_VALUE"""),45189.0)</f>
        <v>45189</v>
      </c>
      <c r="B441" s="368" t="str">
        <f>IFERROR(__xludf.DUMMYFUNCTION("""COMPUTED_VALUE"""),"Tier 2")</f>
        <v>Tier 2</v>
      </c>
      <c r="C441" s="368" t="str">
        <f>IFERROR(__xludf.DUMMYFUNCTION("""COMPUTED_VALUE"""),"AGBI")</f>
        <v>AGBI</v>
      </c>
      <c r="D441" s="368" t="str">
        <f>IFERROR(__xludf.DUMMYFUNCTION("""COMPUTED_VALUE"""),"Russians snap up plots of land to build ‘Little Moscow’ in Dubai")</f>
        <v>Russians snap up plots of land to build ‘Little Moscow’ in Dubai</v>
      </c>
      <c r="E441" s="507" t="str">
        <f>IFERROR(__xludf.DUMMYFUNCTION("""COMPUTED_VALUE"""),"https://www.agbi.com/articles/russian-investors-dubai-real-estate-little-moscow/")</f>
        <v>https://www.agbi.com/articles/russian-investors-dubai-real-estate-little-moscow/</v>
      </c>
      <c r="F441" s="368" t="str">
        <f>IFERROR(__xludf.DUMMYFUNCTION("""COMPUTED_VALUE"""),"Betterhomes")</f>
        <v>Betterhomes</v>
      </c>
    </row>
    <row r="442">
      <c r="A442" s="402">
        <f>IFERROR(__xludf.DUMMYFUNCTION("""COMPUTED_VALUE"""),45189.0)</f>
        <v>45189</v>
      </c>
      <c r="B442" s="368" t="str">
        <f>IFERROR(__xludf.DUMMYFUNCTION("""COMPUTED_VALUE"""),"Tier 2")</f>
        <v>Tier 2</v>
      </c>
      <c r="C442" s="368" t="str">
        <f>IFERROR(__xludf.DUMMYFUNCTION("""COMPUTED_VALUE"""),"Arabian Business")</f>
        <v>Arabian Business</v>
      </c>
      <c r="D442" s="368" t="str">
        <f>IFERROR(__xludf.DUMMYFUNCTION("""COMPUTED_VALUE"""),"Dubai real estate: How much property does $1 million buy?")</f>
        <v>Dubai real estate: How much property does $1 million buy?</v>
      </c>
      <c r="E442" s="507" t="str">
        <f>IFERROR(__xludf.DUMMYFUNCTION("""COMPUTED_VALUE"""),"https://www.arabianbusiness.com/industries/real-estate/dubai-real-estate-how-much-property-does-1-million-buy")</f>
        <v>https://www.arabianbusiness.com/industries/real-estate/dubai-real-estate-how-much-property-does-1-million-buy</v>
      </c>
      <c r="F442" s="368" t="str">
        <f>IFERROR(__xludf.DUMMYFUNCTION("""COMPUTED_VALUE"""),"Betterhomes")</f>
        <v>Betterhomes</v>
      </c>
    </row>
    <row r="443">
      <c r="A443" s="402">
        <f>IFERROR(__xludf.DUMMYFUNCTION("""COMPUTED_VALUE"""),45190.0)</f>
        <v>45190</v>
      </c>
      <c r="B443" s="368" t="str">
        <f>IFERROR(__xludf.DUMMYFUNCTION("""COMPUTED_VALUE"""),"Tier 2")</f>
        <v>Tier 2</v>
      </c>
      <c r="C443" s="368" t="str">
        <f>IFERROR(__xludf.DUMMYFUNCTION("""COMPUTED_VALUE"""),"Khaleej Times")</f>
        <v>Khaleej Times</v>
      </c>
      <c r="D443" s="368" t="str">
        <f>IFERROR(__xludf.DUMMYFUNCTION("""COMPUTED_VALUE"""),"Why Property Buyers Pay Up To 7% Extra Of Total Value?")</f>
        <v>Why Property Buyers Pay Up To 7% Extra Of Total Value?</v>
      </c>
      <c r="E443" s="507" t="str">
        <f>IFERROR(__xludf.DUMMYFUNCTION("""COMPUTED_VALUE"""),"https://www.khaleejtimes.com/business/why-property-buyers-pay-up-to-7-extra-of-total-value")</f>
        <v>https://www.khaleejtimes.com/business/why-property-buyers-pay-up-to-7-extra-of-total-value</v>
      </c>
      <c r="F443" s="368" t="str">
        <f>IFERROR(__xludf.DUMMYFUNCTION("""COMPUTED_VALUE"""),"Betterhomes")</f>
        <v>Betterhomes</v>
      </c>
    </row>
    <row r="444">
      <c r="A444" s="402">
        <f>IFERROR(__xludf.DUMMYFUNCTION("""COMPUTED_VALUE"""),45191.0)</f>
        <v>45191</v>
      </c>
      <c r="B444" s="368" t="str">
        <f>IFERROR(__xludf.DUMMYFUNCTION("""COMPUTED_VALUE"""),"Tier 3")</f>
        <v>Tier 3</v>
      </c>
      <c r="C444" s="368" t="str">
        <f>IFERROR(__xludf.DUMMYFUNCTION("""COMPUTED_VALUE"""),"WAM (China)")</f>
        <v>WAM (China)</v>
      </c>
      <c r="D444" s="368" t="str">
        <f>IFERROR(__xludf.DUMMYFUNCTION("""COMPUTED_VALUE"""),"Dubai real estate market booms as people queue up to buy luxury properties")</f>
        <v>Dubai real estate market booms as people queue up to buy luxury properties</v>
      </c>
      <c r="E444" s="507" t="str">
        <f>IFERROR(__xludf.DUMMYFUNCTION("""COMPUTED_VALUE"""),"https://www.wam.ae/zh-CN/details/1395303200431")</f>
        <v>https://www.wam.ae/zh-CN/details/1395303200431</v>
      </c>
      <c r="F444" s="368" t="str">
        <f>IFERROR(__xludf.DUMMYFUNCTION("""COMPUTED_VALUE"""),"Betterhomes")</f>
        <v>Betterhomes</v>
      </c>
    </row>
    <row r="445">
      <c r="A445" s="402">
        <f>IFERROR(__xludf.DUMMYFUNCTION("""COMPUTED_VALUE"""),45192.0)</f>
        <v>45192</v>
      </c>
      <c r="B445" s="368" t="str">
        <f>IFERROR(__xludf.DUMMYFUNCTION("""COMPUTED_VALUE"""),"Tier 3")</f>
        <v>Tier 3</v>
      </c>
      <c r="C445" s="368" t="str">
        <f>IFERROR(__xludf.DUMMYFUNCTION("""COMPUTED_VALUE"""),"Vietnam Net (Vietnam)")</f>
        <v>Vietnam Net (Vietnam)</v>
      </c>
      <c r="D445" s="368" t="str">
        <f>IFERROR(__xludf.DUMMYFUNCTION("""COMPUTED_VALUE"""),"Rich people camp overnight waiting to buy artificial island villas in Dubai")</f>
        <v>Rich people camp overnight waiting to buy artificial island villas in Dubai</v>
      </c>
      <c r="E445" s="507" t="str">
        <f>IFERROR(__xludf.DUMMYFUNCTION("""COMPUTED_VALUE"""),"https://vietnamnet.vn/cam-trai-xuyen-dem-xep-hang-tu-3h-sang-cho-mua-biet-thu-dao-o-dubai-2193119.html")</f>
        <v>https://vietnamnet.vn/cam-trai-xuyen-dem-xep-hang-tu-3h-sang-cho-mua-biet-thu-dao-o-dubai-2193119.html</v>
      </c>
      <c r="F445" s="368" t="str">
        <f>IFERROR(__xludf.DUMMYFUNCTION("""COMPUTED_VALUE"""),"Betterhomes")</f>
        <v>Betterhomes</v>
      </c>
    </row>
    <row r="446">
      <c r="A446" s="402">
        <f>IFERROR(__xludf.DUMMYFUNCTION("""COMPUTED_VALUE"""),45192.0)</f>
        <v>45192</v>
      </c>
      <c r="B446" s="368" t="str">
        <f>IFERROR(__xludf.DUMMYFUNCTION("""COMPUTED_VALUE"""),"Tier 3")</f>
        <v>Tier 3</v>
      </c>
      <c r="C446" s="368" t="str">
        <f>IFERROR(__xludf.DUMMYFUNCTION("""COMPUTED_VALUE"""),"WAM (Turkish)")</f>
        <v>WAM (Turkish)</v>
      </c>
      <c r="D446" s="368" t="str">
        <f>IFERROR(__xludf.DUMMYFUNCTION("""COMPUTED_VALUE"""),"How is Dubai managing real estate growth?")</f>
        <v>How is Dubai managing real estate growth?</v>
      </c>
      <c r="E446" s="507" t="str">
        <f>IFERROR(__xludf.DUMMYFUNCTION("""COMPUTED_VALUE"""),"https://wam.ae/tr/details/1395303201169")</f>
        <v>https://wam.ae/tr/details/1395303201169</v>
      </c>
      <c r="F446" s="368" t="str">
        <f>IFERROR(__xludf.DUMMYFUNCTION("""COMPUTED_VALUE"""),"Betterhomes")</f>
        <v>Betterhomes</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C16"/>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E153"/>
    <hyperlink r:id="rId152" ref="E154"/>
    <hyperlink r:id="rId153" ref="E155"/>
    <hyperlink r:id="rId154" ref="E156"/>
    <hyperlink r:id="rId155" ref="E157"/>
    <hyperlink r:id="rId156" ref="E158"/>
    <hyperlink r:id="rId157" ref="E159"/>
    <hyperlink r:id="rId158" ref="E160"/>
    <hyperlink r:id="rId159" ref="E161"/>
    <hyperlink r:id="rId160" ref="E162"/>
    <hyperlink r:id="rId161" ref="E163"/>
    <hyperlink r:id="rId162" ref="E164"/>
    <hyperlink r:id="rId163" ref="E165"/>
    <hyperlink r:id="rId164" ref="E166"/>
    <hyperlink r:id="rId165" ref="E167"/>
    <hyperlink r:id="rId166" ref="E168"/>
    <hyperlink r:id="rId167" ref="E169"/>
    <hyperlink r:id="rId168" ref="E170"/>
    <hyperlink r:id="rId169" ref="E171"/>
    <hyperlink r:id="rId170" ref="E172"/>
    <hyperlink r:id="rId171" ref="E173"/>
    <hyperlink r:id="rId172" ref="E174"/>
    <hyperlink r:id="rId173" ref="E175"/>
    <hyperlink r:id="rId174" ref="E176"/>
    <hyperlink r:id="rId175" ref="E177"/>
    <hyperlink r:id="rId176" ref="E178"/>
    <hyperlink r:id="rId177" ref="E179"/>
    <hyperlink r:id="rId178" ref="E180"/>
    <hyperlink r:id="rId179" ref="E181"/>
    <hyperlink r:id="rId180" ref="E182"/>
    <hyperlink r:id="rId181" ref="E183"/>
    <hyperlink r:id="rId182" ref="E184"/>
    <hyperlink r:id="rId183" ref="E185"/>
    <hyperlink r:id="rId184" ref="E186"/>
    <hyperlink r:id="rId185" ref="E187"/>
    <hyperlink r:id="rId186" ref="E188"/>
    <hyperlink r:id="rId187" ref="E189"/>
    <hyperlink r:id="rId188" ref="E190"/>
    <hyperlink r:id="rId189" ref="E191"/>
    <hyperlink r:id="rId190" ref="E192"/>
    <hyperlink r:id="rId191" ref="E193"/>
    <hyperlink r:id="rId192" ref="E194"/>
    <hyperlink r:id="rId193" ref="E195"/>
    <hyperlink r:id="rId194" ref="E196"/>
    <hyperlink r:id="rId195" ref="E197"/>
    <hyperlink r:id="rId196" ref="E198"/>
    <hyperlink r:id="rId197" ref="E199"/>
    <hyperlink r:id="rId198" ref="E200"/>
    <hyperlink r:id="rId199" ref="E201"/>
    <hyperlink r:id="rId200" ref="E202"/>
    <hyperlink r:id="rId201" ref="E203"/>
    <hyperlink r:id="rId202" ref="E204"/>
    <hyperlink r:id="rId203" ref="E205"/>
    <hyperlink r:id="rId204" ref="E206"/>
    <hyperlink r:id="rId205" ref="E207"/>
    <hyperlink r:id="rId206" ref="E208"/>
    <hyperlink r:id="rId207" ref="E209"/>
    <hyperlink r:id="rId208" ref="E210"/>
    <hyperlink r:id="rId209" ref="E211"/>
    <hyperlink r:id="rId210" ref="E212"/>
    <hyperlink r:id="rId211" ref="E213"/>
    <hyperlink r:id="rId212" ref="E214"/>
    <hyperlink r:id="rId213" ref="E215"/>
    <hyperlink r:id="rId214" ref="E216"/>
    <hyperlink r:id="rId215" ref="E217"/>
    <hyperlink r:id="rId216" ref="E218"/>
    <hyperlink r:id="rId217" ref="E219"/>
    <hyperlink r:id="rId218" ref="E220"/>
    <hyperlink r:id="rId219" ref="E221"/>
    <hyperlink r:id="rId220" ref="E222"/>
    <hyperlink r:id="rId221" ref="E223"/>
    <hyperlink r:id="rId222" ref="E224"/>
    <hyperlink r:id="rId223" ref="E225"/>
    <hyperlink r:id="rId224" ref="E226"/>
    <hyperlink r:id="rId225" ref="E227"/>
    <hyperlink r:id="rId226" ref="E228"/>
    <hyperlink r:id="rId227" ref="E229"/>
    <hyperlink r:id="rId228" ref="E230"/>
    <hyperlink r:id="rId229" ref="E231"/>
    <hyperlink r:id="rId230" ref="E232"/>
    <hyperlink r:id="rId231" ref="E233"/>
    <hyperlink r:id="rId232" ref="E234"/>
    <hyperlink r:id="rId233" ref="E235"/>
    <hyperlink r:id="rId234" ref="E236"/>
    <hyperlink r:id="rId235" ref="E237"/>
    <hyperlink r:id="rId236" ref="E238"/>
    <hyperlink r:id="rId237" ref="E239"/>
    <hyperlink r:id="rId238" ref="E240"/>
    <hyperlink r:id="rId239" ref="E241"/>
    <hyperlink r:id="rId240" ref="E242"/>
    <hyperlink r:id="rId241" ref="E243"/>
    <hyperlink r:id="rId242" ref="E244"/>
    <hyperlink r:id="rId243" ref="E245"/>
    <hyperlink r:id="rId244" ref="E246"/>
    <hyperlink r:id="rId245" ref="E247"/>
    <hyperlink r:id="rId246" ref="E248"/>
    <hyperlink r:id="rId247" ref="E249"/>
    <hyperlink r:id="rId248" ref="E250"/>
    <hyperlink r:id="rId249" ref="E251"/>
    <hyperlink r:id="rId250" ref="E252"/>
    <hyperlink r:id="rId251" ref="E253"/>
    <hyperlink r:id="rId252" ref="E254"/>
    <hyperlink r:id="rId253" ref="E255"/>
    <hyperlink r:id="rId254" ref="E256"/>
    <hyperlink r:id="rId255" ref="E257"/>
    <hyperlink r:id="rId256" ref="E258"/>
    <hyperlink r:id="rId257" ref="E259"/>
    <hyperlink r:id="rId258" ref="E260"/>
    <hyperlink r:id="rId259" ref="E261"/>
    <hyperlink r:id="rId260" ref="E262"/>
    <hyperlink r:id="rId261" ref="E263"/>
    <hyperlink r:id="rId262" ref="E264"/>
    <hyperlink r:id="rId263" ref="E265"/>
    <hyperlink r:id="rId264" ref="E266"/>
    <hyperlink r:id="rId265" ref="E267"/>
    <hyperlink r:id="rId266" ref="E268"/>
    <hyperlink r:id="rId267" location=".Y9j7OXZBy5c" ref="E269"/>
    <hyperlink r:id="rId268" ref="E270"/>
    <hyperlink r:id="rId269" ref="E271"/>
    <hyperlink r:id="rId270" ref="E272"/>
    <hyperlink r:id="rId271" ref="E273"/>
    <hyperlink r:id="rId272" ref="E274"/>
    <hyperlink r:id="rId273" ref="E275"/>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6"/>
    <hyperlink r:id="rId305" ref="E307"/>
    <hyperlink r:id="rId306" ref="E308"/>
    <hyperlink r:id="rId307" ref="E309"/>
    <hyperlink r:id="rId308" ref="E310"/>
    <hyperlink r:id="rId309" ref="E311"/>
    <hyperlink r:id="rId310" ref="E312"/>
    <hyperlink r:id="rId311" ref="E313"/>
    <hyperlink r:id="rId312" ref="E314"/>
    <hyperlink r:id="rId313" ref="E315"/>
    <hyperlink r:id="rId314" ref="E316"/>
    <hyperlink r:id="rId315" ref="E317"/>
    <hyperlink r:id="rId316" ref="E318"/>
    <hyperlink r:id="rId317" ref="E319"/>
    <hyperlink r:id="rId318" ref="E320"/>
    <hyperlink r:id="rId319" ref="E321"/>
    <hyperlink r:id="rId320" ref="E322"/>
    <hyperlink r:id="rId321" ref="E323"/>
    <hyperlink r:id="rId322" ref="E324"/>
    <hyperlink r:id="rId323" ref="E325"/>
    <hyperlink r:id="rId324" ref="E326"/>
    <hyperlink r:id="rId325" ref="E327"/>
    <hyperlink r:id="rId326" ref="E328"/>
    <hyperlink r:id="rId327" ref="E329"/>
    <hyperlink r:id="rId328" ref="E330"/>
    <hyperlink r:id="rId329" location="xj4y7vzkg" ref="E331"/>
    <hyperlink r:id="rId330" ref="E332"/>
    <hyperlink r:id="rId331" ref="E333"/>
    <hyperlink r:id="rId332" ref="E334"/>
    <hyperlink r:id="rId333" ref="E335"/>
    <hyperlink r:id="rId334" ref="E336"/>
    <hyperlink r:id="rId335" ref="E337"/>
    <hyperlink r:id="rId336" ref="E338"/>
    <hyperlink r:id="rId337" ref="E339"/>
    <hyperlink r:id="rId338" ref="E340"/>
    <hyperlink r:id="rId339" ref="E341"/>
    <hyperlink r:id="rId340" ref="E342"/>
    <hyperlink r:id="rId341" ref="E343"/>
    <hyperlink r:id="rId342" ref="E344"/>
    <hyperlink r:id="rId343" ref="E345"/>
    <hyperlink r:id="rId344" ref="E346"/>
    <hyperlink r:id="rId345" ref="E347"/>
    <hyperlink r:id="rId346" ref="E348"/>
    <hyperlink r:id="rId347" ref="E349"/>
    <hyperlink r:id="rId348" ref="E350"/>
    <hyperlink r:id="rId349" ref="E351"/>
    <hyperlink r:id="rId350" ref="E352"/>
    <hyperlink r:id="rId351" ref="E353"/>
    <hyperlink r:id="rId352" ref="E354"/>
    <hyperlink r:id="rId353" ref="E355"/>
    <hyperlink r:id="rId354" ref="E356"/>
    <hyperlink r:id="rId355" ref="E357"/>
    <hyperlink r:id="rId356" ref="E358"/>
    <hyperlink r:id="rId357" ref="E359"/>
    <hyperlink r:id="rId358" ref="E360"/>
    <hyperlink r:id="rId359" ref="E361"/>
    <hyperlink r:id="rId360" ref="E362"/>
    <hyperlink r:id="rId361" ref="E363"/>
    <hyperlink r:id="rId362" ref="E364"/>
    <hyperlink r:id="rId363" ref="E365"/>
    <hyperlink r:id="rId364" ref="E366"/>
    <hyperlink r:id="rId365" ref="E367"/>
    <hyperlink r:id="rId366" ref="E368"/>
    <hyperlink r:id="rId367" ref="E369"/>
    <hyperlink r:id="rId368" ref="E370"/>
    <hyperlink r:id="rId369" ref="E371"/>
    <hyperlink r:id="rId370" ref="E372"/>
    <hyperlink r:id="rId371" ref="E373"/>
    <hyperlink r:id="rId372" ref="E374"/>
    <hyperlink r:id="rId373" ref="E375"/>
    <hyperlink r:id="rId374" ref="E376"/>
    <hyperlink r:id="rId375" ref="E377"/>
    <hyperlink r:id="rId376" ref="E378"/>
    <hyperlink r:id="rId377" location=":~:text=a%20broad%20basis.%E2%80%9D-,More%20Risk,to%20sell%20ahead%20of%20construction." ref="E379"/>
    <hyperlink r:id="rId378" ref="E380"/>
    <hyperlink r:id="rId379" ref="E381"/>
    <hyperlink r:id="rId380" ref="E382"/>
    <hyperlink r:id="rId381" ref="E383"/>
    <hyperlink r:id="rId382" ref="E384"/>
    <hyperlink r:id="rId383" ref="E385"/>
    <hyperlink r:id="rId384" ref="E386"/>
    <hyperlink r:id="rId385" ref="E387"/>
    <hyperlink r:id="rId386" ref="E388"/>
    <hyperlink r:id="rId387" ref="E389"/>
    <hyperlink r:id="rId388" ref="E390"/>
    <hyperlink r:id="rId389" ref="E391"/>
    <hyperlink r:id="rId390" ref="E392"/>
    <hyperlink r:id="rId391" ref="E393"/>
    <hyperlink r:id="rId392" ref="E394"/>
    <hyperlink r:id="rId393" ref="E395"/>
    <hyperlink r:id="rId394" ref="E396"/>
    <hyperlink r:id="rId395" ref="E397"/>
    <hyperlink r:id="rId396" ref="E398"/>
    <hyperlink r:id="rId397" ref="E399"/>
    <hyperlink r:id="rId398" ref="E400"/>
    <hyperlink r:id="rId399" ref="E401"/>
    <hyperlink r:id="rId400" ref="E402"/>
    <hyperlink r:id="rId401" ref="E403"/>
    <hyperlink r:id="rId402" ref="E404"/>
    <hyperlink r:id="rId403" ref="E405"/>
    <hyperlink r:id="rId404" ref="E406"/>
    <hyperlink r:id="rId405" ref="E407"/>
    <hyperlink r:id="rId406" ref="E408"/>
    <hyperlink r:id="rId407" ref="E409"/>
    <hyperlink r:id="rId408" ref="E410"/>
    <hyperlink r:id="rId409" ref="E411"/>
    <hyperlink r:id="rId410" ref="E412"/>
    <hyperlink r:id="rId411" ref="E413"/>
    <hyperlink r:id="rId412" ref="E414"/>
    <hyperlink r:id="rId413" ref="E415"/>
    <hyperlink r:id="rId414" ref="E416"/>
    <hyperlink r:id="rId415" ref="E417"/>
    <hyperlink r:id="rId416" ref="E418"/>
    <hyperlink r:id="rId417" ref="E419"/>
    <hyperlink r:id="rId418" ref="E420"/>
    <hyperlink r:id="rId419" ref="E421"/>
    <hyperlink r:id="rId420" ref="E422"/>
    <hyperlink r:id="rId421" ref="E423"/>
    <hyperlink r:id="rId422" ref="E424"/>
    <hyperlink r:id="rId423" location=":~:text=Unlike%20off%2Dplan%20investments%2C%20ready,in%20the%20completion%20of%20construction." ref="E425"/>
    <hyperlink r:id="rId424" ref="E426"/>
    <hyperlink r:id="rId425" ref="E427"/>
    <hyperlink r:id="rId426" ref="E428"/>
    <hyperlink r:id="rId427" ref="E429"/>
    <hyperlink r:id="rId428" ref="E430"/>
    <hyperlink r:id="rId429" ref="E431"/>
    <hyperlink r:id="rId430" ref="E432"/>
    <hyperlink r:id="rId431" ref="E433"/>
    <hyperlink r:id="rId432" ref="E434"/>
    <hyperlink r:id="rId433" ref="E435"/>
    <hyperlink r:id="rId434" ref="E436"/>
    <hyperlink r:id="rId435" ref="E437"/>
    <hyperlink r:id="rId436" ref="E438"/>
    <hyperlink r:id="rId437" ref="E439"/>
    <hyperlink r:id="rId438" ref="E440"/>
    <hyperlink r:id="rId439" ref="E441"/>
    <hyperlink r:id="rId440" ref="E442"/>
    <hyperlink r:id="rId441" ref="E443"/>
    <hyperlink r:id="rId442" ref="E444"/>
    <hyperlink r:id="rId443" ref="E445"/>
    <hyperlink r:id="rId444" ref="E446"/>
  </hyperlinks>
  <drawing r:id="rId44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c r="C1" s="3">
        <v>2020.0</v>
      </c>
      <c r="D1" s="3">
        <f t="shared" ref="D1:F1" si="1">C1+1</f>
        <v>2021</v>
      </c>
      <c r="E1" s="3">
        <f t="shared" si="1"/>
        <v>2022</v>
      </c>
      <c r="F1" s="3">
        <f t="shared" si="1"/>
        <v>2023</v>
      </c>
    </row>
    <row r="2">
      <c r="A2" s="3">
        <v>1.0</v>
      </c>
      <c r="B2" s="3" t="s">
        <v>2734</v>
      </c>
      <c r="C2" s="368">
        <f>IFERROR(__xludf.DUMMYFUNCTION("QUERY(Concat!$A:$F,""SELECT COUNT(E) WHERE A &gt;= date '""&amp;TEXT(DATEVALUE(DATE(C$1,$A2,1)),""yyyy-mm-dd"")&amp;""' AND A &lt; date '""&amp;TEXT(DATEVALUE(EDATE(DATE(C$1,$A2,1),1)),""yyyy-mm-dd"")&amp;""' LABEL COUNT(E) '' "", 0)"),1.0)</f>
        <v>1</v>
      </c>
      <c r="D2" s="368" t="str">
        <f>IFERROR(__xludf.DUMMYFUNCTION("QUERY(Concat!$A:$F,""SELECT COUNT(E) WHERE A &gt;= date '""&amp;TEXT(DATEVALUE(DATE(D$1,$A2,1)),""yyyy-mm-dd"")&amp;""' AND A &lt; date '""&amp;TEXT(DATEVALUE(EDATE(DATE(D$1,$A2,1),1)),""yyyy-mm-dd"")&amp;""' LABEL COUNT(E) '' "", 0)"),"#N/A")</f>
        <v>#N/A</v>
      </c>
      <c r="E2" s="368" t="str">
        <f>IFERROR(__xludf.DUMMYFUNCTION("QUERY(Concat!$A:$F,""SELECT COUNT(E) WHERE A &gt;= date '""&amp;TEXT(DATEVALUE(DATE(E$1,$A2,1)),""yyyy-mm-dd"")&amp;""' AND A &lt; date '""&amp;TEXT(DATEVALUE(EDATE(DATE(E$1,$A2,1),1)),""yyyy-mm-dd"")&amp;""' LABEL COUNT(E) '' "", 0)"),"#N/A")</f>
        <v>#N/A</v>
      </c>
      <c r="F2" s="368">
        <f>IFERROR(__xludf.DUMMYFUNCTION("QUERY(Concat!$A:$F,""SELECT COUNT(E) WHERE A &gt;= date '""&amp;TEXT(DATEVALUE(DATE(F$1,$A2,1)),""yyyy-mm-dd"")&amp;""' AND A &lt; date '""&amp;TEXT(DATEVALUE(EDATE(DATE(F$1,$A2,1),1)),""yyyy-mm-dd"")&amp;""' LABEL COUNT(E) '' "", 0)"),35.0)</f>
        <v>35</v>
      </c>
    </row>
    <row r="3">
      <c r="A3" s="3">
        <v>2.0</v>
      </c>
      <c r="B3" s="3" t="s">
        <v>2735</v>
      </c>
      <c r="C3" s="368">
        <f>IFERROR(__xludf.DUMMYFUNCTION("QUERY(Concat!$A:$F,""SELECT COUNT(E) WHERE A &gt;= date '""&amp;TEXT(DATEVALUE(DATE(C$1,$A3,1)),""yyyy-mm-dd"")&amp;""' AND A &lt; date '""&amp;TEXT(DATEVALUE(EDATE(DATE(C$1,$A3,1),1)),""yyyy-mm-dd"")&amp;""' LABEL COUNT(E) '' "", 0)"),1.0)</f>
        <v>1</v>
      </c>
      <c r="D3" s="368" t="str">
        <f>IFERROR(__xludf.DUMMYFUNCTION("QUERY(Concat!$A:$F,""SELECT COUNT(E) WHERE A &gt;= date '""&amp;TEXT(DATEVALUE(DATE(D$1,$A3,1)),""yyyy-mm-dd"")&amp;""' AND A &lt; date '""&amp;TEXT(DATEVALUE(EDATE(DATE(D$1,$A3,1),1)),""yyyy-mm-dd"")&amp;""' LABEL COUNT(E) '' "", 0)"),"#N/A")</f>
        <v>#N/A</v>
      </c>
      <c r="E3" s="368" t="str">
        <f>IFERROR(__xludf.DUMMYFUNCTION("QUERY(Concat!$A:$F,""SELECT COUNT(E) WHERE A &gt;= date '""&amp;TEXT(DATEVALUE(DATE(E$1,$A3,1)),""yyyy-mm-dd"")&amp;""' AND A &lt; date '""&amp;TEXT(DATEVALUE(EDATE(DATE(E$1,$A3,1),1)),""yyyy-mm-dd"")&amp;""' LABEL COUNT(E) '' "", 0)"),"#N/A")</f>
        <v>#N/A</v>
      </c>
      <c r="F3" s="368">
        <f>IFERROR(__xludf.DUMMYFUNCTION("QUERY(Concat!$A:$F,""SELECT COUNT(E) WHERE A &gt;= date '""&amp;TEXT(DATEVALUE(DATE(F$1,$A3,1)),""yyyy-mm-dd"")&amp;""' AND A &lt; date '""&amp;TEXT(DATEVALUE(EDATE(DATE(F$1,$A3,1),1)),""yyyy-mm-dd"")&amp;""' LABEL COUNT(E) '' "", 0)"),27.0)</f>
        <v>27</v>
      </c>
    </row>
    <row r="4">
      <c r="A4" s="3">
        <v>3.0</v>
      </c>
      <c r="B4" s="3" t="s">
        <v>2736</v>
      </c>
      <c r="C4" s="368">
        <f>IFERROR(__xludf.DUMMYFUNCTION("QUERY(Concat!$A:$F,""SELECT COUNT(E) WHERE A &gt;= date '""&amp;TEXT(DATEVALUE(DATE(C$1,$A4,1)),""yyyy-mm-dd"")&amp;""' AND A &lt; date '""&amp;TEXT(DATEVALUE(EDATE(DATE(C$1,$A4,1),1)),""yyyy-mm-dd"")&amp;""' LABEL COUNT(E) '' "", 0)"),2.0)</f>
        <v>2</v>
      </c>
      <c r="D4" s="368" t="str">
        <f>IFERROR(__xludf.DUMMYFUNCTION("QUERY(Concat!$A:$F,""SELECT COUNT(E) WHERE A &gt;= date '""&amp;TEXT(DATEVALUE(DATE(D$1,$A4,1)),""yyyy-mm-dd"")&amp;""' AND A &lt; date '""&amp;TEXT(DATEVALUE(EDATE(DATE(D$1,$A4,1),1)),""yyyy-mm-dd"")&amp;""' LABEL COUNT(E) '' "", 0)"),"#N/A")</f>
        <v>#N/A</v>
      </c>
      <c r="E4" s="368">
        <f>IFERROR(__xludf.DUMMYFUNCTION("QUERY(Concat!$A:$F,""SELECT COUNT(E) WHERE A &gt;= date '""&amp;TEXT(DATEVALUE(DATE(E$1,$A4,1)),""yyyy-mm-dd"")&amp;""' AND A &lt; date '""&amp;TEXT(DATEVALUE(EDATE(DATE(E$1,$A4,1),1)),""yyyy-mm-dd"")&amp;""' LABEL COUNT(E) '' "", 0)"),1.0)</f>
        <v>1</v>
      </c>
      <c r="F4" s="368">
        <f>IFERROR(__xludf.DUMMYFUNCTION("QUERY(Concat!$A:$F,""SELECT COUNT(E) WHERE A &gt;= date '""&amp;TEXT(DATEVALUE(DATE(F$1,$A4,1)),""yyyy-mm-dd"")&amp;""' AND A &lt; date '""&amp;TEXT(DATEVALUE(EDATE(DATE(F$1,$A4,1),1)),""yyyy-mm-dd"")&amp;""' LABEL COUNT(E) '' "", 0)"),23.0)</f>
        <v>23</v>
      </c>
    </row>
    <row r="5">
      <c r="A5" s="3">
        <v>4.0</v>
      </c>
      <c r="B5" s="3" t="s">
        <v>2737</v>
      </c>
      <c r="C5" s="368">
        <f>IFERROR(__xludf.DUMMYFUNCTION("QUERY(Concat!$A:$F,""SELECT COUNT(E) WHERE A &gt;= date '""&amp;TEXT(DATEVALUE(DATE(C$1,$A5,1)),""yyyy-mm-dd"")&amp;""' AND A &lt; date '""&amp;TEXT(DATEVALUE(EDATE(DATE(C$1,$A5,1),1)),""yyyy-mm-dd"")&amp;""' LABEL COUNT(E) '' "", 0)"),2.0)</f>
        <v>2</v>
      </c>
      <c r="D5" s="368">
        <f>IFERROR(__xludf.DUMMYFUNCTION("QUERY(Concat!$A:$F,""SELECT COUNT(E) WHERE A &gt;= date '""&amp;TEXT(DATEVALUE(DATE(D$1,$A5,1)),""yyyy-mm-dd"")&amp;""' AND A &lt; date '""&amp;TEXT(DATEVALUE(EDATE(DATE(D$1,$A5,1),1)),""yyyy-mm-dd"")&amp;""' LABEL COUNT(E) '' "", 0)"),3.0)</f>
        <v>3</v>
      </c>
      <c r="E5" s="368">
        <f>IFERROR(__xludf.DUMMYFUNCTION("QUERY(Concat!$A:$F,""SELECT COUNT(E) WHERE A &gt;= date '""&amp;TEXT(DATEVALUE(DATE(E$1,$A5,1)),""yyyy-mm-dd"")&amp;""' AND A &lt; date '""&amp;TEXT(DATEVALUE(EDATE(DATE(E$1,$A5,1),1)),""yyyy-mm-dd"")&amp;""' LABEL COUNT(E) '' "", 0)"),7.0)</f>
        <v>7</v>
      </c>
      <c r="F5" s="368">
        <f>IFERROR(__xludf.DUMMYFUNCTION("QUERY(Concat!$A:$F,""SELECT COUNT(E) WHERE A &gt;= date '""&amp;TEXT(DATEVALUE(DATE(F$1,$A5,1)),""yyyy-mm-dd"")&amp;""' AND A &lt; date '""&amp;TEXT(DATEVALUE(EDATE(DATE(F$1,$A5,1),1)),""yyyy-mm-dd"")&amp;""' LABEL COUNT(E) '' "", 0)"),16.0)</f>
        <v>16</v>
      </c>
    </row>
    <row r="6">
      <c r="A6" s="3">
        <v>5.0</v>
      </c>
      <c r="B6" s="3" t="s">
        <v>37</v>
      </c>
      <c r="C6" s="368">
        <f>IFERROR(__xludf.DUMMYFUNCTION("QUERY(Concat!$A:$F,""SELECT COUNT(E) WHERE A &gt;= date '""&amp;TEXT(DATEVALUE(DATE(C$1,$A6,1)),""yyyy-mm-dd"")&amp;""' AND A &lt; date '""&amp;TEXT(DATEVALUE(EDATE(DATE(C$1,$A6,1),1)),""yyyy-mm-dd"")&amp;""' LABEL COUNT(E) '' "", 0)"),1.0)</f>
        <v>1</v>
      </c>
      <c r="D6" s="368">
        <f>IFERROR(__xludf.DUMMYFUNCTION("QUERY(Concat!$A:$F,""SELECT COUNT(E) WHERE A &gt;= date '""&amp;TEXT(DATEVALUE(DATE(D$1,$A6,1)),""yyyy-mm-dd"")&amp;""' AND A &lt; date '""&amp;TEXT(DATEVALUE(EDATE(DATE(D$1,$A6,1),1)),""yyyy-mm-dd"")&amp;""' LABEL COUNT(E) '' "", 0)"),1.0)</f>
        <v>1</v>
      </c>
      <c r="E6" s="368">
        <f>IFERROR(__xludf.DUMMYFUNCTION("QUERY(Concat!$A:$F,""SELECT COUNT(E) WHERE A &gt;= date '""&amp;TEXT(DATEVALUE(DATE(E$1,$A6,1)),""yyyy-mm-dd"")&amp;""' AND A &lt; date '""&amp;TEXT(DATEVALUE(EDATE(DATE(E$1,$A6,1),1)),""yyyy-mm-dd"")&amp;""' LABEL COUNT(E) '' "", 0)"),17.0)</f>
        <v>17</v>
      </c>
      <c r="F6" s="368">
        <f>IFERROR(__xludf.DUMMYFUNCTION("QUERY(Concat!$A:$F,""SELECT COUNT(E) WHERE A &gt;= date '""&amp;TEXT(DATEVALUE(DATE(F$1,$A6,1)),""yyyy-mm-dd"")&amp;""' AND A &lt; date '""&amp;TEXT(DATEVALUE(EDATE(DATE(F$1,$A6,1),1)),""yyyy-mm-dd"")&amp;""' LABEL COUNT(E) '' "", 0)"),16.0)</f>
        <v>16</v>
      </c>
    </row>
    <row r="7">
      <c r="A7" s="3">
        <v>6.0</v>
      </c>
      <c r="B7" s="3" t="s">
        <v>2738</v>
      </c>
      <c r="C7" s="368">
        <f>IFERROR(__xludf.DUMMYFUNCTION("QUERY(Concat!$A:$F,""SELECT COUNT(E) WHERE A &gt;= date '""&amp;TEXT(DATEVALUE(DATE(C$1,$A7,1)),""yyyy-mm-dd"")&amp;""' AND A &lt; date '""&amp;TEXT(DATEVALUE(EDATE(DATE(C$1,$A7,1),1)),""yyyy-mm-dd"")&amp;""' LABEL COUNT(E) '' "", 0)"),1.0)</f>
        <v>1</v>
      </c>
      <c r="D7" s="368" t="str">
        <f>IFERROR(__xludf.DUMMYFUNCTION("QUERY(Concat!$A:$F,""SELECT COUNT(E) WHERE A &gt;= date '""&amp;TEXT(DATEVALUE(DATE(D$1,$A7,1)),""yyyy-mm-dd"")&amp;""' AND A &lt; date '""&amp;TEXT(DATEVALUE(EDATE(DATE(D$1,$A7,1),1)),""yyyy-mm-dd"")&amp;""' LABEL COUNT(E) '' "", 0)"),"#N/A")</f>
        <v>#N/A</v>
      </c>
      <c r="E7" s="368">
        <f>IFERROR(__xludf.DUMMYFUNCTION("QUERY(Concat!$A:$F,""SELECT COUNT(E) WHERE A &gt;= date '""&amp;TEXT(DATEVALUE(DATE(E$1,$A7,1)),""yyyy-mm-dd"")&amp;""' AND A &lt; date '""&amp;TEXT(DATEVALUE(EDATE(DATE(E$1,$A7,1),1)),""yyyy-mm-dd"")&amp;""' LABEL COUNT(E) '' "", 0)"),12.0)</f>
        <v>12</v>
      </c>
      <c r="F7" s="368">
        <f>IFERROR(__xludf.DUMMYFUNCTION("QUERY(Concat!$A:$F,""SELECT COUNT(E) WHERE A &gt;= date '""&amp;TEXT(DATEVALUE(DATE(F$1,$A7,1)),""yyyy-mm-dd"")&amp;""' AND A &lt; date '""&amp;TEXT(DATEVALUE(EDATE(DATE(F$1,$A7,1),1)),""yyyy-mm-dd"")&amp;""' LABEL COUNT(E) '' "", 0)"),29.0)</f>
        <v>29</v>
      </c>
    </row>
    <row r="8">
      <c r="A8" s="3">
        <v>7.0</v>
      </c>
      <c r="B8" s="3" t="s">
        <v>2739</v>
      </c>
      <c r="C8" s="368">
        <f>IFERROR(__xludf.DUMMYFUNCTION("QUERY(Concat!$A:$F,""SELECT COUNT(E) WHERE A &gt;= date '""&amp;TEXT(DATEVALUE(DATE(C$1,$A8,1)),""yyyy-mm-dd"")&amp;""' AND A &lt; date '""&amp;TEXT(DATEVALUE(EDATE(DATE(C$1,$A8,1),1)),""yyyy-mm-dd"")&amp;""' LABEL COUNT(E) '' "", 0)"),1.0)</f>
        <v>1</v>
      </c>
      <c r="D8" s="368" t="str">
        <f>IFERROR(__xludf.DUMMYFUNCTION("QUERY(Concat!$A:$F,""SELECT COUNT(E) WHERE A &gt;= date '""&amp;TEXT(DATEVALUE(DATE(D$1,$A8,1)),""yyyy-mm-dd"")&amp;""' AND A &lt; date '""&amp;TEXT(DATEVALUE(EDATE(DATE(D$1,$A8,1),1)),""yyyy-mm-dd"")&amp;""' LABEL COUNT(E) '' "", 0)"),"#N/A")</f>
        <v>#N/A</v>
      </c>
      <c r="E8" s="368">
        <f>IFERROR(__xludf.DUMMYFUNCTION("QUERY(Concat!$A:$F,""SELECT COUNT(E) WHERE A &gt;= date '""&amp;TEXT(DATEVALUE(DATE(E$1,$A8,1)),""yyyy-mm-dd"")&amp;""' AND A &lt; date '""&amp;TEXT(DATEVALUE(EDATE(DATE(E$1,$A8,1),1)),""yyyy-mm-dd"")&amp;""' LABEL COUNT(E) '' "", 0)"),25.0)</f>
        <v>25</v>
      </c>
      <c r="F8" s="368">
        <f>IFERROR(__xludf.DUMMYFUNCTION("QUERY(Concat!$A:$F,""SELECT COUNT(E) WHERE A &gt;= date '""&amp;TEXT(DATEVALUE(DATE(F$1,$A8,1)),""yyyy-mm-dd"")&amp;""' AND A &lt; date '""&amp;TEXT(DATEVALUE(EDATE(DATE(F$1,$A8,1),1)),""yyyy-mm-dd"")&amp;""' LABEL COUNT(E) '' "", 0)"),32.0)</f>
        <v>32</v>
      </c>
    </row>
    <row r="9">
      <c r="A9" s="3">
        <v>8.0</v>
      </c>
      <c r="B9" s="3" t="s">
        <v>2740</v>
      </c>
      <c r="C9" s="368" t="str">
        <f>IFERROR(__xludf.DUMMYFUNCTION("QUERY(Concat!$A:$F,""SELECT COUNT(E) WHERE A &gt;= date '""&amp;TEXT(DATEVALUE(DATE(C$1,$A9,1)),""yyyy-mm-dd"")&amp;""' AND A &lt; date '""&amp;TEXT(DATEVALUE(EDATE(DATE(C$1,$A9,1),1)),""yyyy-mm-dd"")&amp;""' LABEL COUNT(E) '' "", 0)"),"#N/A")</f>
        <v>#N/A</v>
      </c>
      <c r="D9" s="368">
        <f>IFERROR(__xludf.DUMMYFUNCTION("QUERY(Concat!$A:$F,""SELECT COUNT(E) WHERE A &gt;= date '""&amp;TEXT(DATEVALUE(DATE(D$1,$A9,1)),""yyyy-mm-dd"")&amp;""' AND A &lt; date '""&amp;TEXT(DATEVALUE(EDATE(DATE(D$1,$A9,1),1)),""yyyy-mm-dd"")&amp;""' LABEL COUNT(E) '' "", 0)"),3.0)</f>
        <v>3</v>
      </c>
      <c r="E9" s="368">
        <f>IFERROR(__xludf.DUMMYFUNCTION("QUERY(Concat!$A:$F,""SELECT COUNT(E) WHERE A &gt;= date '""&amp;TEXT(DATEVALUE(DATE(E$1,$A9,1)),""yyyy-mm-dd"")&amp;""' AND A &lt; date '""&amp;TEXT(DATEVALUE(EDATE(DATE(E$1,$A9,1),1)),""yyyy-mm-dd"")&amp;""' LABEL COUNT(E) '' "", 0)"),46.0)</f>
        <v>46</v>
      </c>
      <c r="F9" s="368">
        <f>IFERROR(__xludf.DUMMYFUNCTION("QUERY(Concat!$A:$F,""SELECT COUNT(E) WHERE A &gt;= date '""&amp;TEXT(DATEVALUE(DATE(F$1,$A9,1)),""yyyy-mm-dd"")&amp;""' AND A &lt; date '""&amp;TEXT(DATEVALUE(EDATE(DATE(F$1,$A9,1),1)),""yyyy-mm-dd"")&amp;""' LABEL COUNT(E) '' "", 0)"),13.0)</f>
        <v>13</v>
      </c>
    </row>
    <row r="10">
      <c r="A10" s="3">
        <v>9.0</v>
      </c>
      <c r="B10" s="3" t="s">
        <v>2741</v>
      </c>
      <c r="C10" s="368">
        <f>IFERROR(__xludf.DUMMYFUNCTION("QUERY(Concat!$A:$F,""SELECT COUNT(E) WHERE A &gt;= date '""&amp;TEXT(DATEVALUE(DATE(C$1,$A10,1)),""yyyy-mm-dd"")&amp;""' AND A &lt; date '""&amp;TEXT(DATEVALUE(EDATE(DATE(C$1,$A10,1),1)),""yyyy-mm-dd"")&amp;""' LABEL COUNT(E) '' "", 0)"),2.0)</f>
        <v>2</v>
      </c>
      <c r="D10" s="368" t="str">
        <f>IFERROR(__xludf.DUMMYFUNCTION("QUERY(Concat!$A:$F,""SELECT COUNT(E) WHERE A &gt;= date '""&amp;TEXT(DATEVALUE(DATE(D$1,$A10,1)),""yyyy-mm-dd"")&amp;""' AND A &lt; date '""&amp;TEXT(DATEVALUE(EDATE(DATE(D$1,$A10,1),1)),""yyyy-mm-dd"")&amp;""' LABEL COUNT(E) '' "", 0)"),"#N/A")</f>
        <v>#N/A</v>
      </c>
      <c r="E10" s="368">
        <f>IFERROR(__xludf.DUMMYFUNCTION("QUERY(Concat!$A:$F,""SELECT COUNT(E) WHERE A &gt;= date '""&amp;TEXT(DATEVALUE(DATE(E$1,$A10,1)),""yyyy-mm-dd"")&amp;""' AND A &lt; date '""&amp;TEXT(DATEVALUE(EDATE(DATE(E$1,$A10,1),1)),""yyyy-mm-dd"")&amp;""' LABEL COUNT(E) '' "", 0)"),18.0)</f>
        <v>18</v>
      </c>
      <c r="F10" s="368">
        <f>IFERROR(__xludf.DUMMYFUNCTION("QUERY(Concat!$A:$F,""SELECT COUNT(E) WHERE A &gt;= date '""&amp;TEXT(DATEVALUE(DATE(F$1,$A10,1)),""yyyy-mm-dd"")&amp;""' AND A &lt; date '""&amp;TEXT(DATEVALUE(EDATE(DATE(F$1,$A10,1),1)),""yyyy-mm-dd"")&amp;""' LABEL COUNT(E) '' "", 0)"),11.0)</f>
        <v>11</v>
      </c>
    </row>
    <row r="11">
      <c r="A11" s="3">
        <v>10.0</v>
      </c>
      <c r="B11" s="3" t="s">
        <v>2742</v>
      </c>
      <c r="C11" s="368">
        <f>IFERROR(__xludf.DUMMYFUNCTION("QUERY(Concat!$A:$F,""SELECT COUNT(E) WHERE A &gt;= date '""&amp;TEXT(DATEVALUE(DATE(C$1,$A11,1)),""yyyy-mm-dd"")&amp;""' AND A &lt; date '""&amp;TEXT(DATEVALUE(EDATE(DATE(C$1,$A11,1),1)),""yyyy-mm-dd"")&amp;""' LABEL COUNT(E) '' "", 0)"),2.0)</f>
        <v>2</v>
      </c>
      <c r="D11" s="368">
        <f>IFERROR(__xludf.DUMMYFUNCTION("QUERY(Concat!$A:$F,""SELECT COUNT(E) WHERE A &gt;= date '""&amp;TEXT(DATEVALUE(DATE(D$1,$A11,1)),""yyyy-mm-dd"")&amp;""' AND A &lt; date '""&amp;TEXT(DATEVALUE(EDATE(DATE(D$1,$A11,1),1)),""yyyy-mm-dd"")&amp;""' LABEL COUNT(E) '' "", 0)"),12.0)</f>
        <v>12</v>
      </c>
      <c r="E11" s="368">
        <f>IFERROR(__xludf.DUMMYFUNCTION("QUERY(Concat!$A:$F,""SELECT COUNT(E) WHERE A &gt;= date '""&amp;TEXT(DATEVALUE(DATE(E$1,$A11,1)),""yyyy-mm-dd"")&amp;""' AND A &lt; date '""&amp;TEXT(DATEVALUE(EDATE(DATE(E$1,$A11,1),1)),""yyyy-mm-dd"")&amp;""' LABEL COUNT(E) '' "", 0)"),28.0)</f>
        <v>28</v>
      </c>
      <c r="F11" s="368" t="str">
        <f>IFERROR(__xludf.DUMMYFUNCTION("QUERY(Concat!$A:$F,""SELECT COUNT(E) WHERE A &gt;= date '""&amp;TEXT(DATEVALUE(DATE(F$1,$A11,1)),""yyyy-mm-dd"")&amp;""' AND A &lt; date '""&amp;TEXT(DATEVALUE(EDATE(DATE(F$1,$A11,1),1)),""yyyy-mm-dd"")&amp;""' LABEL COUNT(E) '' "", 0)"),"#N/A")</f>
        <v>#N/A</v>
      </c>
    </row>
    <row r="12">
      <c r="A12" s="3">
        <v>11.0</v>
      </c>
      <c r="B12" s="3" t="s">
        <v>2743</v>
      </c>
      <c r="C12" s="368">
        <f>IFERROR(__xludf.DUMMYFUNCTION("QUERY(Concat!$A:$F,""SELECT COUNT(E) WHERE A &gt;= date '""&amp;TEXT(DATEVALUE(DATE(C$1,$A12,1)),""yyyy-mm-dd"")&amp;""' AND A &lt; date '""&amp;TEXT(DATEVALUE(EDATE(DATE(C$1,$A12,1),1)),""yyyy-mm-dd"")&amp;""' LABEL COUNT(E) '' "", 0)"),1.0)</f>
        <v>1</v>
      </c>
      <c r="D12" s="368">
        <f>IFERROR(__xludf.DUMMYFUNCTION("QUERY(Concat!$A:$F,""SELECT COUNT(E) WHERE A &gt;= date '""&amp;TEXT(DATEVALUE(DATE(D$1,$A12,1)),""yyyy-mm-dd"")&amp;""' AND A &lt; date '""&amp;TEXT(DATEVALUE(EDATE(DATE(D$1,$A12,1),1)),""yyyy-mm-dd"")&amp;""' LABEL COUNT(E) '' "", 0)"),12.0)</f>
        <v>12</v>
      </c>
      <c r="E12" s="368">
        <f>IFERROR(__xludf.DUMMYFUNCTION("QUERY(Concat!$A:$F,""SELECT COUNT(E) WHERE A &gt;= date '""&amp;TEXT(DATEVALUE(DATE(E$1,$A12,1)),""yyyy-mm-dd"")&amp;""' AND A &lt; date '""&amp;TEXT(DATEVALUE(EDATE(DATE(E$1,$A12,1),1)),""yyyy-mm-dd"")&amp;""' LABEL COUNT(E) '' "", 0)"),35.0)</f>
        <v>35</v>
      </c>
      <c r="F12" s="368" t="str">
        <f>IFERROR(__xludf.DUMMYFUNCTION("QUERY(Concat!$A:$F,""SELECT COUNT(E) WHERE A &gt;= date '""&amp;TEXT(DATEVALUE(DATE(F$1,$A12,1)),""yyyy-mm-dd"")&amp;""' AND A &lt; date '""&amp;TEXT(DATEVALUE(EDATE(DATE(F$1,$A12,1),1)),""yyyy-mm-dd"")&amp;""' LABEL COUNT(E) '' "", 0)"),"#N/A")</f>
        <v>#N/A</v>
      </c>
    </row>
    <row r="13">
      <c r="A13" s="3">
        <v>12.0</v>
      </c>
      <c r="B13" s="3" t="s">
        <v>2744</v>
      </c>
      <c r="C13" s="368" t="str">
        <f>IFERROR(__xludf.DUMMYFUNCTION("QUERY(Concat!$A:$F,""SELECT COUNT(E) WHERE A &gt;= date '""&amp;TEXT(DATEVALUE(DATE(C$1,$A13,1)),""yyyy-mm-dd"")&amp;""' AND A &lt; date '""&amp;TEXT(DATEVALUE(EDATE(DATE(C$1,$A13,1),1)),""yyyy-mm-dd"")&amp;""' LABEL COUNT(E) '' "", 0)"),"#N/A")</f>
        <v>#N/A</v>
      </c>
      <c r="D13" s="368" t="str">
        <f>IFERROR(__xludf.DUMMYFUNCTION("QUERY(Concat!$A:$F,""SELECT COUNT(E) WHERE A &gt;= date '""&amp;TEXT(DATEVALUE(DATE(D$1,$A13,1)),""yyyy-mm-dd"")&amp;""' AND A &lt; date '""&amp;TEXT(DATEVALUE(EDATE(DATE(D$1,$A13,1),1)),""yyyy-mm-dd"")&amp;""' LABEL COUNT(E) '' "", 0)"),"#N/A")</f>
        <v>#N/A</v>
      </c>
      <c r="E13" s="368">
        <f>IFERROR(__xludf.DUMMYFUNCTION("QUERY(Concat!$A:$F,""SELECT COUNT(E) WHERE A &gt;= date '""&amp;TEXT(DATEVALUE(DATE(E$1,$A13,1)),""yyyy-mm-dd"")&amp;""' AND A &lt; date '""&amp;TEXT(DATEVALUE(EDATE(DATE(E$1,$A13,1),1)),""yyyy-mm-dd"")&amp;""' LABEL COUNT(E) '' "", 0)"),9.0)</f>
        <v>9</v>
      </c>
      <c r="F13" s="368" t="str">
        <f>IFERROR(__xludf.DUMMYFUNCTION("QUERY(Concat!$A:$F,""SELECT COUNT(E) WHERE A &gt;= date '""&amp;TEXT(DATEVALUE(DATE(F$1,$A13,1)),""yyyy-mm-dd"")&amp;""' AND A &lt; date '""&amp;TEXT(DATEVALUE(EDATE(DATE(F$1,$A13,1),1)),""yyyy-mm-dd"")&amp;""' LABEL COUNT(E) '' "", 0)"),"#N/A")</f>
        <v>#N/A</v>
      </c>
    </row>
    <row r="15">
      <c r="A15" s="31" t="s">
        <v>334</v>
      </c>
      <c r="B15" s="31" t="s">
        <v>2745</v>
      </c>
      <c r="C15" s="31" t="s">
        <v>2746</v>
      </c>
    </row>
    <row r="16">
      <c r="A16" s="508">
        <v>43831.0</v>
      </c>
      <c r="B16" s="368">
        <f>COUNTIFS(Concat!A:A,"&gt;="&amp;A16,Concat!A:A,"&lt;"&amp;A17)</f>
        <v>1</v>
      </c>
    </row>
    <row r="17">
      <c r="A17" s="508">
        <f t="shared" ref="A17:A57" si="2">EDATE(A16,1)</f>
        <v>43862</v>
      </c>
      <c r="B17" s="368">
        <f>COUNTIFS(Concat!A:A,"&gt;="&amp;A17,Concat!A:A,"&lt;"&amp;A18)</f>
        <v>1</v>
      </c>
    </row>
    <row r="18">
      <c r="A18" s="508">
        <f t="shared" si="2"/>
        <v>43891</v>
      </c>
      <c r="B18" s="368">
        <f>COUNTIFS(Concat!A:A,"&gt;="&amp;A18,Concat!A:A,"&lt;"&amp;A19)</f>
        <v>2</v>
      </c>
    </row>
    <row r="19">
      <c r="A19" s="508">
        <f t="shared" si="2"/>
        <v>43922</v>
      </c>
      <c r="B19" s="368">
        <f>COUNTIFS(Concat!A:A,"&gt;="&amp;A19,Concat!A:A,"&lt;"&amp;A20)</f>
        <v>2</v>
      </c>
    </row>
    <row r="20">
      <c r="A20" s="508">
        <f t="shared" si="2"/>
        <v>43952</v>
      </c>
      <c r="B20" s="368">
        <f>COUNTIFS(Concat!A:A,"&gt;="&amp;A20,Concat!A:A,"&lt;"&amp;A21)</f>
        <v>1</v>
      </c>
    </row>
    <row r="21">
      <c r="A21" s="508">
        <f t="shared" si="2"/>
        <v>43983</v>
      </c>
      <c r="B21" s="368">
        <f>COUNTIFS(Concat!A:A,"&gt;="&amp;A21,Concat!A:A,"&lt;"&amp;A22)</f>
        <v>1</v>
      </c>
    </row>
    <row r="22">
      <c r="A22" s="508">
        <f t="shared" si="2"/>
        <v>44013</v>
      </c>
      <c r="B22" s="368">
        <f>COUNTIFS(Concat!A:A,"&gt;="&amp;A22,Concat!A:A,"&lt;"&amp;A23)</f>
        <v>1</v>
      </c>
    </row>
    <row r="23">
      <c r="A23" s="508">
        <f t="shared" si="2"/>
        <v>44044</v>
      </c>
      <c r="B23" s="368">
        <f>COUNTIFS(Concat!A:A,"&gt;="&amp;A23,Concat!A:A,"&lt;"&amp;A24)</f>
        <v>0</v>
      </c>
    </row>
    <row r="24">
      <c r="A24" s="508">
        <f t="shared" si="2"/>
        <v>44075</v>
      </c>
      <c r="B24" s="368">
        <f>COUNTIFS(Concat!A:A,"&gt;="&amp;A24,Concat!A:A,"&lt;"&amp;A25)</f>
        <v>2</v>
      </c>
    </row>
    <row r="25">
      <c r="A25" s="508">
        <f t="shared" si="2"/>
        <v>44105</v>
      </c>
      <c r="B25" s="368">
        <f>COUNTIFS(Concat!A:A,"&gt;="&amp;A25,Concat!A:A,"&lt;"&amp;A26)</f>
        <v>2</v>
      </c>
    </row>
    <row r="26">
      <c r="A26" s="508">
        <f t="shared" si="2"/>
        <v>44136</v>
      </c>
      <c r="B26" s="368">
        <f>COUNTIFS(Concat!A:A,"&gt;="&amp;A26,Concat!A:A,"&lt;"&amp;A27)</f>
        <v>1</v>
      </c>
    </row>
    <row r="27">
      <c r="A27" s="508">
        <f t="shared" si="2"/>
        <v>44166</v>
      </c>
      <c r="B27" s="368">
        <f>COUNTIFS(Concat!A:A,"&gt;="&amp;A27,Concat!A:A,"&lt;"&amp;A28)</f>
        <v>0</v>
      </c>
    </row>
    <row r="28">
      <c r="A28" s="508">
        <f t="shared" si="2"/>
        <v>44197</v>
      </c>
      <c r="B28" s="368">
        <f>COUNTIFS(Concat!A:A,"&gt;="&amp;A28,Concat!A:A,"&lt;"&amp;A29)</f>
        <v>0</v>
      </c>
    </row>
    <row r="29">
      <c r="A29" s="508">
        <f t="shared" si="2"/>
        <v>44228</v>
      </c>
      <c r="B29" s="368">
        <f>COUNTIFS(Concat!A:A,"&gt;="&amp;A29,Concat!A:A,"&lt;"&amp;A30)</f>
        <v>0</v>
      </c>
    </row>
    <row r="30">
      <c r="A30" s="508">
        <f t="shared" si="2"/>
        <v>44256</v>
      </c>
      <c r="B30" s="368">
        <f>COUNTIFS(Concat!A:A,"&gt;="&amp;A30,Concat!A:A,"&lt;"&amp;A31)</f>
        <v>0</v>
      </c>
    </row>
    <row r="31">
      <c r="A31" s="508">
        <f t="shared" si="2"/>
        <v>44287</v>
      </c>
      <c r="B31" s="368">
        <f>COUNTIFS(Concat!A:A,"&gt;="&amp;A31,Concat!A:A,"&lt;"&amp;A32)</f>
        <v>3</v>
      </c>
    </row>
    <row r="32">
      <c r="A32" s="508">
        <f t="shared" si="2"/>
        <v>44317</v>
      </c>
      <c r="B32" s="368">
        <f>COUNTIFS(Concat!A:A,"&gt;="&amp;A32,Concat!A:A,"&lt;"&amp;A33)</f>
        <v>1</v>
      </c>
    </row>
    <row r="33">
      <c r="A33" s="508">
        <f t="shared" si="2"/>
        <v>44348</v>
      </c>
      <c r="B33" s="368">
        <f>COUNTIFS(Concat!A:A,"&gt;="&amp;A33,Concat!A:A,"&lt;"&amp;A34)</f>
        <v>0</v>
      </c>
    </row>
    <row r="34">
      <c r="A34" s="508">
        <f t="shared" si="2"/>
        <v>44378</v>
      </c>
      <c r="B34" s="368">
        <f>COUNTIFS(Concat!A:A,"&gt;="&amp;A34,Concat!A:A,"&lt;"&amp;A35)</f>
        <v>0</v>
      </c>
    </row>
    <row r="35">
      <c r="A35" s="508">
        <f t="shared" si="2"/>
        <v>44409</v>
      </c>
      <c r="B35" s="368">
        <f>COUNTIFS(Concat!A:A,"&gt;="&amp;A35,Concat!A:A,"&lt;"&amp;A36)</f>
        <v>3</v>
      </c>
    </row>
    <row r="36">
      <c r="A36" s="508">
        <f t="shared" si="2"/>
        <v>44440</v>
      </c>
      <c r="B36" s="368">
        <f>COUNTIFS(Concat!A:A,"&gt;="&amp;A36,Concat!A:A,"&lt;"&amp;A37)</f>
        <v>0</v>
      </c>
    </row>
    <row r="37">
      <c r="A37" s="508">
        <f t="shared" si="2"/>
        <v>44470</v>
      </c>
      <c r="B37" s="368">
        <f>COUNTIFS(Concat!A:A,"&gt;="&amp;A37,Concat!A:A,"&lt;"&amp;A38)</f>
        <v>12</v>
      </c>
    </row>
    <row r="38">
      <c r="A38" s="508">
        <f t="shared" si="2"/>
        <v>44501</v>
      </c>
      <c r="B38" s="368">
        <f>COUNTIFS(Concat!A:A,"&gt;="&amp;A38,Concat!A:A,"&lt;"&amp;A39)</f>
        <v>12</v>
      </c>
    </row>
    <row r="39">
      <c r="A39" s="508">
        <f t="shared" si="2"/>
        <v>44531</v>
      </c>
      <c r="B39" s="368">
        <f>COUNTIFS(Concat!A:A,"&gt;="&amp;A39,Concat!A:A,"&lt;"&amp;A40)</f>
        <v>0</v>
      </c>
    </row>
    <row r="40">
      <c r="A40" s="508">
        <f t="shared" si="2"/>
        <v>44562</v>
      </c>
      <c r="B40" s="368">
        <f>COUNTIFS(Concat!A:A,"&gt;="&amp;A40,Concat!A:A,"&lt;"&amp;A41)</f>
        <v>0</v>
      </c>
    </row>
    <row r="41">
      <c r="A41" s="508">
        <f t="shared" si="2"/>
        <v>44593</v>
      </c>
      <c r="B41" s="368">
        <f>COUNTIFS(Concat!A:A,"&gt;="&amp;A41,Concat!A:A,"&lt;"&amp;A42)</f>
        <v>0</v>
      </c>
    </row>
    <row r="42">
      <c r="A42" s="508">
        <f t="shared" si="2"/>
        <v>44621</v>
      </c>
      <c r="B42" s="368">
        <f>COUNTIFS(Concat!A:A,"&gt;="&amp;A42,Concat!A:A,"&lt;"&amp;A43)</f>
        <v>1</v>
      </c>
      <c r="C42" s="3">
        <v>16.0</v>
      </c>
    </row>
    <row r="43">
      <c r="A43" s="508">
        <f t="shared" si="2"/>
        <v>44652</v>
      </c>
      <c r="B43" s="368">
        <f>COUNTIFS(Concat!A:A,"&gt;="&amp;A43,Concat!A:A,"&lt;"&amp;A44)</f>
        <v>7</v>
      </c>
      <c r="C43" s="3">
        <v>16.0</v>
      </c>
    </row>
    <row r="44">
      <c r="A44" s="508">
        <f t="shared" si="2"/>
        <v>44682</v>
      </c>
      <c r="B44" s="368">
        <f>COUNTIFS(Concat!A:A,"&gt;="&amp;A44,Concat!A:A,"&lt;"&amp;A45)</f>
        <v>17</v>
      </c>
      <c r="C44" s="3">
        <v>16.0</v>
      </c>
    </row>
    <row r="45">
      <c r="A45" s="508">
        <f t="shared" si="2"/>
        <v>44713</v>
      </c>
      <c r="B45" s="368">
        <f>COUNTIFS(Concat!A:A,"&gt;="&amp;A45,Concat!A:A,"&lt;"&amp;A46)</f>
        <v>12</v>
      </c>
      <c r="C45" s="3">
        <v>16.0</v>
      </c>
    </row>
    <row r="46">
      <c r="A46" s="508">
        <f t="shared" si="2"/>
        <v>44743</v>
      </c>
      <c r="B46" s="368">
        <f>COUNTIFS(Concat!A:A,"&gt;="&amp;A46,Concat!A:A,"&lt;"&amp;A47)</f>
        <v>25</v>
      </c>
      <c r="C46" s="3">
        <v>16.0</v>
      </c>
    </row>
    <row r="47">
      <c r="A47" s="508">
        <f t="shared" si="2"/>
        <v>44774</v>
      </c>
      <c r="B47" s="368">
        <f>COUNTIFS(Concat!A:A,"&gt;="&amp;A47,Concat!A:A,"&lt;"&amp;A48)</f>
        <v>46</v>
      </c>
      <c r="C47" s="3">
        <v>16.0</v>
      </c>
    </row>
    <row r="48">
      <c r="A48" s="508">
        <f t="shared" si="2"/>
        <v>44805</v>
      </c>
      <c r="B48" s="368">
        <f>COUNTIFS(Concat!A:A,"&gt;="&amp;A48,Concat!A:A,"&lt;"&amp;A49)</f>
        <v>18</v>
      </c>
      <c r="C48" s="3">
        <v>16.0</v>
      </c>
    </row>
    <row r="49">
      <c r="A49" s="508">
        <f t="shared" si="2"/>
        <v>44835</v>
      </c>
      <c r="B49" s="368">
        <f>COUNTIFS(Concat!A:A,"&gt;="&amp;A49,Concat!A:A,"&lt;"&amp;A50)</f>
        <v>28</v>
      </c>
      <c r="C49" s="3">
        <v>16.0</v>
      </c>
    </row>
    <row r="50">
      <c r="A50" s="508">
        <f t="shared" si="2"/>
        <v>44866</v>
      </c>
      <c r="B50" s="368">
        <f>COUNTIFS(Concat!A:A,"&gt;="&amp;A50,Concat!A:A,"&lt;"&amp;A51)</f>
        <v>35</v>
      </c>
      <c r="C50" s="3">
        <v>16.0</v>
      </c>
    </row>
    <row r="51">
      <c r="A51" s="508">
        <f t="shared" si="2"/>
        <v>44896</v>
      </c>
      <c r="B51" s="368">
        <f>COUNTIFS(Concat!A:A,"&gt;="&amp;A51,Concat!A:A,"&lt;"&amp;A52)</f>
        <v>9</v>
      </c>
      <c r="C51" s="3">
        <v>16.0</v>
      </c>
    </row>
    <row r="52">
      <c r="A52" s="508">
        <f t="shared" si="2"/>
        <v>44927</v>
      </c>
      <c r="B52" s="368">
        <f>COUNTIFS(Concat!A:A,"&gt;="&amp;A52,Concat!A:A,"&lt;"&amp;A53)</f>
        <v>35</v>
      </c>
      <c r="C52" s="3">
        <v>16.0</v>
      </c>
    </row>
    <row r="53">
      <c r="A53" s="508">
        <f t="shared" si="2"/>
        <v>44958</v>
      </c>
      <c r="B53" s="368">
        <f>COUNTIFS(Concat!A:A,"&gt;="&amp;A53,Concat!A:A,"&lt;"&amp;A54)</f>
        <v>27</v>
      </c>
      <c r="C53" s="3">
        <v>16.0</v>
      </c>
    </row>
    <row r="54">
      <c r="A54" s="508">
        <f t="shared" si="2"/>
        <v>44986</v>
      </c>
      <c r="B54" s="368">
        <f>COUNTIFS(Concat!A:A,"&gt;="&amp;A54,Concat!A:A,"&lt;"&amp;A55)</f>
        <v>23</v>
      </c>
      <c r="C54" s="3">
        <v>16.0</v>
      </c>
    </row>
    <row r="55">
      <c r="A55" s="508">
        <f t="shared" si="2"/>
        <v>45017</v>
      </c>
      <c r="B55" s="368">
        <f>COUNTIFS(Concat!A:A,"&gt;="&amp;A55,Concat!A:A,"&lt;"&amp;A56)</f>
        <v>16</v>
      </c>
      <c r="C55" s="3">
        <v>16.0</v>
      </c>
    </row>
    <row r="56">
      <c r="A56" s="508">
        <f t="shared" si="2"/>
        <v>45047</v>
      </c>
      <c r="B56" s="368">
        <f>COUNTIFS(Concat!A:A,"&gt;="&amp;A56,Concat!A:A,"&lt;"&amp;A57)</f>
        <v>16</v>
      </c>
      <c r="C56" s="3">
        <v>16.0</v>
      </c>
    </row>
    <row r="57">
      <c r="A57" s="508">
        <f t="shared" si="2"/>
        <v>45078</v>
      </c>
      <c r="B57" s="368">
        <f>COUNTIFS(Concat!A:A,"&gt;="&amp;A57,Concat!A:A,"&lt;"&amp;A58)</f>
        <v>0</v>
      </c>
      <c r="C57" s="3">
        <v>16.0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5.75"/>
  </cols>
  <sheetData>
    <row r="1">
      <c r="A1" s="506" t="str">
        <f>IFERROR(__xludf.DUMMYFUNCTION("QUERY({'2020'!A1:F15;'2021'!A2:F39;'2022'!A2:F203;'2023'!A2:F207},""SELECT *"")"),"Date")</f>
        <v>Date</v>
      </c>
      <c r="B1" s="506" t="str">
        <f>IFERROR(__xludf.DUMMYFUNCTION("""COMPUTED_VALUE"""),"Media Tier")</f>
        <v>Media Tier</v>
      </c>
      <c r="C1" s="506" t="str">
        <f>IFERROR(__xludf.DUMMYFUNCTION("""COMPUTED_VALUE"""),"Media")</f>
        <v>Media</v>
      </c>
      <c r="D1" s="506" t="str">
        <f>IFERROR(__xludf.DUMMYFUNCTION("""COMPUTED_VALUE"""),"Title")</f>
        <v>Title</v>
      </c>
      <c r="E1" s="506" t="str">
        <f>IFERROR(__xludf.DUMMYFUNCTION("""COMPUTED_VALUE"""),"Link")</f>
        <v>Link</v>
      </c>
      <c r="F1" s="506" t="str">
        <f>IFERROR(__xludf.DUMMYFUNCTION("""COMPUTED_VALUE"""),"Brand")</f>
        <v>Brand</v>
      </c>
      <c r="G1" s="506"/>
      <c r="H1" s="506"/>
      <c r="I1" s="506"/>
      <c r="J1" s="506"/>
      <c r="K1" s="506"/>
      <c r="L1" s="506"/>
      <c r="M1" s="506"/>
      <c r="N1" s="506"/>
      <c r="O1" s="506"/>
      <c r="P1" s="506"/>
      <c r="Q1" s="506"/>
      <c r="R1" s="506"/>
      <c r="S1" s="506"/>
      <c r="T1" s="506"/>
      <c r="U1" s="506"/>
      <c r="V1" s="506"/>
      <c r="W1" s="506"/>
      <c r="X1" s="506"/>
      <c r="Y1" s="506"/>
      <c r="Z1" s="506"/>
    </row>
    <row r="2">
      <c r="A2" s="402">
        <f>IFERROR(__xludf.DUMMYFUNCTION("""COMPUTED_VALUE"""),43935.0)</f>
        <v>43935</v>
      </c>
      <c r="B2" s="368" t="str">
        <f>IFERROR(__xludf.DUMMYFUNCTION("""COMPUTED_VALUE"""),"-")</f>
        <v>-</v>
      </c>
      <c r="C2" s="368" t="str">
        <f>IFERROR(__xludf.DUMMYFUNCTION("""COMPUTED_VALUE"""),"Trade Arabia")</f>
        <v>Trade Arabia</v>
      </c>
      <c r="D2" s="368" t="str">
        <f>IFERROR(__xludf.DUMMYFUNCTION("""COMPUTED_VALUE"""),"Business as usual for movers in Dubai amid lockdown")</f>
        <v>Business as usual for movers in Dubai amid lockdown</v>
      </c>
      <c r="E2" s="507" t="str">
        <f>IFERROR(__xludf.DUMMYFUNCTION("""COMPUTED_VALUE"""),"http://tradearabia.com/news/CONS_366645.html")</f>
        <v>http://tradearabia.com/news/CONS_366645.html</v>
      </c>
      <c r="F2" s="368" t="str">
        <f>IFERROR(__xludf.DUMMYFUNCTION("""COMPUTED_VALUE"""),"Betterhomes")</f>
        <v>Betterhomes</v>
      </c>
    </row>
    <row r="3">
      <c r="A3" s="402">
        <f>IFERROR(__xludf.DUMMYFUNCTION("""COMPUTED_VALUE"""),44009.0)</f>
        <v>44009</v>
      </c>
      <c r="B3" s="368" t="str">
        <f>IFERROR(__xludf.DUMMYFUNCTION("""COMPUTED_VALUE"""),"-")</f>
        <v>-</v>
      </c>
      <c r="C3" s="368" t="str">
        <f>IFERROR(__xludf.DUMMYFUNCTION("""COMPUTED_VALUE"""),"Khaleej Times")</f>
        <v>Khaleej Times</v>
      </c>
      <c r="D3" s="368" t="str">
        <f>IFERROR(__xludf.DUMMYFUNCTION("""COMPUTED_VALUE"""),"Residential rents in Dubai see a sharp drop, especially in these areas")</f>
        <v>Residential rents in Dubai see a sharp drop, especially in these areas</v>
      </c>
      <c r="E3" s="507" t="str">
        <f>IFERROR(__xludf.DUMMYFUNCTION("""COMPUTED_VALUE"""),"https://www.khaleejtimes.com/business/real-estate/residential-rents-in-dubai-see-a-sharp-drop-especially-in-these-areas--")</f>
        <v>https://www.khaleejtimes.com/business/real-estate/residential-rents-in-dubai-see-a-sharp-drop-especially-in-these-areas--</v>
      </c>
      <c r="F3" s="368" t="str">
        <f>IFERROR(__xludf.DUMMYFUNCTION("""COMPUTED_VALUE"""),"Betterhomes")</f>
        <v>Betterhomes</v>
      </c>
    </row>
    <row r="4">
      <c r="A4" s="402">
        <f>IFERROR(__xludf.DUMMYFUNCTION("""COMPUTED_VALUE"""),44042.0)</f>
        <v>44042</v>
      </c>
      <c r="B4" s="368" t="str">
        <f>IFERROR(__xludf.DUMMYFUNCTION("""COMPUTED_VALUE"""),"-")</f>
        <v>-</v>
      </c>
      <c r="C4" s="368" t="str">
        <f>IFERROR(__xludf.DUMMYFUNCTION("""COMPUTED_VALUE"""),"Zawaya")</f>
        <v>Zawaya</v>
      </c>
      <c r="D4" s="368" t="str">
        <f>IFERROR(__xludf.DUMMYFUNCTION("""COMPUTED_VALUE"""),"How Dubai's new Route 2020 will drive demand for residential, commercial properties")</f>
        <v>How Dubai's new Route 2020 will drive demand for residential, commercial properties</v>
      </c>
      <c r="E4" s="507" t="str">
        <f>IFERROR(__xludf.DUMMYFUNCTION("""COMPUTED_VALUE"""),"https://www.zawya.com/mena/en/business/story/How_Dubais_new_Route_2020_will_drive_demand_for_residential_commercial_properties-ZAWYA20200730052256/")</f>
        <v>https://www.zawya.com/mena/en/business/story/How_Dubais_new_Route_2020_will_drive_demand_for_residential_commercial_properties-ZAWYA20200730052256/</v>
      </c>
      <c r="F4" s="368" t="str">
        <f>IFERROR(__xludf.DUMMYFUNCTION("""COMPUTED_VALUE"""),"Betterhomes")</f>
        <v>Betterhomes</v>
      </c>
    </row>
    <row r="5">
      <c r="A5" s="402">
        <f>IFERROR(__xludf.DUMMYFUNCTION("""COMPUTED_VALUE"""),44105.0)</f>
        <v>44105</v>
      </c>
      <c r="B5" s="368" t="str">
        <f>IFERROR(__xludf.DUMMYFUNCTION("""COMPUTED_VALUE"""),"-")</f>
        <v>-</v>
      </c>
      <c r="C5" s="368" t="str">
        <f>IFERROR(__xludf.DUMMYFUNCTION("""COMPUTED_VALUE"""),"Gulf News")</f>
        <v>Gulf News</v>
      </c>
      <c r="D5" s="368" t="str">
        <f>IFERROR(__xludf.DUMMYFUNCTION("""COMPUTED_VALUE"""),"Living in Jumeirah meant compounds with common pools, says Dubai’s villa lady")</f>
        <v>Living in Jumeirah meant compounds with common pools, says Dubai’s villa lady</v>
      </c>
      <c r="E5" s="507" t="str">
        <f>IFERROR(__xludf.DUMMYFUNCTION("""COMPUTED_VALUE"""),"https://gulfnews.com/business/property/living-in-jumeirah-meant-compounds-with-common-pools-says-dubais-villa-lady-1.1601554872716")</f>
        <v>https://gulfnews.com/business/property/living-in-jumeirah-meant-compounds-with-common-pools-says-dubais-villa-lady-1.1601554872716</v>
      </c>
      <c r="F5" s="368" t="str">
        <f>IFERROR(__xludf.DUMMYFUNCTION("""COMPUTED_VALUE"""),"Betterhomes")</f>
        <v>Betterhomes</v>
      </c>
    </row>
    <row r="6">
      <c r="A6" s="402">
        <f>IFERROR(__xludf.DUMMYFUNCTION("""COMPUTED_VALUE"""),44109.0)</f>
        <v>44109</v>
      </c>
      <c r="B6" s="368" t="str">
        <f>IFERROR(__xludf.DUMMYFUNCTION("""COMPUTED_VALUE"""),"-")</f>
        <v>-</v>
      </c>
      <c r="C6" s="368" t="str">
        <f>IFERROR(__xludf.DUMMYFUNCTION("""COMPUTED_VALUE"""),"Construction Week")</f>
        <v>Construction Week</v>
      </c>
      <c r="D6" s="368" t="str">
        <f>IFERROR(__xludf.DUMMYFUNCTION("""COMPUTED_VALUE"""),"Podcast: Dubai's new brokerage for working mothers")</f>
        <v>Podcast: Dubai's new brokerage for working mothers</v>
      </c>
      <c r="E6" s="507" t="str">
        <f>IFERROR(__xludf.DUMMYFUNCTION("""COMPUTED_VALUE"""),"https://www.constructionweekonline.com/business/267754-podcast-dubais-new-brokerage-for-working-mothers")</f>
        <v>https://www.constructionweekonline.com/business/267754-podcast-dubais-new-brokerage-for-working-mothers</v>
      </c>
      <c r="F6" s="368" t="str">
        <f>IFERROR(__xludf.DUMMYFUNCTION("""COMPUTED_VALUE"""),"Betterhomes")</f>
        <v>Betterhomes</v>
      </c>
    </row>
    <row r="7">
      <c r="A7" s="402">
        <f>IFERROR(__xludf.DUMMYFUNCTION("""COMPUTED_VALUE"""),43831.0)</f>
        <v>43831</v>
      </c>
      <c r="B7" s="368" t="str">
        <f>IFERROR(__xludf.DUMMYFUNCTION("""COMPUTED_VALUE"""),"-")</f>
        <v>-</v>
      </c>
      <c r="C7" s="368" t="str">
        <f>IFERROR(__xludf.DUMMYFUNCTION("""COMPUTED_VALUE"""),"Arabian Business")</f>
        <v>Arabian Business</v>
      </c>
      <c r="D7" s="368" t="str">
        <f>IFERROR(__xludf.DUMMYFUNCTION("""COMPUTED_VALUE"""),"The best of the best: All the major award winners from 2019")</f>
        <v>The best of the best: All the major award winners from 2019</v>
      </c>
      <c r="E7" s="507" t="str">
        <f>IFERROR(__xludf.DUMMYFUNCTION("""COMPUTED_VALUE"""),"https://www.arabianbusiness.com/events/436138-the-best-of-the-best-all-the-major-award-winners-from-2019")</f>
        <v>https://www.arabianbusiness.com/events/436138-the-best-of-the-best-all-the-major-award-winners-from-2019</v>
      </c>
      <c r="F7" s="368" t="str">
        <f>IFERROR(__xludf.DUMMYFUNCTION("""COMPUTED_VALUE"""),"Betterhomes")</f>
        <v>Betterhomes</v>
      </c>
    </row>
    <row r="8">
      <c r="A8" s="402">
        <f>IFERROR(__xludf.DUMMYFUNCTION("""COMPUTED_VALUE"""),43920.0)</f>
        <v>43920</v>
      </c>
      <c r="B8" s="368" t="str">
        <f>IFERROR(__xludf.DUMMYFUNCTION("""COMPUTED_VALUE"""),"-")</f>
        <v>-</v>
      </c>
      <c r="C8" s="368" t="str">
        <f>IFERROR(__xludf.DUMMYFUNCTION("""COMPUTED_VALUE"""),"Arabian Business")</f>
        <v>Arabian Business</v>
      </c>
      <c r="D8" s="368" t="str">
        <f>IFERROR(__xludf.DUMMYFUNCTION("""COMPUTED_VALUE"""),"Coronavirus: What impact will Covid-19 have on Dubai's property market?")</f>
        <v>Coronavirus: What impact will Covid-19 have on Dubai's property market?</v>
      </c>
      <c r="E8" s="507" t="str">
        <f>IFERROR(__xludf.DUMMYFUNCTION("""COMPUTED_VALUE"""),"https://www.arabianbusiness.com/property/443757-coronavirus-what-impact-will-covid-19-have-on-dubais-property-market")</f>
        <v>https://www.arabianbusiness.com/property/443757-coronavirus-what-impact-will-covid-19-have-on-dubais-property-market</v>
      </c>
      <c r="F8" s="368" t="str">
        <f>IFERROR(__xludf.DUMMYFUNCTION("""COMPUTED_VALUE"""),"Betterhomes")</f>
        <v>Betterhomes</v>
      </c>
    </row>
    <row r="9">
      <c r="A9" s="402">
        <f>IFERROR(__xludf.DUMMYFUNCTION("""COMPUTED_VALUE"""),43915.0)</f>
        <v>43915</v>
      </c>
      <c r="B9" s="368" t="str">
        <f>IFERROR(__xludf.DUMMYFUNCTION("""COMPUTED_VALUE"""),"-")</f>
        <v>-</v>
      </c>
      <c r="C9" s="368" t="str">
        <f>IFERROR(__xludf.DUMMYFUNCTION("""COMPUTED_VALUE"""),"Global Business Outlook")</f>
        <v>Global Business Outlook</v>
      </c>
      <c r="D9" s="368" t="str">
        <f>IFERROR(__xludf.DUMMYFUNCTION("""COMPUTED_VALUE"""),"Dubai real estate market ‘will tremendously improve after Covid-19")</f>
        <v>Dubai real estate market ‘will tremendously improve after Covid-19</v>
      </c>
      <c r="E9" s="507" t="str">
        <f>IFERROR(__xludf.DUMMYFUNCTION("""COMPUTED_VALUE"""),"https://www.globalbusinessoutlook.com/dubai-real-estate-market-will-tremendously-improve-after-covid-19/")</f>
        <v>https://www.globalbusinessoutlook.com/dubai-real-estate-market-will-tremendously-improve-after-covid-19/</v>
      </c>
      <c r="F9" s="368" t="str">
        <f>IFERROR(__xludf.DUMMYFUNCTION("""COMPUTED_VALUE"""),"Betterhomes")</f>
        <v>Betterhomes</v>
      </c>
    </row>
    <row r="10">
      <c r="A10" s="402">
        <f>IFERROR(__xludf.DUMMYFUNCTION("""COMPUTED_VALUE"""),44091.0)</f>
        <v>44091</v>
      </c>
      <c r="B10" s="368" t="str">
        <f>IFERROR(__xludf.DUMMYFUNCTION("""COMPUTED_VALUE"""),"-")</f>
        <v>-</v>
      </c>
      <c r="C10" s="368" t="str">
        <f>IFERROR(__xludf.DUMMYFUNCTION("""COMPUTED_VALUE"""),"Euonews")</f>
        <v>Euonews</v>
      </c>
      <c r="D10" s="368" t="str">
        <f>IFERROR(__xludf.DUMMYFUNCTION("""COMPUTED_VALUE"""),"Gauging the impact of the global pandemic on the Real Estate market in Dubai")</f>
        <v>Gauging the impact of the global pandemic on the Real Estate market in Dubai</v>
      </c>
      <c r="E10" s="507" t="str">
        <f>IFERROR(__xludf.DUMMYFUNCTION("""COMPUTED_VALUE"""),"https://www.euronews.com/2020/09/16/gauging-the-impact-of-the-global-pandemic-on-the-real-estate-market-in-dubai")</f>
        <v>https://www.euronews.com/2020/09/16/gauging-the-impact-of-the-global-pandemic-on-the-real-estate-market-in-dubai</v>
      </c>
      <c r="F10" s="368" t="str">
        <f>IFERROR(__xludf.DUMMYFUNCTION("""COMPUTED_VALUE"""),"Betterhomes")</f>
        <v>Betterhomes</v>
      </c>
      <c r="O10" s="31" t="s">
        <v>2747</v>
      </c>
    </row>
    <row r="11">
      <c r="A11" s="402">
        <f>IFERROR(__xludf.DUMMYFUNCTION("""COMPUTED_VALUE"""),44137.0)</f>
        <v>44137</v>
      </c>
      <c r="B11" s="368" t="str">
        <f>IFERROR(__xludf.DUMMYFUNCTION("""COMPUTED_VALUE"""),"-")</f>
        <v>-</v>
      </c>
      <c r="C11" s="368" t="str">
        <f>IFERROR(__xludf.DUMMYFUNCTION("""COMPUTED_VALUE"""),"Gulf News")</f>
        <v>Gulf News</v>
      </c>
      <c r="D11" s="368" t="str">
        <f>IFERROR(__xludf.DUMMYFUNCTION("""COMPUTED_VALUE"""),"Dubai homeowner increased value of property with effective landscaping")</f>
        <v>Dubai homeowner increased value of property with effective landscaping</v>
      </c>
      <c r="E11" s="507" t="str">
        <f>IFERROR(__xludf.DUMMYFUNCTION("""COMPUTED_VALUE"""),"https://gulfnews.com/business/property/dubai-homeowner-increased-value-of-property-with-effective-landscaping-1.1604301168796")</f>
        <v>https://gulfnews.com/business/property/dubai-homeowner-increased-value-of-property-with-effective-landscaping-1.1604301168796</v>
      </c>
      <c r="F11" s="368" t="str">
        <f>IFERROR(__xludf.DUMMYFUNCTION("""COMPUTED_VALUE"""),"Betterhomes")</f>
        <v>Betterhomes</v>
      </c>
    </row>
    <row r="12">
      <c r="A12" s="402">
        <f>IFERROR(__xludf.DUMMYFUNCTION("""COMPUTED_VALUE"""),43947.0)</f>
        <v>43947</v>
      </c>
      <c r="B12" s="368" t="str">
        <f>IFERROR(__xludf.DUMMYFUNCTION("""COMPUTED_VALUE"""),"-")</f>
        <v>-</v>
      </c>
      <c r="C12" s="368" t="str">
        <f>IFERROR(__xludf.DUMMYFUNCTION("""COMPUTED_VALUE"""),"Property Finder Blog")</f>
        <v>Property Finder Blog</v>
      </c>
      <c r="D12" s="368" t="str">
        <f>IFERROR(__xludf.DUMMYFUNCTION("""COMPUTED_VALUE"""),"Renting and Moving During Times of Crisis")</f>
        <v>Renting and Moving During Times of Crisis</v>
      </c>
      <c r="E12" s="507" t="str">
        <f>IFERROR(__xludf.DUMMYFUNCTION("""COMPUTED_VALUE"""),"https://www.propertyfinder.ae/blog/renting-and-moving-during-crisis/")</f>
        <v>https://www.propertyfinder.ae/blog/renting-and-moving-during-crisis/</v>
      </c>
      <c r="F12" s="368" t="str">
        <f>IFERROR(__xludf.DUMMYFUNCTION("""COMPUTED_VALUE"""),"Betterhomes")</f>
        <v>Betterhomes</v>
      </c>
      <c r="O12" s="509">
        <v>0.2916666666666667</v>
      </c>
      <c r="P12" s="12" t="s">
        <v>2748</v>
      </c>
      <c r="Q12" s="12" t="s">
        <v>2749</v>
      </c>
    </row>
    <row r="13">
      <c r="A13" s="402">
        <f>IFERROR(__xludf.DUMMYFUNCTION("""COMPUTED_VALUE"""),43963.0)</f>
        <v>43963</v>
      </c>
      <c r="B13" s="368" t="str">
        <f>IFERROR(__xludf.DUMMYFUNCTION("""COMPUTED_VALUE"""),"-")</f>
        <v>-</v>
      </c>
      <c r="C13" s="368" t="str">
        <f>IFERROR(__xludf.DUMMYFUNCTION("""COMPUTED_VALUE"""),"European Life Magazine")</f>
        <v>European Life Magazine</v>
      </c>
      <c r="D13" s="368" t="str">
        <f>IFERROR(__xludf.DUMMYFUNCTION("""COMPUTED_VALUE"""),"The Post- Crisis Outlook on the UAE Real Estate Market")</f>
        <v>The Post- Crisis Outlook on the UAE Real Estate Market</v>
      </c>
      <c r="E13" s="507" t="str">
        <f>IFERROR(__xludf.DUMMYFUNCTION("""COMPUTED_VALUE"""),"https://www.europeanlifemagazine.com/real-estate/the-post-crisis-outlook-on-the-uae-real-estate-market/")</f>
        <v>https://www.europeanlifemagazine.com/real-estate/the-post-crisis-outlook-on-the-uae-real-estate-market/</v>
      </c>
      <c r="F13" s="368" t="str">
        <f>IFERROR(__xludf.DUMMYFUNCTION("""COMPUTED_VALUE"""),"Betterhomes")</f>
        <v>Betterhomes</v>
      </c>
      <c r="O13" s="509">
        <v>0.3125</v>
      </c>
      <c r="P13" s="12" t="s">
        <v>2750</v>
      </c>
      <c r="Q13" s="12" t="s">
        <v>2751</v>
      </c>
    </row>
    <row r="14">
      <c r="A14" s="402">
        <f>IFERROR(__xludf.DUMMYFUNCTION("""COMPUTED_VALUE"""),43873.0)</f>
        <v>43873</v>
      </c>
      <c r="B14" s="368" t="str">
        <f>IFERROR(__xludf.DUMMYFUNCTION("""COMPUTED_VALUE"""),"-")</f>
        <v>-</v>
      </c>
      <c r="C14" s="368" t="str">
        <f>IFERROR(__xludf.DUMMYFUNCTION("""COMPUTED_VALUE"""),"Property Finder Blog")</f>
        <v>Property Finder Blog</v>
      </c>
      <c r="D14" s="368" t="str">
        <f>IFERROR(__xludf.DUMMYFUNCTION("""COMPUTED_VALUE"""),"Some more time before the market bottoms out")</f>
        <v>Some more time before the market bottoms out</v>
      </c>
      <c r="E14" s="507" t="str">
        <f>IFERROR(__xludf.DUMMYFUNCTION("""COMPUTED_VALUE"""),"https://www.propertyfinder.ae/blog/some-more-time-before-the-market-bottoms-out/")</f>
        <v>https://www.propertyfinder.ae/blog/some-more-time-before-the-market-bottoms-out/</v>
      </c>
      <c r="F14" s="368" t="str">
        <f>IFERROR(__xludf.DUMMYFUNCTION("""COMPUTED_VALUE"""),"Betterhomes")</f>
        <v>Betterhomes</v>
      </c>
      <c r="O14" s="509">
        <v>0.3333333333333333</v>
      </c>
      <c r="P14" s="12" t="s">
        <v>2752</v>
      </c>
      <c r="Q14" s="12" t="s">
        <v>2753</v>
      </c>
    </row>
    <row r="15">
      <c r="A15" s="402">
        <f>IFERROR(__xludf.DUMMYFUNCTION("""COMPUTED_VALUE"""),44089.0)</f>
        <v>44089</v>
      </c>
      <c r="B15" s="368" t="str">
        <f>IFERROR(__xludf.DUMMYFUNCTION("""COMPUTED_VALUE"""),"-")</f>
        <v>-</v>
      </c>
      <c r="C15" s="368" t="str">
        <f>IFERROR(__xludf.DUMMYFUNCTION("""COMPUTED_VALUE"""),"SME")</f>
        <v>SME</v>
      </c>
      <c r="D15" s="368" t="str">
        <f>IFERROR(__xludf.DUMMYFUNCTION("""COMPUTED_VALUE"""),"Betterhomes launches new real estate brokerage for working parents")</f>
        <v>Betterhomes launches new real estate brokerage for working parents</v>
      </c>
      <c r="E15" s="507" t="str">
        <f>IFERROR(__xludf.DUMMYFUNCTION("""COMPUTED_VALUE"""),"https://www.sme10x.com/10x-industry/betterhomes-launches-new-real-estate-brokerage-for-working-parents")</f>
        <v>https://www.sme10x.com/10x-industry/betterhomes-launches-new-real-estate-brokerage-for-working-parents</v>
      </c>
      <c r="F15" s="368" t="str">
        <f>IFERROR(__xludf.DUMMYFUNCTION("""COMPUTED_VALUE"""),"Betterhomes, Linda's")</f>
        <v>Betterhomes, Linda's</v>
      </c>
      <c r="O15" s="509">
        <v>0.375</v>
      </c>
      <c r="P15" s="12" t="s">
        <v>2754</v>
      </c>
      <c r="Q15" s="12" t="s">
        <v>2753</v>
      </c>
    </row>
    <row r="16">
      <c r="A16" s="402">
        <f>IFERROR(__xludf.DUMMYFUNCTION("""COMPUTED_VALUE"""),44197.0)</f>
        <v>44197</v>
      </c>
      <c r="B16" s="368" t="str">
        <f>IFERROR(__xludf.DUMMYFUNCTION("""COMPUTED_VALUE"""),"-")</f>
        <v>-</v>
      </c>
      <c r="C16" s="368" t="str">
        <f>IFERROR(__xludf.DUMMYFUNCTION("""COMPUTED_VALUE"""),"Better Living Magazine")</f>
        <v>Better Living Magazine</v>
      </c>
      <c r="D16" s="368" t="str">
        <f>IFERROR(__xludf.DUMMYFUNCTION("""COMPUTED_VALUE"""),"Hot properties")</f>
        <v>Hot properties</v>
      </c>
      <c r="E16" s="368" t="str">
        <f>IFERROR(__xludf.DUMMYFUNCTION("""COMPUTED_VALUE"""),"Print")</f>
        <v>Print</v>
      </c>
      <c r="F16" s="368" t="str">
        <f>IFERROR(__xludf.DUMMYFUNCTION("""COMPUTED_VALUE"""),"Betterhomes")</f>
        <v>Betterhomes</v>
      </c>
      <c r="O16" s="2"/>
      <c r="P16" s="12" t="s">
        <v>2755</v>
      </c>
      <c r="Q16" s="12" t="s">
        <v>2753</v>
      </c>
    </row>
    <row r="17">
      <c r="A17" s="402">
        <f>IFERROR(__xludf.DUMMYFUNCTION("""COMPUTED_VALUE"""),44256.0)</f>
        <v>44256</v>
      </c>
      <c r="B17" s="368" t="str">
        <f>IFERROR(__xludf.DUMMYFUNCTION("""COMPUTED_VALUE"""),"-")</f>
        <v>-</v>
      </c>
      <c r="C17" s="368" t="str">
        <f>IFERROR(__xludf.DUMMYFUNCTION("""COMPUTED_VALUE"""),"Better Living Magazine")</f>
        <v>Better Living Magazine</v>
      </c>
      <c r="D17" s="368" t="str">
        <f>IFERROR(__xludf.DUMMYFUNCTION("""COMPUTED_VALUE"""),"Hot properties")</f>
        <v>Hot properties</v>
      </c>
      <c r="E17" s="368" t="str">
        <f>IFERROR(__xludf.DUMMYFUNCTION("""COMPUTED_VALUE"""),"Print")</f>
        <v>Print</v>
      </c>
      <c r="F17" s="368" t="str">
        <f>IFERROR(__xludf.DUMMYFUNCTION("""COMPUTED_VALUE"""),"Betterhomes")</f>
        <v>Betterhomes</v>
      </c>
      <c r="O17" s="2"/>
      <c r="P17" s="12" t="s">
        <v>2756</v>
      </c>
      <c r="Q17" s="12" t="s">
        <v>2753</v>
      </c>
    </row>
    <row r="18">
      <c r="A18" s="402">
        <f>IFERROR(__xludf.DUMMYFUNCTION("""COMPUTED_VALUE"""),44308.0)</f>
        <v>44308</v>
      </c>
      <c r="B18" s="368" t="str">
        <f>IFERROR(__xludf.DUMMYFUNCTION("""COMPUTED_VALUE"""),"Tier 3")</f>
        <v>Tier 3</v>
      </c>
      <c r="C18" s="507" t="str">
        <f>IFERROR(__xludf.DUMMYFUNCTION("""COMPUTED_VALUE"""),"PR.com")</f>
        <v>PR.com</v>
      </c>
      <c r="D18" s="368" t="str">
        <f>IFERROR(__xludf.DUMMYFUNCTION("""COMPUTED_VALUE"""),"Betterhomes Released Residential Property Market Report Q1 2021")</f>
        <v>Betterhomes Released Residential Property Market Report Q1 2021</v>
      </c>
      <c r="E18" s="507" t="str">
        <f>IFERROR(__xludf.DUMMYFUNCTION("""COMPUTED_VALUE"""),"https://www.pr.com/press-release/835148")</f>
        <v>https://www.pr.com/press-release/835148</v>
      </c>
      <c r="F18" s="368" t="str">
        <f>IFERROR(__xludf.DUMMYFUNCTION("""COMPUTED_VALUE"""),"Betterhomes")</f>
        <v>Betterhomes</v>
      </c>
      <c r="O18" s="509">
        <v>0.9791666666666666</v>
      </c>
      <c r="P18" s="12" t="s">
        <v>2757</v>
      </c>
      <c r="Q18" s="12" t="s">
        <v>2758</v>
      </c>
    </row>
    <row r="19">
      <c r="A19" s="402">
        <f>IFERROR(__xludf.DUMMYFUNCTION("""COMPUTED_VALUE"""),44308.0)</f>
        <v>44308</v>
      </c>
      <c r="B19" s="368" t="str">
        <f>IFERROR(__xludf.DUMMYFUNCTION("""COMPUTED_VALUE"""),"Tier 2")</f>
        <v>Tier 2</v>
      </c>
      <c r="C19" s="368" t="str">
        <f>IFERROR(__xludf.DUMMYFUNCTION("""COMPUTED_VALUE"""),"Khaleej Times ")</f>
        <v>Khaleej Times </v>
      </c>
      <c r="D19" s="368" t="str">
        <f>IFERROR(__xludf.DUMMYFUNCTION("""COMPUTED_VALUE"""),"Dubai records 27% surge in Q1 property deals")</f>
        <v>Dubai records 27% surge in Q1 property deals</v>
      </c>
      <c r="E19" s="507" t="str">
        <f>IFERROR(__xludf.DUMMYFUNCTION("""COMPUTED_VALUE"""),"https://www.khaleejtimes.com/news/dubai-records-27-surge-in-q1-property-deals")</f>
        <v>https://www.khaleejtimes.com/news/dubai-records-27-surge-in-q1-property-deals</v>
      </c>
      <c r="F19" s="368" t="str">
        <f>IFERROR(__xludf.DUMMYFUNCTION("""COMPUTED_VALUE"""),"Betterhomes")</f>
        <v>Betterhomes</v>
      </c>
      <c r="O19" s="509">
        <v>0.5208333333333334</v>
      </c>
      <c r="P19" s="12" t="s">
        <v>2759</v>
      </c>
      <c r="Q19" s="12" t="s">
        <v>2758</v>
      </c>
    </row>
    <row r="20">
      <c r="A20" s="402">
        <f>IFERROR(__xludf.DUMMYFUNCTION("""COMPUTED_VALUE"""),44308.0)</f>
        <v>44308</v>
      </c>
      <c r="B20" s="368" t="str">
        <f>IFERROR(__xludf.DUMMYFUNCTION("""COMPUTED_VALUE"""),"Tier 3")</f>
        <v>Tier 3</v>
      </c>
      <c r="C20" s="368" t="str">
        <f>IFERROR(__xludf.DUMMYFUNCTION("""COMPUTED_VALUE"""),"Springfiled properties ")</f>
        <v>Springfiled properties </v>
      </c>
      <c r="D20" s="368" t="str">
        <f>IFERROR(__xludf.DUMMYFUNCTION("""COMPUTED_VALUE"""),"Dubai records 27% surge in Q1 property deals")</f>
        <v>Dubai records 27% surge in Q1 property deals</v>
      </c>
      <c r="E20" s="507" t="str">
        <f>IFERROR(__xludf.DUMMYFUNCTION("""COMPUTED_VALUE"""),"https://www.springfield-re.com/dubai-records-27-surge-in-q1-property-deals")</f>
        <v>https://www.springfield-re.com/dubai-records-27-surge-in-q1-property-deals</v>
      </c>
      <c r="F20" s="368" t="str">
        <f>IFERROR(__xludf.DUMMYFUNCTION("""COMPUTED_VALUE"""),"Betterhomes")</f>
        <v>Betterhomes</v>
      </c>
      <c r="O20" s="509">
        <v>0.5416666666666666</v>
      </c>
      <c r="P20" s="12" t="s">
        <v>2760</v>
      </c>
      <c r="Q20" s="12" t="s">
        <v>2758</v>
      </c>
    </row>
    <row r="21">
      <c r="A21" s="402">
        <f>IFERROR(__xludf.DUMMYFUNCTION("""COMPUTED_VALUE"""),44321.0)</f>
        <v>44321</v>
      </c>
      <c r="B21" s="368" t="str">
        <f>IFERROR(__xludf.DUMMYFUNCTION("""COMPUTED_VALUE"""),"Tier 3")</f>
        <v>Tier 3</v>
      </c>
      <c r="C21" s="368" t="str">
        <f>IFERROR(__xludf.DUMMYFUNCTION("""COMPUTED_VALUE"""),"Creativezone ")</f>
        <v>Creativezone </v>
      </c>
      <c r="D21" s="368" t="str">
        <f>IFERROR(__xludf.DUMMYFUNCTION("""COMPUTED_VALUE"""),"Dubai Real Estate: A 2021 Promising Outlook")</f>
        <v>Dubai Real Estate: A 2021 Promising Outlook</v>
      </c>
      <c r="E21" s="507" t="str">
        <f>IFERROR(__xludf.DUMMYFUNCTION("""COMPUTED_VALUE"""),"https://www.creativezone.ae/events/dubai-real-estate-a-2021-promising-outlook/")</f>
        <v>https://www.creativezone.ae/events/dubai-real-estate-a-2021-promising-outlook/</v>
      </c>
      <c r="F21" s="368" t="str">
        <f>IFERROR(__xludf.DUMMYFUNCTION("""COMPUTED_VALUE"""),"Betterhomes")</f>
        <v>Betterhomes</v>
      </c>
      <c r="O21" s="2"/>
      <c r="P21" s="12" t="s">
        <v>2755</v>
      </c>
      <c r="Q21" s="12" t="s">
        <v>2753</v>
      </c>
    </row>
    <row r="22">
      <c r="A22" s="402">
        <f>IFERROR(__xludf.DUMMYFUNCTION("""COMPUTED_VALUE"""),44321.0)</f>
        <v>44321</v>
      </c>
      <c r="B22" s="368" t="str">
        <f>IFERROR(__xludf.DUMMYFUNCTION("""COMPUTED_VALUE"""),"-")</f>
        <v>-</v>
      </c>
      <c r="C22" s="368" t="str">
        <f>IFERROR(__xludf.DUMMYFUNCTION("""COMPUTED_VALUE"""),"Better Living Magazine")</f>
        <v>Better Living Magazine</v>
      </c>
      <c r="D22" s="368" t="str">
        <f>IFERROR(__xludf.DUMMYFUNCTION("""COMPUTED_VALUE"""),"Hot properties")</f>
        <v>Hot properties</v>
      </c>
      <c r="E22" s="368" t="str">
        <f>IFERROR(__xludf.DUMMYFUNCTION("""COMPUTED_VALUE"""),"Print")</f>
        <v>Print</v>
      </c>
      <c r="F22" s="368" t="str">
        <f>IFERROR(__xludf.DUMMYFUNCTION("""COMPUTED_VALUE"""),"Betterhomes")</f>
        <v>Betterhomes</v>
      </c>
      <c r="O22" s="2"/>
      <c r="P22" s="12" t="s">
        <v>2761</v>
      </c>
      <c r="Q22" s="12" t="s">
        <v>2762</v>
      </c>
    </row>
    <row r="23">
      <c r="A23" s="402">
        <f>IFERROR(__xludf.DUMMYFUNCTION("""COMPUTED_VALUE"""),44378.0)</f>
        <v>44378</v>
      </c>
      <c r="B23" s="368" t="str">
        <f>IFERROR(__xludf.DUMMYFUNCTION("""COMPUTED_VALUE"""),"-")</f>
        <v>-</v>
      </c>
      <c r="C23" s="368" t="str">
        <f>IFERROR(__xludf.DUMMYFUNCTION("""COMPUTED_VALUE"""),"Better Living Magazine")</f>
        <v>Better Living Magazine</v>
      </c>
      <c r="D23" s="368" t="str">
        <f>IFERROR(__xludf.DUMMYFUNCTION("""COMPUTED_VALUE"""),"Hot properties")</f>
        <v>Hot properties</v>
      </c>
      <c r="E23" s="368" t="str">
        <f>IFERROR(__xludf.DUMMYFUNCTION("""COMPUTED_VALUE"""),"Print")</f>
        <v>Print</v>
      </c>
      <c r="F23" s="368" t="str">
        <f>IFERROR(__xludf.DUMMYFUNCTION("""COMPUTED_VALUE"""),"Betterhomes")</f>
        <v>Betterhomes</v>
      </c>
      <c r="O23" s="509">
        <v>0.6458333333333334</v>
      </c>
      <c r="P23" s="12" t="s">
        <v>2763</v>
      </c>
      <c r="Q23" s="12" t="s">
        <v>2762</v>
      </c>
    </row>
    <row r="24">
      <c r="A24" s="402">
        <f>IFERROR(__xludf.DUMMYFUNCTION("""COMPUTED_VALUE"""),44411.0)</f>
        <v>44411</v>
      </c>
      <c r="B24" s="368" t="str">
        <f>IFERROR(__xludf.DUMMYFUNCTION("""COMPUTED_VALUE"""),"Tier 2")</f>
        <v>Tier 2</v>
      </c>
      <c r="C24" s="368" t="str">
        <f>IFERROR(__xludf.DUMMYFUNCTION("""COMPUTED_VALUE"""),"Zawaya")</f>
        <v>Zawaya</v>
      </c>
      <c r="D24" s="368" t="str">
        <f>IFERROR(__xludf.DUMMYFUNCTION("""COMPUTED_VALUE"""),"Positive economic &amp; employment sentiment in Dubai boosts property sales in H1 2021")</f>
        <v>Positive economic &amp; employment sentiment in Dubai boosts property sales in H1 2021</v>
      </c>
      <c r="E24" s="507" t="str">
        <f>IFERROR(__xludf.DUMMYFUNCTION("""COMPUTED_VALUE"""),"https://www.zawya.com/uae/en/press-releases/story/Positive_economic__employment_sentiment_in_Dubai_boosts_property_sales_in_H1_2021-ZAWYA20210803062005/")</f>
        <v>https://www.zawya.com/uae/en/press-releases/story/Positive_economic__employment_sentiment_in_Dubai_boosts_property_sales_in_H1_2021-ZAWYA20210803062005/</v>
      </c>
      <c r="F24" s="368" t="str">
        <f>IFERROR(__xludf.DUMMYFUNCTION("""COMPUTED_VALUE"""),"Betterhomes")</f>
        <v>Betterhomes</v>
      </c>
      <c r="O24" s="509">
        <v>0.7083333333333334</v>
      </c>
      <c r="P24" s="12" t="s">
        <v>2755</v>
      </c>
      <c r="Q24" s="12" t="s">
        <v>2753</v>
      </c>
    </row>
    <row r="25">
      <c r="A25" s="402">
        <f>IFERROR(__xludf.DUMMYFUNCTION("""COMPUTED_VALUE"""),44411.0)</f>
        <v>44411</v>
      </c>
      <c r="B25" s="368" t="str">
        <f>IFERROR(__xludf.DUMMYFUNCTION("""COMPUTED_VALUE"""),"Tier 2")</f>
        <v>Tier 2</v>
      </c>
      <c r="C25" s="368" t="str">
        <f>IFERROR(__xludf.DUMMYFUNCTION("""COMPUTED_VALUE"""),"Arabian Business ")</f>
        <v>Arabian Business </v>
      </c>
      <c r="D25" s="368" t="str">
        <f>IFERROR(__xludf.DUMMYFUNCTION("""COMPUTED_VALUE"""),"Dubai broker sees surge in British property buyers amid UAE's latest expat incentives")</f>
        <v>Dubai broker sees surge in British property buyers amid UAE's latest expat incentives</v>
      </c>
      <c r="E25" s="507" t="str">
        <f>IFERROR(__xludf.DUMMYFUNCTION("""COMPUTED_VALUE"""),"https://www.arabianbusiness.com/real-estate/466741-dubai-broker-sees-surge-in-british-property-buyers-amid-uaes-latest-expat-incentives")</f>
        <v>https://www.arabianbusiness.com/real-estate/466741-dubai-broker-sees-surge-in-british-property-buyers-amid-uaes-latest-expat-incentives</v>
      </c>
      <c r="F25" s="368" t="str">
        <f>IFERROR(__xludf.DUMMYFUNCTION("""COMPUTED_VALUE"""),"Betterhomes")</f>
        <v>Betterhomes</v>
      </c>
      <c r="O25" s="509">
        <v>0.7291666666666666</v>
      </c>
      <c r="P25" s="12" t="s">
        <v>2752</v>
      </c>
      <c r="Q25" s="12" t="s">
        <v>2753</v>
      </c>
    </row>
    <row r="26">
      <c r="A26" s="402">
        <f>IFERROR(__xludf.DUMMYFUNCTION("""COMPUTED_VALUE"""),44411.0)</f>
        <v>44411</v>
      </c>
      <c r="B26" s="368" t="str">
        <f>IFERROR(__xludf.DUMMYFUNCTION("""COMPUTED_VALUE"""),"Tier 2")</f>
        <v>Tier 2</v>
      </c>
      <c r="C26" s="368" t="str">
        <f>IFERROR(__xludf.DUMMYFUNCTION("""COMPUTED_VALUE"""),"Khaleej Times ")</f>
        <v>Khaleej Times </v>
      </c>
      <c r="D26" s="368" t="str">
        <f>IFERROR(__xludf.DUMMYFUNCTION("""COMPUTED_VALUE"""),"Dubai realty back in spotlight with deals hitting 10-year high")</f>
        <v>Dubai realty back in spotlight with deals hitting 10-year high</v>
      </c>
      <c r="E26" s="507" t="str">
        <f>IFERROR(__xludf.DUMMYFUNCTION("""COMPUTED_VALUE"""),"https://www.khaleejtimes.com/property/dubai-realty-back-in-spotlight-with-deals-hitting-10-year-high")</f>
        <v>https://www.khaleejtimes.com/property/dubai-realty-back-in-spotlight-with-deals-hitting-10-year-high</v>
      </c>
      <c r="F26" s="368" t="str">
        <f>IFERROR(__xludf.DUMMYFUNCTION("""COMPUTED_VALUE"""),"Betterhomes")</f>
        <v>Betterhomes</v>
      </c>
      <c r="O26" s="509">
        <v>0.7708333333333334</v>
      </c>
      <c r="P26" s="12" t="s">
        <v>2764</v>
      </c>
      <c r="Q26" s="12" t="s">
        <v>2751</v>
      </c>
    </row>
    <row r="27">
      <c r="A27" s="402">
        <f>IFERROR(__xludf.DUMMYFUNCTION("""COMPUTED_VALUE"""),44440.0)</f>
        <v>44440</v>
      </c>
      <c r="B27" s="368" t="str">
        <f>IFERROR(__xludf.DUMMYFUNCTION("""COMPUTED_VALUE"""),"-")</f>
        <v>-</v>
      </c>
      <c r="C27" s="368" t="str">
        <f>IFERROR(__xludf.DUMMYFUNCTION("""COMPUTED_VALUE"""),"Better Living Magazine")</f>
        <v>Better Living Magazine</v>
      </c>
      <c r="D27" s="368" t="str">
        <f>IFERROR(__xludf.DUMMYFUNCTION("""COMPUTED_VALUE"""),"Hot properties")</f>
        <v>Hot properties</v>
      </c>
      <c r="E27" s="368" t="str">
        <f>IFERROR(__xludf.DUMMYFUNCTION("""COMPUTED_VALUE"""),"Print")</f>
        <v>Print</v>
      </c>
      <c r="F27" s="368" t="str">
        <f>IFERROR(__xludf.DUMMYFUNCTION("""COMPUTED_VALUE"""),"Betterhomes")</f>
        <v>Betterhomes</v>
      </c>
      <c r="O27" s="509">
        <v>0.7916666666666666</v>
      </c>
      <c r="P27" s="12" t="s">
        <v>2765</v>
      </c>
      <c r="Q27" s="12" t="s">
        <v>2751</v>
      </c>
    </row>
    <row r="28">
      <c r="A28" s="402">
        <f>IFERROR(__xludf.DUMMYFUNCTION("""COMPUTED_VALUE"""),44501.0)</f>
        <v>44501</v>
      </c>
      <c r="B28" s="368" t="str">
        <f>IFERROR(__xludf.DUMMYFUNCTION("""COMPUTED_VALUE"""),"-")</f>
        <v>-</v>
      </c>
      <c r="C28" s="368" t="str">
        <f>IFERROR(__xludf.DUMMYFUNCTION("""COMPUTED_VALUE"""),"Better Living Magazine")</f>
        <v>Better Living Magazine</v>
      </c>
      <c r="D28" s="368" t="str">
        <f>IFERROR(__xludf.DUMMYFUNCTION("""COMPUTED_VALUE"""),"Hot properties")</f>
        <v>Hot properties</v>
      </c>
      <c r="E28" s="368" t="str">
        <f>IFERROR(__xludf.DUMMYFUNCTION("""COMPUTED_VALUE"""),"Print")</f>
        <v>Print</v>
      </c>
      <c r="F28" s="368" t="str">
        <f>IFERROR(__xludf.DUMMYFUNCTION("""COMPUTED_VALUE"""),"Betterhomes")</f>
        <v>Betterhomes</v>
      </c>
      <c r="O28" s="509">
        <v>0.8125</v>
      </c>
      <c r="P28" s="12" t="s">
        <v>2766</v>
      </c>
      <c r="Q28" s="12" t="s">
        <v>2751</v>
      </c>
    </row>
    <row r="29">
      <c r="A29" s="402">
        <f>IFERROR(__xludf.DUMMYFUNCTION("""COMPUTED_VALUE"""),44440.0)</f>
        <v>44440</v>
      </c>
      <c r="B29" s="368" t="str">
        <f>IFERROR(__xludf.DUMMYFUNCTION("""COMPUTED_VALUE"""),"-")</f>
        <v>-</v>
      </c>
      <c r="C29" s="368" t="str">
        <f>IFERROR(__xludf.DUMMYFUNCTION("""COMPUTED_VALUE"""),"Better Living Magazine")</f>
        <v>Better Living Magazine</v>
      </c>
      <c r="D29" s="368" t="str">
        <f>IFERROR(__xludf.DUMMYFUNCTION("""COMPUTED_VALUE"""),"Linda's Real Estate")</f>
        <v>Linda's Real Estate</v>
      </c>
      <c r="E29" s="368" t="str">
        <f>IFERROR(__xludf.DUMMYFUNCTION("""COMPUTED_VALUE"""),"Print")</f>
        <v>Print</v>
      </c>
      <c r="F29" s="368" t="str">
        <f>IFERROR(__xludf.DUMMYFUNCTION("""COMPUTED_VALUE"""),"Linda's")</f>
        <v>Linda's</v>
      </c>
      <c r="O29" s="509">
        <v>0.8333333333333334</v>
      </c>
      <c r="P29" s="12" t="s">
        <v>2767</v>
      </c>
      <c r="Q29" s="12" t="s">
        <v>2749</v>
      </c>
    </row>
    <row r="30">
      <c r="A30" s="402">
        <f>IFERROR(__xludf.DUMMYFUNCTION("""COMPUTED_VALUE"""),44487.0)</f>
        <v>44487</v>
      </c>
      <c r="B30" s="368" t="str">
        <f>IFERROR(__xludf.DUMMYFUNCTION("""COMPUTED_VALUE"""),"Tier 2")</f>
        <v>Tier 2</v>
      </c>
      <c r="C30" s="368" t="str">
        <f>IFERROR(__xludf.DUMMYFUNCTION("""COMPUTED_VALUE"""),"Zawaya")</f>
        <v>Zawaya</v>
      </c>
      <c r="D30" s="368" t="str">
        <f>IFERROR(__xludf.DUMMYFUNCTION("""COMPUTED_VALUE"""),"Property market sets new records as prices continue to climb in Q3")</f>
        <v>Property market sets new records as prices continue to climb in Q3</v>
      </c>
      <c r="E30" s="507" t="str">
        <f>IFERROR(__xludf.DUMMYFUNCTION("""COMPUTED_VALUE"""),"https://www.zawya.com/mena/en/press-releases/story/Property_market_sets_new_records_as_prices_continue_to_climb_in_Q3-ZAWYA20211018115321/")</f>
        <v>https://www.zawya.com/mena/en/press-releases/story/Property_market_sets_new_records_as_prices_continue_to_climb_in_Q3-ZAWYA20211018115321/</v>
      </c>
      <c r="F30" s="368" t="str">
        <f>IFERROR(__xludf.DUMMYFUNCTION("""COMPUTED_VALUE"""),"Betterhomes")</f>
        <v>Betterhomes</v>
      </c>
      <c r="O30" s="2"/>
      <c r="P30" s="2"/>
      <c r="Q30" s="2"/>
    </row>
    <row r="31">
      <c r="A31" s="402">
        <f>IFERROR(__xludf.DUMMYFUNCTION("""COMPUTED_VALUE"""),44487.0)</f>
        <v>44487</v>
      </c>
      <c r="B31" s="368" t="str">
        <f>IFERROR(__xludf.DUMMYFUNCTION("""COMPUTED_VALUE"""),"Tier 3")</f>
        <v>Tier 3</v>
      </c>
      <c r="C31" s="368" t="str">
        <f>IFERROR(__xludf.DUMMYFUNCTION("""COMPUTED_VALUE"""),"Liana Press")</f>
        <v>Liana Press</v>
      </c>
      <c r="D31" s="368" t="str">
        <f>IFERROR(__xludf.DUMMYFUNCTION("""COMPUTED_VALUE"""),"Property market sets new records as prices continue to climb in Q3")</f>
        <v>Property market sets new records as prices continue to climb in Q3</v>
      </c>
      <c r="E31" s="507" t="str">
        <f>IFERROR(__xludf.DUMMYFUNCTION("""COMPUTED_VALUE"""),"https://www.lianapress.ae/releases/construction/property-market-sets-new-records-as-prices-continue-to-climb-in-q3.html")</f>
        <v>https://www.lianapress.ae/releases/construction/property-market-sets-new-records-as-prices-continue-to-climb-in-q3.html</v>
      </c>
      <c r="F31" s="368" t="str">
        <f>IFERROR(__xludf.DUMMYFUNCTION("""COMPUTED_VALUE"""),"Betterhomes")</f>
        <v>Betterhomes</v>
      </c>
    </row>
    <row r="32">
      <c r="A32" s="402">
        <f>IFERROR(__xludf.DUMMYFUNCTION("""COMPUTED_VALUE"""),44488.0)</f>
        <v>44488</v>
      </c>
      <c r="B32" s="368" t="str">
        <f>IFERROR(__xludf.DUMMYFUNCTION("""COMPUTED_VALUE"""),"Tier 3")</f>
        <v>Tier 3</v>
      </c>
      <c r="C32" s="368" t="str">
        <f>IFERROR(__xludf.DUMMYFUNCTION("""COMPUTED_VALUE"""),"UAE Business")</f>
        <v>UAE Business</v>
      </c>
      <c r="D32" s="368" t="str">
        <f>IFERROR(__xludf.DUMMYFUNCTION("""COMPUTED_VALUE"""),"Property market sets new records as prices continue climb in Q3 2021")</f>
        <v>Property market sets new records as prices continue climb in Q3 2021</v>
      </c>
      <c r="E32" s="507" t="str">
        <f>IFERROR(__xludf.DUMMYFUNCTION("""COMPUTED_VALUE"""),"https://uaebusiness.com/2021/10/19/property-market-sets-new-records-as-prices-continue-to-climb-in-q3/")</f>
        <v>https://uaebusiness.com/2021/10/19/property-market-sets-new-records-as-prices-continue-to-climb-in-q3/</v>
      </c>
      <c r="F32" s="368" t="str">
        <f>IFERROR(__xludf.DUMMYFUNCTION("""COMPUTED_VALUE"""),"Betterhomes")</f>
        <v>Betterhomes</v>
      </c>
    </row>
    <row r="33">
      <c r="A33" s="402">
        <f>IFERROR(__xludf.DUMMYFUNCTION("""COMPUTED_VALUE"""),44488.0)</f>
        <v>44488</v>
      </c>
      <c r="B33" s="368" t="str">
        <f>IFERROR(__xludf.DUMMYFUNCTION("""COMPUTED_VALUE"""),"Tier 2")</f>
        <v>Tier 2</v>
      </c>
      <c r="C33" s="368" t="str">
        <f>IFERROR(__xludf.DUMMYFUNCTION("""COMPUTED_VALUE"""),"Property News")</f>
        <v>Property News</v>
      </c>
      <c r="D33" s="368" t="str">
        <f>IFERROR(__xludf.DUMMYFUNCTION("""COMPUTED_VALUE"""),"Property market sets new records as prices continue climb in Q3 2021")</f>
        <v>Property market sets new records as prices continue climb in Q3 2021</v>
      </c>
      <c r="E33" s="507" t="str">
        <f>IFERROR(__xludf.DUMMYFUNCTION("""COMPUTED_VALUE"""),"https://www.propertynews.ae/reports-updates/trends/property-market-sets-new-records-as-prices-continue-to-climb-in-q3/")</f>
        <v>https://www.propertynews.ae/reports-updates/trends/property-market-sets-new-records-as-prices-continue-to-climb-in-q3/</v>
      </c>
      <c r="F33" s="368" t="str">
        <f>IFERROR(__xludf.DUMMYFUNCTION("""COMPUTED_VALUE"""),"Betterhomes")</f>
        <v>Betterhomes</v>
      </c>
    </row>
    <row r="34">
      <c r="A34" s="402">
        <f>IFERROR(__xludf.DUMMYFUNCTION("""COMPUTED_VALUE"""),44488.0)</f>
        <v>44488</v>
      </c>
      <c r="B34" s="368" t="str">
        <f>IFERROR(__xludf.DUMMYFUNCTION("""COMPUTED_VALUE"""),"Tier 2")</f>
        <v>Tier 2</v>
      </c>
      <c r="C34" s="368" t="str">
        <f>IFERROR(__xludf.DUMMYFUNCTION("""COMPUTED_VALUE"""),"Zawaya")</f>
        <v>Zawaya</v>
      </c>
      <c r="D34" s="368" t="str">
        <f>IFERROR(__xludf.DUMMYFUNCTION("""COMPUTED_VALUE"""),"Property market sets new records as prices continue climb in Q3 2021")</f>
        <v>Property market sets new records as prices continue climb in Q3 2021</v>
      </c>
      <c r="E34" s="507" t="str">
        <f>IFERROR(__xludf.DUMMYFUNCTION("""COMPUTED_VALUE"""),"https://www.zawya.com/mena/en/story/amp/ZAWYA20211018115321/")</f>
        <v>https://www.zawya.com/mena/en/story/amp/ZAWYA20211018115321/</v>
      </c>
      <c r="F34" s="368" t="str">
        <f>IFERROR(__xludf.DUMMYFUNCTION("""COMPUTED_VALUE"""),"Betterhomes")</f>
        <v>Betterhomes</v>
      </c>
    </row>
    <row r="35">
      <c r="A35" s="402">
        <f>IFERROR(__xludf.DUMMYFUNCTION("""COMPUTED_VALUE"""),44489.0)</f>
        <v>44489</v>
      </c>
      <c r="B35" s="368" t="str">
        <f>IFERROR(__xludf.DUMMYFUNCTION("""COMPUTED_VALUE"""),"Tier 2")</f>
        <v>Tier 2</v>
      </c>
      <c r="C35" s="368" t="str">
        <f>IFERROR(__xludf.DUMMYFUNCTION("""COMPUTED_VALUE"""),"Construction Week")</f>
        <v>Construction Week</v>
      </c>
      <c r="D35" s="368" t="str">
        <f>IFERROR(__xludf.DUMMYFUNCTION("""COMPUTED_VALUE"""),"Dubai property market sees significant increase in sales transactions")</f>
        <v>Dubai property market sees significant increase in sales transactions</v>
      </c>
      <c r="E35" s="507" t="str">
        <f>IFERROR(__xludf.DUMMYFUNCTION("""COMPUTED_VALUE"""),"https://www.constructionweekonline.com/news/crc-released-dubai-commercial-real-estate-market-report-q3-2021")</f>
        <v>https://www.constructionweekonline.com/news/crc-released-dubai-commercial-real-estate-market-report-q3-2021</v>
      </c>
      <c r="F35" s="368" t="str">
        <f>IFERROR(__xludf.DUMMYFUNCTION("""COMPUTED_VALUE"""),"CRC")</f>
        <v>CRC</v>
      </c>
    </row>
    <row r="36">
      <c r="A36" s="402">
        <f>IFERROR(__xludf.DUMMYFUNCTION("""COMPUTED_VALUE"""),44489.0)</f>
        <v>44489</v>
      </c>
      <c r="B36" s="368" t="str">
        <f>IFERROR(__xludf.DUMMYFUNCTION("""COMPUTED_VALUE"""),"Tier 2")</f>
        <v>Tier 2</v>
      </c>
      <c r="C36" s="368" t="str">
        <f>IFERROR(__xludf.DUMMYFUNCTION("""COMPUTED_VALUE"""),"Zawaya")</f>
        <v>Zawaya</v>
      </c>
      <c r="D36" s="368" t="str">
        <f>IFERROR(__xludf.DUMMYFUNCTION("""COMPUTED_VALUE"""),"CRC released Dubai Commercial Real Estate Market Report Q3 2021")</f>
        <v>CRC released Dubai Commercial Real Estate Market Report Q3 2021</v>
      </c>
      <c r="E36" s="507" t="str">
        <f>IFERROR(__xludf.DUMMYFUNCTION("""COMPUTED_VALUE"""),"https://www.zawya.com/mena/en/press-releases/story/CRC_released_Dubai_Commercial_Real_Estate_Market_Report_Q3_2021-ZAWYA20211020084549/")</f>
        <v>https://www.zawya.com/mena/en/press-releases/story/CRC_released_Dubai_Commercial_Real_Estate_Market_Report_Q3_2021-ZAWYA20211020084549/</v>
      </c>
      <c r="F36" s="368" t="str">
        <f>IFERROR(__xludf.DUMMYFUNCTION("""COMPUTED_VALUE"""),"CRC")</f>
        <v>CRC</v>
      </c>
    </row>
    <row r="37">
      <c r="A37" s="402">
        <f>IFERROR(__xludf.DUMMYFUNCTION("""COMPUTED_VALUE"""),44489.0)</f>
        <v>44489</v>
      </c>
      <c r="B37" s="368" t="str">
        <f>IFERROR(__xludf.DUMMYFUNCTION("""COMPUTED_VALUE"""),"Tier 3")</f>
        <v>Tier 3</v>
      </c>
      <c r="C37" s="368" t="str">
        <f>IFERROR(__xludf.DUMMYFUNCTION("""COMPUTED_VALUE"""),"Industrial Real Estate News")</f>
        <v>Industrial Real Estate News</v>
      </c>
      <c r="D37" s="368" t="str">
        <f>IFERROR(__xludf.DUMMYFUNCTION("""COMPUTED_VALUE"""),"CRC released Dubai Commercial Real Estate Market Report Q3 2021")</f>
        <v>CRC released Dubai Commercial Real Estate Market Report Q3 2021</v>
      </c>
      <c r="E37" s="507" t="str">
        <f>IFERROR(__xludf.DUMMYFUNCTION("""COMPUTED_VALUE"""),"https://industrialrealestatenews.top/crc-released-dubai-commercial-real-estate-market-report-q3-2021/")</f>
        <v>https://industrialrealestatenews.top/crc-released-dubai-commercial-real-estate-market-report-q3-2021/</v>
      </c>
      <c r="F37" s="368" t="str">
        <f>IFERROR(__xludf.DUMMYFUNCTION("""COMPUTED_VALUE"""),"CRC")</f>
        <v>CRC</v>
      </c>
    </row>
    <row r="38">
      <c r="A38" s="402">
        <f>IFERROR(__xludf.DUMMYFUNCTION("""COMPUTED_VALUE"""),44489.0)</f>
        <v>44489</v>
      </c>
      <c r="B38" s="368" t="str">
        <f>IFERROR(__xludf.DUMMYFUNCTION("""COMPUTED_VALUE"""),"Tier 3")</f>
        <v>Tier 3</v>
      </c>
      <c r="C38" s="368" t="str">
        <f>IFERROR(__xludf.DUMMYFUNCTION("""COMPUTED_VALUE"""),"Facilities Management ")</f>
        <v>Facilities Management </v>
      </c>
      <c r="D38" s="368" t="str">
        <f>IFERROR(__xludf.DUMMYFUNCTION("""COMPUTED_VALUE"""),"CRC released Dubai Commercial Real Estate Market Report Q3 2022")</f>
        <v>CRC released Dubai Commercial Real Estate Market Report Q3 2022</v>
      </c>
      <c r="E38" s="507" t="str">
        <f>IFERROR(__xludf.DUMMYFUNCTION("""COMPUTED_VALUE"""),"https://www.fm-middleeast.com/business/crc-released-dubai-commercial-real-estate-market-report-q3-2021")</f>
        <v>https://www.fm-middleeast.com/business/crc-released-dubai-commercial-real-estate-market-report-q3-2021</v>
      </c>
      <c r="F38" s="368" t="str">
        <f>IFERROR(__xludf.DUMMYFUNCTION("""COMPUTED_VALUE"""),"CRC")</f>
        <v>CRC</v>
      </c>
    </row>
    <row r="39">
      <c r="A39" s="402">
        <f>IFERROR(__xludf.DUMMYFUNCTION("""COMPUTED_VALUE"""),44489.0)</f>
        <v>44489</v>
      </c>
      <c r="B39" s="368" t="str">
        <f>IFERROR(__xludf.DUMMYFUNCTION("""COMPUTED_VALUE"""),"Tier 2")</f>
        <v>Tier 2</v>
      </c>
      <c r="C39" s="368" t="str">
        <f>IFERROR(__xludf.DUMMYFUNCTION("""COMPUTED_VALUE"""),"Arabian Business")</f>
        <v>Arabian Business</v>
      </c>
      <c r="D39" s="368" t="str">
        <f>IFERROR(__xludf.DUMMYFUNCTION("""COMPUTED_VALUE"""),"Is the pace of Dubai's recent property price hikes starting to slow?")</f>
        <v>Is the pace of Dubai's recent property price hikes starting to slow?</v>
      </c>
      <c r="E39" s="507" t="str">
        <f>IFERROR(__xludf.DUMMYFUNCTION("""COMPUTED_VALUE"""),"https://www.arabianbusiness.com/industries-real-estate/469867-is-the-pace-of-dubais-recent-property-price-hikes-starting-to-slow")</f>
        <v>https://www.arabianbusiness.com/industries-real-estate/469867-is-the-pace-of-dubais-recent-property-price-hikes-starting-to-slow</v>
      </c>
      <c r="F39" s="368" t="str">
        <f>IFERROR(__xludf.DUMMYFUNCTION("""COMPUTED_VALUE"""),"Betterhomes")</f>
        <v>Betterhomes</v>
      </c>
    </row>
    <row r="40">
      <c r="A40" s="402">
        <f>IFERROR(__xludf.DUMMYFUNCTION("""COMPUTED_VALUE"""),44490.0)</f>
        <v>44490</v>
      </c>
      <c r="B40" s="368" t="str">
        <f>IFERROR(__xludf.DUMMYFUNCTION("""COMPUTED_VALUE"""),"Tier 2")</f>
        <v>Tier 2</v>
      </c>
      <c r="C40" s="368" t="str">
        <f>IFERROR(__xludf.DUMMYFUNCTION("""COMPUTED_VALUE"""),"Gulf News")</f>
        <v>Gulf News</v>
      </c>
      <c r="D40" s="368" t="str">
        <f>IFERROR(__xludf.DUMMYFUNCTION("""COMPUTED_VALUE"""),"Better Homes plans global presence with more offices")</f>
        <v>Better Homes plans global presence with more offices</v>
      </c>
      <c r="E40" s="507" t="str">
        <f>IFERROR(__xludf.DUMMYFUNCTION("""COMPUTED_VALUE"""),"https://gulfnews.com/business/property/better-homes-plans-global-presence-with-more-offices-1.253412")</f>
        <v>https://gulfnews.com/business/property/better-homes-plans-global-presence-with-more-offices-1.253412</v>
      </c>
      <c r="F40" s="368" t="str">
        <f>IFERROR(__xludf.DUMMYFUNCTION("""COMPUTED_VALUE"""),"Betterhomes")</f>
        <v>Betterhomes</v>
      </c>
    </row>
    <row r="41">
      <c r="A41" s="402">
        <f>IFERROR(__xludf.DUMMYFUNCTION("""COMPUTED_VALUE"""),44493.0)</f>
        <v>44493</v>
      </c>
      <c r="B41" s="368" t="str">
        <f>IFERROR(__xludf.DUMMYFUNCTION("""COMPUTED_VALUE"""),"Tier 2")</f>
        <v>Tier 2</v>
      </c>
      <c r="C41" s="368" t="str">
        <f>IFERROR(__xludf.DUMMYFUNCTION("""COMPUTED_VALUE"""),"Khaleej Times")</f>
        <v>Khaleej Times</v>
      </c>
      <c r="D41" s="368" t="str">
        <f>IFERROR(__xludf.DUMMYFUNCTION("""COMPUTED_VALUE"""),"Dubai: Low-interest rates boost mortgage transactions in 2021")</f>
        <v>Dubai: Low-interest rates boost mortgage transactions in 2021</v>
      </c>
      <c r="E41" s="507" t="str">
        <f>IFERROR(__xludf.DUMMYFUNCTION("""COMPUTED_VALUE"""),"https://www.khaleejtimes.com/business/dubai-low-interest-rates-boost-mortgage-transactions-in-2021")</f>
        <v>https://www.khaleejtimes.com/business/dubai-low-interest-rates-boost-mortgage-transactions-in-2021</v>
      </c>
      <c r="F41" s="368" t="str">
        <f>IFERROR(__xludf.DUMMYFUNCTION("""COMPUTED_VALUE"""),"Betterhomes")</f>
        <v>Betterhomes</v>
      </c>
    </row>
    <row r="42">
      <c r="A42" s="402">
        <f>IFERROR(__xludf.DUMMYFUNCTION("""COMPUTED_VALUE"""),44503.0)</f>
        <v>44503</v>
      </c>
      <c r="B42" s="368" t="str">
        <f>IFERROR(__xludf.DUMMYFUNCTION("""COMPUTED_VALUE"""),"Tier 2")</f>
        <v>Tier 2</v>
      </c>
      <c r="C42" s="368" t="str">
        <f>IFERROR(__xludf.DUMMYFUNCTION("""COMPUTED_VALUE"""),"Arabian Business ")</f>
        <v>Arabian Business </v>
      </c>
      <c r="D42" s="368" t="str">
        <f>IFERROR(__xludf.DUMMYFUNCTION("""COMPUTED_VALUE"""),"Dubai property broker seals record $2m leasing deal for luxury villa")</f>
        <v>Dubai property broker seals record $2m leasing deal for luxury villa</v>
      </c>
      <c r="E42" s="507" t="str">
        <f>IFERROR(__xludf.DUMMYFUNCTION("""COMPUTED_VALUE"""),"https://www.arabianbusiness.com/real-estate/470612-dubai-property-broker-seals-record-2m-leasing-deal-for-luxury-villa")</f>
        <v>https://www.arabianbusiness.com/real-estate/470612-dubai-property-broker-seals-record-2m-leasing-deal-for-luxury-villa</v>
      </c>
      <c r="F42" s="368" t="str">
        <f>IFERROR(__xludf.DUMMYFUNCTION("""COMPUTED_VALUE"""),"Betterhomes")</f>
        <v>Betterhomes</v>
      </c>
    </row>
    <row r="43">
      <c r="A43" s="402">
        <f>IFERROR(__xludf.DUMMYFUNCTION("""COMPUTED_VALUE"""),44504.0)</f>
        <v>44504</v>
      </c>
      <c r="B43" s="368" t="str">
        <f>IFERROR(__xludf.DUMMYFUNCTION("""COMPUTED_VALUE"""),"Tier 2")</f>
        <v>Tier 2</v>
      </c>
      <c r="C43" s="368" t="str">
        <f>IFERROR(__xludf.DUMMYFUNCTION("""COMPUTED_VALUE"""),"Construction Week")</f>
        <v>Construction Week</v>
      </c>
      <c r="D43" s="368" t="str">
        <f>IFERROR(__xludf.DUMMYFUNCTION("""COMPUTED_VALUE"""),"Betterhomes logs leasing deal at $1.76 million in Emirates Hills")</f>
        <v>Betterhomes logs leasing deal at $1.76 million in Emirates Hills</v>
      </c>
      <c r="E43" s="507" t="str">
        <f>IFERROR(__xludf.DUMMYFUNCTION("""COMPUTED_VALUE"""),"https://www.constructionweekonline.com/business/betterhomes-logs-leasing-deal-at-1-76-million-in-emirates-hills")</f>
        <v>https://www.constructionweekonline.com/business/betterhomes-logs-leasing-deal-at-1-76-million-in-emirates-hills</v>
      </c>
      <c r="F43" s="368" t="str">
        <f>IFERROR(__xludf.DUMMYFUNCTION("""COMPUTED_VALUE"""),"Betterhomes")</f>
        <v>Betterhomes</v>
      </c>
    </row>
    <row r="44">
      <c r="A44" s="402">
        <f>IFERROR(__xludf.DUMMYFUNCTION("""COMPUTED_VALUE"""),44503.0)</f>
        <v>44503</v>
      </c>
      <c r="B44" s="368" t="str">
        <f>IFERROR(__xludf.DUMMYFUNCTION("""COMPUTED_VALUE"""),"Tier 3")</f>
        <v>Tier 3</v>
      </c>
      <c r="C44" s="368" t="str">
        <f>IFERROR(__xludf.DUMMYFUNCTION("""COMPUTED_VALUE"""),"UAE Business")</f>
        <v>UAE Business</v>
      </c>
      <c r="D44" s="368" t="str">
        <f>IFERROR(__xludf.DUMMYFUNCTION("""COMPUTED_VALUE"""),"Dubai property market logs highest leasing deal at AED7.5M/year")</f>
        <v>Dubai property market logs highest leasing deal at AED7.5M/year</v>
      </c>
      <c r="E44" s="507" t="str">
        <f>IFERROR(__xludf.DUMMYFUNCTION("""COMPUTED_VALUE"""),"https://uaebusiness.com/tag/better-homes-llc/")</f>
        <v>https://uaebusiness.com/tag/better-homes-llc/</v>
      </c>
      <c r="F44" s="368" t="str">
        <f>IFERROR(__xludf.DUMMYFUNCTION("""COMPUTED_VALUE"""),"Betterhomes")</f>
        <v>Betterhomes</v>
      </c>
    </row>
    <row r="45">
      <c r="A45" s="402">
        <f>IFERROR(__xludf.DUMMYFUNCTION("""COMPUTED_VALUE"""),44503.0)</f>
        <v>44503</v>
      </c>
      <c r="B45" s="368" t="str">
        <f>IFERROR(__xludf.DUMMYFUNCTION("""COMPUTED_VALUE"""),"Tier 3")</f>
        <v>Tier 3</v>
      </c>
      <c r="C45" s="368" t="str">
        <f>IFERROR(__xludf.DUMMYFUNCTION("""COMPUTED_VALUE"""),"Liana Press")</f>
        <v>Liana Press</v>
      </c>
      <c r="D45" s="368" t="str">
        <f>IFERROR(__xludf.DUMMYFUNCTION("""COMPUTED_VALUE"""),"Dubai property market logs highest leasing deal at AED7.5M/year")</f>
        <v>Dubai property market logs highest leasing deal at AED7.5M/year</v>
      </c>
      <c r="E45" s="507" t="str">
        <f>IFERROR(__xludf.DUMMYFUNCTION("""COMPUTED_VALUE"""),"https://www.lianapress.ae/releases/construction/dubai-property-market-logs-highest-leasing-deal-at-aed7.5myear.html")</f>
        <v>https://www.lianapress.ae/releases/construction/dubai-property-market-logs-highest-leasing-deal-at-aed7.5myear.html</v>
      </c>
      <c r="F45" s="368" t="str">
        <f>IFERROR(__xludf.DUMMYFUNCTION("""COMPUTED_VALUE"""),"Betterhomes")</f>
        <v>Betterhomes</v>
      </c>
    </row>
    <row r="46">
      <c r="A46" s="402">
        <f>IFERROR(__xludf.DUMMYFUNCTION("""COMPUTED_VALUE"""),44503.0)</f>
        <v>44503</v>
      </c>
      <c r="B46" s="368" t="str">
        <f>IFERROR(__xludf.DUMMYFUNCTION("""COMPUTED_VALUE"""),"Tier 2")</f>
        <v>Tier 2</v>
      </c>
      <c r="C46" s="368" t="str">
        <f>IFERROR(__xludf.DUMMYFUNCTION("""COMPUTED_VALUE"""),"Zawaya")</f>
        <v>Zawaya</v>
      </c>
      <c r="D46" s="368" t="str">
        <f>IFERROR(__xludf.DUMMYFUNCTION("""COMPUTED_VALUE"""),"Dubai property market logs highest leasing deal at AED7.5mln/year")</f>
        <v>Dubai property market logs highest leasing deal at AED7.5mln/year</v>
      </c>
      <c r="E46" s="507" t="str">
        <f>IFERROR(__xludf.DUMMYFUNCTION("""COMPUTED_VALUE"""),"https://www.zawya.com/mena/en/press-releases/story/Dubai_property_market_logs_highest_leasing_deal_at_AED75mlnyear-ZAWYA20211103104849/")</f>
        <v>https://www.zawya.com/mena/en/press-releases/story/Dubai_property_market_logs_highest_leasing_deal_at_AED75mlnyear-ZAWYA20211103104849/</v>
      </c>
      <c r="F46" s="368" t="str">
        <f>IFERROR(__xludf.DUMMYFUNCTION("""COMPUTED_VALUE"""),"Betterhomes")</f>
        <v>Betterhomes</v>
      </c>
    </row>
    <row r="47">
      <c r="A47" s="402">
        <f>IFERROR(__xludf.DUMMYFUNCTION("""COMPUTED_VALUE"""),44504.0)</f>
        <v>44504</v>
      </c>
      <c r="B47" s="368" t="str">
        <f>IFERROR(__xludf.DUMMYFUNCTION("""COMPUTED_VALUE"""),"Tier 2")</f>
        <v>Tier 2</v>
      </c>
      <c r="C47" s="368" t="str">
        <f>IFERROR(__xludf.DUMMYFUNCTION("""COMPUTED_VALUE"""),"Property Finder")</f>
        <v>Property Finder</v>
      </c>
      <c r="D47" s="368" t="str">
        <f>IFERROR(__xludf.DUMMYFUNCTION("""COMPUTED_VALUE"""),"Latest Prestige November 2021 issue in Gulf Business")</f>
        <v>Latest Prestige November 2021 issue in Gulf Business</v>
      </c>
      <c r="E47" s="507" t="str">
        <f>IFERROR(__xludf.DUMMYFUNCTION("""COMPUTED_VALUE"""),"https://www.propertyfinder.ae/hub/agent-guides/latest-prestige-november-2021-issue-in-gulf-business/")</f>
        <v>https://www.propertyfinder.ae/hub/agent-guides/latest-prestige-november-2021-issue-in-gulf-business/</v>
      </c>
      <c r="F47" s="368" t="str">
        <f>IFERROR(__xludf.DUMMYFUNCTION("""COMPUTED_VALUE"""),"Linda's")</f>
        <v>Linda's</v>
      </c>
    </row>
    <row r="48">
      <c r="A48" s="402">
        <f>IFERROR(__xludf.DUMMYFUNCTION("""COMPUTED_VALUE"""),44506.0)</f>
        <v>44506</v>
      </c>
      <c r="B48" s="368" t="str">
        <f>IFERROR(__xludf.DUMMYFUNCTION("""COMPUTED_VALUE"""),"Tier 2")</f>
        <v>Tier 2</v>
      </c>
      <c r="C48" s="368" t="str">
        <f>IFERROR(__xludf.DUMMYFUNCTION("""COMPUTED_VALUE"""),"The National")</f>
        <v>The National</v>
      </c>
      <c r="D48" s="368"/>
      <c r="E48" s="507" t="str">
        <f>IFERROR(__xludf.DUMMYFUNCTION("""COMPUTED_VALUE"""),"https://www.thenationalnews.com/lifestyle/luxury/2021/11/06/dh75m-emirates-hills-villa-becomes-dubais-most-expensive-rental/")</f>
        <v>https://www.thenationalnews.com/lifestyle/luxury/2021/11/06/dh75m-emirates-hills-villa-becomes-dubais-most-expensive-rental/</v>
      </c>
      <c r="F48" s="368" t="str">
        <f>IFERROR(__xludf.DUMMYFUNCTION("""COMPUTED_VALUE"""),"Betterhomes")</f>
        <v>Betterhomes</v>
      </c>
    </row>
    <row r="49">
      <c r="A49" s="402">
        <f>IFERROR(__xludf.DUMMYFUNCTION("""COMPUTED_VALUE"""),44506.0)</f>
        <v>44506</v>
      </c>
      <c r="B49" s="368" t="str">
        <f>IFERROR(__xludf.DUMMYFUNCTION("""COMPUTED_VALUE"""),"Tier 2")</f>
        <v>Tier 2</v>
      </c>
      <c r="C49" s="368" t="str">
        <f>IFERROR(__xludf.DUMMYFUNCTION("""COMPUTED_VALUE"""),"Radio Eye")</f>
        <v>Radio Eye</v>
      </c>
      <c r="D49" s="368" t="str">
        <f>IFERROR(__xludf.DUMMYFUNCTION("""COMPUTED_VALUE"""),"Hannah's 7.5m leasinf deal")</f>
        <v>Hannah's 7.5m leasinf deal</v>
      </c>
      <c r="E49" s="368" t="str">
        <f>IFERROR(__xludf.DUMMYFUNCTION("""COMPUTED_VALUE"""),"Business Breakfast")</f>
        <v>Business Breakfast</v>
      </c>
      <c r="F49" s="368" t="str">
        <f>IFERROR(__xludf.DUMMYFUNCTION("""COMPUTED_VALUE"""),"Betterhomes")</f>
        <v>Betterhomes</v>
      </c>
    </row>
    <row r="50">
      <c r="A50" s="402">
        <f>IFERROR(__xludf.DUMMYFUNCTION("""COMPUTED_VALUE"""),44507.0)</f>
        <v>44507</v>
      </c>
      <c r="B50" s="368" t="str">
        <f>IFERROR(__xludf.DUMMYFUNCTION("""COMPUTED_VALUE"""),"Tier 2")</f>
        <v>Tier 2</v>
      </c>
      <c r="C50" s="368" t="str">
        <f>IFERROR(__xludf.DUMMYFUNCTION("""COMPUTED_VALUE"""),"Construction Week")</f>
        <v>Construction Week</v>
      </c>
      <c r="D50" s="368" t="str">
        <f>IFERROR(__xludf.DUMMYFUNCTION("""COMPUTED_VALUE"""),"Betterhomes logs leasing deal at $1.76 million in Emirates Hills")</f>
        <v>Betterhomes logs leasing deal at $1.76 million in Emirates Hills</v>
      </c>
      <c r="E50" s="507" t="str">
        <f>IFERROR(__xludf.DUMMYFUNCTION("""COMPUTED_VALUE"""),"https://www.constructionweekonline.com/business/betterhomes-logs-leasing-deal-at-1-76-million-in-emirates-hills")</f>
        <v>https://www.constructionweekonline.com/business/betterhomes-logs-leasing-deal-at-1-76-million-in-emirates-hills</v>
      </c>
      <c r="F50" s="368" t="str">
        <f>IFERROR(__xludf.DUMMYFUNCTION("""COMPUTED_VALUE"""),"Betterhomes")</f>
        <v>Betterhomes</v>
      </c>
    </row>
    <row r="51">
      <c r="A51" s="402">
        <f>IFERROR(__xludf.DUMMYFUNCTION("""COMPUTED_VALUE"""),44508.0)</f>
        <v>44508</v>
      </c>
      <c r="B51" s="368" t="str">
        <f>IFERROR(__xludf.DUMMYFUNCTION("""COMPUTED_VALUE"""),"Tier 3")</f>
        <v>Tier 3</v>
      </c>
      <c r="C51" s="368" t="str">
        <f>IFERROR(__xludf.DUMMYFUNCTION("""COMPUTED_VALUE"""),"The Wall")</f>
        <v>The Wall</v>
      </c>
      <c r="D51" s="368"/>
      <c r="E51" s="507" t="str">
        <f>IFERROR(__xludf.DUMMYFUNCTION("""COMPUTED_VALUE"""),"https://thewall.fyi/dubai-property-broker-seals-record-2m-leasing-deal-for-luxury-villa/")</f>
        <v>https://thewall.fyi/dubai-property-broker-seals-record-2m-leasing-deal-for-luxury-villa/</v>
      </c>
      <c r="F51" s="368" t="str">
        <f>IFERROR(__xludf.DUMMYFUNCTION("""COMPUTED_VALUE"""),"Betterhomes")</f>
        <v>Betterhomes</v>
      </c>
    </row>
    <row r="52">
      <c r="A52" s="402">
        <f>IFERROR(__xludf.DUMMYFUNCTION("""COMPUTED_VALUE"""),44509.0)</f>
        <v>44509</v>
      </c>
      <c r="B52" s="368" t="str">
        <f>IFERROR(__xludf.DUMMYFUNCTION("""COMPUTED_VALUE"""),"Tier 3")</f>
        <v>Tier 3</v>
      </c>
      <c r="C52" s="368" t="str">
        <f>IFERROR(__xludf.DUMMYFUNCTION("""COMPUTED_VALUE"""),"International Business Magazine")</f>
        <v>International Business Magazine</v>
      </c>
      <c r="D52" s="368"/>
      <c r="E52" s="507" t="str">
        <f>IFERROR(__xludf.DUMMYFUNCTION("""COMPUTED_VALUE"""),"https://intlbm.com/dubai-real-estate-market-clocks-its-highest-leasing-deal-worth-aed7-5-million/")</f>
        <v>https://intlbm.com/dubai-real-estate-market-clocks-its-highest-leasing-deal-worth-aed7-5-million/</v>
      </c>
      <c r="F52" s="368" t="str">
        <f>IFERROR(__xludf.DUMMYFUNCTION("""COMPUTED_VALUE"""),"Betterhomes")</f>
        <v>Betterhomes</v>
      </c>
    </row>
    <row r="53">
      <c r="A53" s="402">
        <f>IFERROR(__xludf.DUMMYFUNCTION("""COMPUTED_VALUE"""),44509.0)</f>
        <v>44509</v>
      </c>
      <c r="B53" s="368" t="str">
        <f>IFERROR(__xludf.DUMMYFUNCTION("""COMPUTED_VALUE"""),"Tier 3")</f>
        <v>Tier 3</v>
      </c>
      <c r="C53" s="368" t="str">
        <f>IFERROR(__xludf.DUMMYFUNCTION("""COMPUTED_VALUE"""),"Medium Value Strat")</f>
        <v>Medium Value Strat</v>
      </c>
      <c r="D53" s="368"/>
      <c r="E53" s="507" t="str">
        <f>IFERROR(__xludf.DUMMYFUNCTION("""COMPUTED_VALUE"""),"https://medium.com/@valustrat/dh7-5m-emirates-hills-villa-becomes-dubais-most-expensive-rental-fdd55e5c53bd")</f>
        <v>https://medium.com/@valustrat/dh7-5m-emirates-hills-villa-becomes-dubais-most-expensive-rental-fdd55e5c53bd</v>
      </c>
      <c r="F53" s="368" t="str">
        <f>IFERROR(__xludf.DUMMYFUNCTION("""COMPUTED_VALUE"""),"Betterhomes")</f>
        <v>Betterhomes</v>
      </c>
    </row>
    <row r="54">
      <c r="A54" s="402">
        <f>IFERROR(__xludf.DUMMYFUNCTION("""COMPUTED_VALUE"""),44586.0)</f>
        <v>44586</v>
      </c>
      <c r="B54" s="368" t="str">
        <f>IFERROR(__xludf.DUMMYFUNCTION("""COMPUTED_VALUE"""),"Tier 2")</f>
        <v>Tier 2</v>
      </c>
      <c r="C54" s="368" t="str">
        <f>IFERROR(__xludf.DUMMYFUNCTION("""COMPUTED_VALUE"""),"Zawya")</f>
        <v>Zawya</v>
      </c>
      <c r="D54" s="368" t="str">
        <f>IFERROR(__xludf.DUMMYFUNCTION("""COMPUTED_VALUE"""),"CRC, Betterhomes Group company and Dubai's largest commercial real estate agency, released their 2021 Dubai Commercial Property Market Report")</f>
        <v>CRC, Betterhomes Group company and Dubai's largest commercial real estate agency, released their 2021 Dubai Commercial Property Market Report</v>
      </c>
      <c r="E54" s="507" t="str">
        <f>IFERROR(__xludf.DUMMYFUNCTION("""COMPUTED_VALUE"""),"https://www.zawya.com/uae/en/story/amp/ZAWYA20220125075208/")</f>
        <v>https://www.zawya.com/uae/en/story/amp/ZAWYA20220125075208/</v>
      </c>
      <c r="F54" s="368" t="str">
        <f>IFERROR(__xludf.DUMMYFUNCTION("""COMPUTED_VALUE"""),"CRC")</f>
        <v>CRC</v>
      </c>
    </row>
    <row r="55">
      <c r="A55" s="402">
        <f>IFERROR(__xludf.DUMMYFUNCTION("""COMPUTED_VALUE"""),44587.0)</f>
        <v>44587</v>
      </c>
      <c r="B55" s="368" t="str">
        <f>IFERROR(__xludf.DUMMYFUNCTION("""COMPUTED_VALUE"""),"Tier 2")</f>
        <v>Tier 2</v>
      </c>
      <c r="C55" s="368" t="str">
        <f>IFERROR(__xludf.DUMMYFUNCTION("""COMPUTED_VALUE"""),"Property News")</f>
        <v>Property News</v>
      </c>
      <c r="D55" s="368" t="str">
        <f>IFERROR(__xludf.DUMMYFUNCTION("""COMPUTED_VALUE"""),"Betterhomes: Dubai real estate at all-time high after banner year in 2021
")</f>
        <v>Betterhomes: Dubai real estate at all-time high after banner year in 2021
</v>
      </c>
      <c r="E55" s="507" t="str">
        <f>IFERROR(__xludf.DUMMYFUNCTION("""COMPUTED_VALUE"""),"https://www.propertynews.ae/general/press-release/betterhomes-dubai-real-estate-at-all-time-high-after-banner-year-in-2021/")</f>
        <v>https://www.propertynews.ae/general/press-release/betterhomes-dubai-real-estate-at-all-time-high-after-banner-year-in-2021/</v>
      </c>
      <c r="F55" s="368" t="str">
        <f>IFERROR(__xludf.DUMMYFUNCTION("""COMPUTED_VALUE"""),"Betterhomes")</f>
        <v>Betterhomes</v>
      </c>
    </row>
    <row r="56">
      <c r="A56" s="402">
        <f>IFERROR(__xludf.DUMMYFUNCTION("""COMPUTED_VALUE"""),44588.0)</f>
        <v>44588</v>
      </c>
      <c r="B56" s="368" t="str">
        <f>IFERROR(__xludf.DUMMYFUNCTION("""COMPUTED_VALUE"""),"Tier 2")</f>
        <v>Tier 2</v>
      </c>
      <c r="C56" s="368" t="str">
        <f>IFERROR(__xludf.DUMMYFUNCTION("""COMPUTED_VALUE"""),"Khaleej Times")</f>
        <v>Khaleej Times</v>
      </c>
      <c r="D56" s="368" t="str">
        <f>IFERROR(__xludf.DUMMYFUNCTION("""COMPUTED_VALUE"""),"Dubai: Real estate boom to continue; 36,000 residential units to come online in 2022")</f>
        <v>Dubai: Real estate boom to continue; 36,000 residential units to come online in 2022</v>
      </c>
      <c r="E56" s="507" t="str">
        <f>IFERROR(__xludf.DUMMYFUNCTION("""COMPUTED_VALUE"""),"https://www.khaleejtimes.com/property/dubai-real-estate-boom-to-continue-36000-residential-units-to-come-online-in-2022")</f>
        <v>https://www.khaleejtimes.com/property/dubai-real-estate-boom-to-continue-36000-residential-units-to-come-online-in-2022</v>
      </c>
      <c r="F56" s="368" t="str">
        <f>IFERROR(__xludf.DUMMYFUNCTION("""COMPUTED_VALUE"""),"Betterhomes")</f>
        <v>Betterhomes</v>
      </c>
    </row>
    <row r="57">
      <c r="A57" s="402">
        <f>IFERROR(__xludf.DUMMYFUNCTION("""COMPUTED_VALUE"""),44598.0)</f>
        <v>44598</v>
      </c>
      <c r="B57" s="368" t="str">
        <f>IFERROR(__xludf.DUMMYFUNCTION("""COMPUTED_VALUE"""),"Tier 2")</f>
        <v>Tier 2</v>
      </c>
      <c r="C57" s="368" t="str">
        <f>IFERROR(__xludf.DUMMYFUNCTION("""COMPUTED_VALUE"""),"Arabian Business ")</f>
        <v>Arabian Business </v>
      </c>
      <c r="D57" s="368" t="str">
        <f>IFERROR(__xludf.DUMMYFUNCTION("""COMPUTED_VALUE"""),"2021 seen as ‘major turning point’ for Dubai office market after Covid shock")</f>
        <v>2021 seen as ‘major turning point’ for Dubai office market after Covid shock</v>
      </c>
      <c r="E57" s="507" t="str">
        <f>IFERROR(__xludf.DUMMYFUNCTION("""COMPUTED_VALUE"""),"https://www.arabianbusiness.com/industries/real-estate/2021-seen-as-major-turning-point-for-dubai-office-market-after-covid-shock")</f>
        <v>https://www.arabianbusiness.com/industries/real-estate/2021-seen-as-major-turning-point-for-dubai-office-market-after-covid-shock</v>
      </c>
      <c r="F57" s="368" t="str">
        <f>IFERROR(__xludf.DUMMYFUNCTION("""COMPUTED_VALUE"""),"CRC")</f>
        <v>CRC</v>
      </c>
    </row>
    <row r="58">
      <c r="A58" s="402">
        <f>IFERROR(__xludf.DUMMYFUNCTION("""COMPUTED_VALUE"""),44638.0)</f>
        <v>44638</v>
      </c>
      <c r="B58" s="368" t="str">
        <f>IFERROR(__xludf.DUMMYFUNCTION("""COMPUTED_VALUE"""),"Tier 2")</f>
        <v>Tier 2</v>
      </c>
      <c r="C58" s="368" t="str">
        <f>IFERROR(__xludf.DUMMYFUNCTION("""COMPUTED_VALUE"""),"The National")</f>
        <v>The National</v>
      </c>
      <c r="D58" s="368" t="str">
        <f>IFERROR(__xludf.DUMMYFUNCTION("""COMPUTED_VALUE"""),"Top 7 mistakes to avoid when selling your home")</f>
        <v>Top 7 mistakes to avoid when selling your home</v>
      </c>
      <c r="E58" s="507" t="str">
        <f>IFERROR(__xludf.DUMMYFUNCTION("""COMPUTED_VALUE"""),"https://www.thenationalnews.com/weekend/2022/03/18/top-7-mistakes-to-avoid-when-selling-your-home/")</f>
        <v>https://www.thenationalnews.com/weekend/2022/03/18/top-7-mistakes-to-avoid-when-selling-your-home/</v>
      </c>
      <c r="F58" s="368" t="str">
        <f>IFERROR(__xludf.DUMMYFUNCTION("""COMPUTED_VALUE"""),"Betterhomes")</f>
        <v>Betterhomes</v>
      </c>
    </row>
    <row r="59">
      <c r="A59" s="402">
        <f>IFERROR(__xludf.DUMMYFUNCTION("""COMPUTED_VALUE"""),44669.0)</f>
        <v>44669</v>
      </c>
      <c r="B59" s="368" t="str">
        <f>IFERROR(__xludf.DUMMYFUNCTION("""COMPUTED_VALUE"""),"Tier 2")</f>
        <v>Tier 2</v>
      </c>
      <c r="C59" s="368" t="str">
        <f>IFERROR(__xludf.DUMMYFUNCTION("""COMPUTED_VALUE"""),"Zawya")</f>
        <v>Zawya</v>
      </c>
      <c r="D59" s="368" t="str">
        <f>IFERROR(__xludf.DUMMYFUNCTION("""COMPUTED_VALUE"""),"Demand and prices on the rise for townhouses and apartments in Q1 2022")</f>
        <v>Demand and prices on the rise for townhouses and apartments in Q1 2022</v>
      </c>
      <c r="E59" s="507" t="str">
        <f>IFERROR(__xludf.DUMMYFUNCTION("""COMPUTED_VALUE"""),"https://www.zawya.com/en/press-release/companies-news/demand-and-prices-on-the-rise-for-townhouses-and-apartments-in-q1-2022-dp9dk0s7")</f>
        <v>https://www.zawya.com/en/press-release/companies-news/demand-and-prices-on-the-rise-for-townhouses-and-apartments-in-q1-2022-dp9dk0s7</v>
      </c>
      <c r="F59" s="368" t="str">
        <f>IFERROR(__xludf.DUMMYFUNCTION("""COMPUTED_VALUE"""),"Betterhomes")</f>
        <v>Betterhomes</v>
      </c>
    </row>
    <row r="60">
      <c r="A60" s="402">
        <f>IFERROR(__xludf.DUMMYFUNCTION("""COMPUTED_VALUE"""),44670.0)</f>
        <v>44670</v>
      </c>
      <c r="B60" s="368" t="str">
        <f>IFERROR(__xludf.DUMMYFUNCTION("""COMPUTED_VALUE"""),"Tier 2")</f>
        <v>Tier 2</v>
      </c>
      <c r="C60" s="368" t="str">
        <f>IFERROR(__xludf.DUMMYFUNCTION("""COMPUTED_VALUE"""),"Gulf News")</f>
        <v>Gulf News</v>
      </c>
      <c r="D60" s="368" t="str">
        <f>IFERROR(__xludf.DUMMYFUNCTION("""COMPUTED_VALUE"""),"In Dubai, villa owners find no takers for sudden price hikes of 10% and more")</f>
        <v>In Dubai, villa owners find no takers for sudden price hikes of 10% and more</v>
      </c>
      <c r="E60" s="507" t="str">
        <f>IFERROR(__xludf.DUMMYFUNCTION("""COMPUTED_VALUE"""),"https://gulfnews.com/business/property/in-dubai-villa-owners-find-no-takers-for-sudden-price-hikes-of-10-and-more-1.1650345406229")</f>
        <v>https://gulfnews.com/business/property/in-dubai-villa-owners-find-no-takers-for-sudden-price-hikes-of-10-and-more-1.1650345406229</v>
      </c>
      <c r="F60" s="368" t="str">
        <f>IFERROR(__xludf.DUMMYFUNCTION("""COMPUTED_VALUE"""),"Betterhomes")</f>
        <v>Betterhomes</v>
      </c>
    </row>
    <row r="61">
      <c r="A61" s="402">
        <f>IFERROR(__xludf.DUMMYFUNCTION("""COMPUTED_VALUE"""),44670.0)</f>
        <v>44670</v>
      </c>
      <c r="B61" s="368" t="str">
        <f>IFERROR(__xludf.DUMMYFUNCTION("""COMPUTED_VALUE"""),"Tier 1")</f>
        <v>Tier 1</v>
      </c>
      <c r="C61" s="368" t="str">
        <f>IFERROR(__xludf.DUMMYFUNCTION("""COMPUTED_VALUE"""),"Bloomberg")</f>
        <v>Bloomberg</v>
      </c>
      <c r="D61" s="368" t="str">
        <f>IFERROR(__xludf.DUMMYFUNCTION("""COMPUTED_VALUE"""),"Russians Climb Dubai Property Ladder as Sanctions Imperil Wealth")</f>
        <v>Russians Climb Dubai Property Ladder as Sanctions Imperil Wealth</v>
      </c>
      <c r="E61" s="507" t="str">
        <f>IFERROR(__xludf.DUMMYFUNCTION("""COMPUTED_VALUE"""),"https://www.bloomberg.com/news/articles/2022-04-19/russians-climb-dubai-property-ladder-as-sanctions-imperil-wealth")</f>
        <v>https://www.bloomberg.com/news/articles/2022-04-19/russians-climb-dubai-property-ladder-as-sanctions-imperil-wealth</v>
      </c>
      <c r="F61" s="368" t="str">
        <f>IFERROR(__xludf.DUMMYFUNCTION("""COMPUTED_VALUE"""),"Betterhomes")</f>
        <v>Betterhomes</v>
      </c>
    </row>
    <row r="62">
      <c r="A62" s="402">
        <f>IFERROR(__xludf.DUMMYFUNCTION("""COMPUTED_VALUE"""),44671.0)</f>
        <v>44671</v>
      </c>
      <c r="B62" s="368" t="str">
        <f>IFERROR(__xludf.DUMMYFUNCTION("""COMPUTED_VALUE"""),"Tier 2")</f>
        <v>Tier 2</v>
      </c>
      <c r="C62" s="368" t="str">
        <f>IFERROR(__xludf.DUMMYFUNCTION("""COMPUTED_VALUE"""),"Arabian Business ")</f>
        <v>Arabian Business </v>
      </c>
      <c r="D62" s="368" t="str">
        <f>IFERROR(__xludf.DUMMYFUNCTION("""COMPUTED_VALUE"""),"Dubai’s commercial property market soars as post Covid confidence leads to strongest quarter since 2016")</f>
        <v>Dubai’s commercial property market soars as post Covid confidence leads to strongest quarter since 2016</v>
      </c>
      <c r="E62" s="507" t="str">
        <f>IFERROR(__xludf.DUMMYFUNCTION("""COMPUTED_VALUE"""),"https://www.arabianbusiness.com/money/wealth/money-wealth-real-estate/dubais-commercial-property-market-soars-as-post-covid-confidence-leads-to-strongest-quarter-since-2016")</f>
        <v>https://www.arabianbusiness.com/money/wealth/money-wealth-real-estate/dubais-commercial-property-market-soars-as-post-covid-confidence-leads-to-strongest-quarter-since-2016</v>
      </c>
      <c r="F62" s="368" t="str">
        <f>IFERROR(__xludf.DUMMYFUNCTION("""COMPUTED_VALUE"""),"CRC")</f>
        <v>CRC</v>
      </c>
    </row>
    <row r="63">
      <c r="A63" s="402">
        <f>IFERROR(__xludf.DUMMYFUNCTION("""COMPUTED_VALUE"""),44673.0)</f>
        <v>44673</v>
      </c>
      <c r="B63" s="368" t="str">
        <f>IFERROR(__xludf.DUMMYFUNCTION("""COMPUTED_VALUE"""),"Tier 2")</f>
        <v>Tier 2</v>
      </c>
      <c r="C63" s="368" t="str">
        <f>IFERROR(__xludf.DUMMYFUNCTION("""COMPUTED_VALUE"""),"The National")</f>
        <v>The National</v>
      </c>
      <c r="D63" s="368" t="str">
        <f>IFERROR(__xludf.DUMMYFUNCTION("""COMPUTED_VALUE"""),"Five renovations that could actually lower the value of your home")</f>
        <v>Five renovations that could actually lower the value of your home</v>
      </c>
      <c r="E63" s="507" t="str">
        <f>IFERROR(__xludf.DUMMYFUNCTION("""COMPUTED_VALUE"""),"https://www.thenationalnews.com/weekend/2022/04/22/five-renovations-that-could-actually-lower-the-value-of-your-home/")</f>
        <v>https://www.thenationalnews.com/weekend/2022/04/22/five-renovations-that-could-actually-lower-the-value-of-your-home/</v>
      </c>
      <c r="F63" s="368" t="str">
        <f>IFERROR(__xludf.DUMMYFUNCTION("""COMPUTED_VALUE"""),"Betterhomes")</f>
        <v>Betterhomes</v>
      </c>
    </row>
    <row r="64">
      <c r="A64" s="402">
        <f>IFERROR(__xludf.DUMMYFUNCTION("""COMPUTED_VALUE"""),44676.0)</f>
        <v>44676</v>
      </c>
      <c r="B64" s="368" t="str">
        <f>IFERROR(__xludf.DUMMYFUNCTION("""COMPUTED_VALUE"""),"Tier 2")</f>
        <v>Tier 2</v>
      </c>
      <c r="C64" s="368" t="str">
        <f>IFERROR(__xludf.DUMMYFUNCTION("""COMPUTED_VALUE"""),"Arab news")</f>
        <v>Arab news</v>
      </c>
      <c r="D64" s="368" t="str">
        <f>IFERROR(__xludf.DUMMYFUNCTION("""COMPUTED_VALUE"""),"Dubai property purchases by Russians up 67% in Q1 of 2022")</f>
        <v>Dubai property purchases by Russians up 67% in Q1 of 2022</v>
      </c>
      <c r="E64" s="507" t="str">
        <f>IFERROR(__xludf.DUMMYFUNCTION("""COMPUTED_VALUE"""),"https://www.arabnews.com/node/2066971/business-economy")</f>
        <v>https://www.arabnews.com/node/2066971/business-economy</v>
      </c>
      <c r="F64" s="368" t="str">
        <f>IFERROR(__xludf.DUMMYFUNCTION("""COMPUTED_VALUE"""),"Betterhomes")</f>
        <v>Betterhomes</v>
      </c>
    </row>
    <row r="65">
      <c r="A65" s="402">
        <f>IFERROR(__xludf.DUMMYFUNCTION("""COMPUTED_VALUE"""),44676.0)</f>
        <v>44676</v>
      </c>
      <c r="B65" s="368" t="str">
        <f>IFERROR(__xludf.DUMMYFUNCTION("""COMPUTED_VALUE"""),"Tier 1")</f>
        <v>Tier 1</v>
      </c>
      <c r="C65" s="368" t="str">
        <f>IFERROR(__xludf.DUMMYFUNCTION("""COMPUTED_VALUE"""),"Bloomberg")</f>
        <v>Bloomberg</v>
      </c>
      <c r="D65" s="368" t="str">
        <f>IFERROR(__xludf.DUMMYFUNCTION("""COMPUTED_VALUE"""),"Rising Oil Prices a Boon for Saudi Economy")</f>
        <v>Rising Oil Prices a Boon for Saudi Economy</v>
      </c>
      <c r="E65" s="507" t="str">
        <f>IFERROR(__xludf.DUMMYFUNCTION("""COMPUTED_VALUE"""),"https://www.bloomberg.com/news/newsletters/2022-04-25/rising-oil-prices-a-boon-for-saudi-arabia-s-economy")</f>
        <v>https://www.bloomberg.com/news/newsletters/2022-04-25/rising-oil-prices-a-boon-for-saudi-arabia-s-economy</v>
      </c>
      <c r="F65" s="368" t="str">
        <f>IFERROR(__xludf.DUMMYFUNCTION("""COMPUTED_VALUE"""),"Betterhomes")</f>
        <v>Betterhomes</v>
      </c>
    </row>
    <row r="66">
      <c r="A66" s="402">
        <f>IFERROR(__xludf.DUMMYFUNCTION("""COMPUTED_VALUE"""),44686.0)</f>
        <v>44686</v>
      </c>
      <c r="B66" s="368" t="str">
        <f>IFERROR(__xludf.DUMMYFUNCTION("""COMPUTED_VALUE"""),"Tier 1")</f>
        <v>Tier 1</v>
      </c>
      <c r="C66" s="368" t="str">
        <f>IFERROR(__xludf.DUMMYFUNCTION("""COMPUTED_VALUE"""),"BBC News")</f>
        <v>BBC News</v>
      </c>
      <c r="D66" s="368" t="str">
        <f>IFERROR(__xludf.DUMMYFUNCTION("""COMPUTED_VALUE"""),"Wealthy Russians flee to Dubai to avoid sanctions")</f>
        <v>Wealthy Russians flee to Dubai to avoid sanctions</v>
      </c>
      <c r="E66" s="507" t="str">
        <f>IFERROR(__xludf.DUMMYFUNCTION("""COMPUTED_VALUE"""),"https://www.bbc.com/news/business-61257448")</f>
        <v>https://www.bbc.com/news/business-61257448</v>
      </c>
      <c r="F66" s="368" t="str">
        <f>IFERROR(__xludf.DUMMYFUNCTION("""COMPUTED_VALUE"""),"Betterhomes")</f>
        <v>Betterhomes</v>
      </c>
    </row>
    <row r="67">
      <c r="A67" s="402">
        <f>IFERROR(__xludf.DUMMYFUNCTION("""COMPUTED_VALUE"""),44686.0)</f>
        <v>44686</v>
      </c>
      <c r="B67" s="368" t="str">
        <f>IFERROR(__xludf.DUMMYFUNCTION("""COMPUTED_VALUE"""),"Tier 2")</f>
        <v>Tier 2</v>
      </c>
      <c r="C67" s="368" t="str">
        <f>IFERROR(__xludf.DUMMYFUNCTION("""COMPUTED_VALUE"""),"Mirror")</f>
        <v>Mirror</v>
      </c>
      <c r="D67" s="368" t="str">
        <f>IFERROR(__xludf.DUMMYFUNCTION("""COMPUTED_VALUE"""),"Russian firms and billionaires flee to Dubai to avoid sanctions over Putin's Ukraine war")</f>
        <v>Russian firms and billionaires flee to Dubai to avoid sanctions over Putin's Ukraine war</v>
      </c>
      <c r="E67" s="507" t="str">
        <f>IFERROR(__xludf.DUMMYFUNCTION("""COMPUTED_VALUE"""),"https://www.mirror.co.uk/news/world-news/russian-firms-billionaires-flee-dubai-26885574")</f>
        <v>https://www.mirror.co.uk/news/world-news/russian-firms-billionaires-flee-dubai-26885574</v>
      </c>
      <c r="F67" s="368" t="str">
        <f>IFERROR(__xludf.DUMMYFUNCTION("""COMPUTED_VALUE"""),"Betterhomes")</f>
        <v>Betterhomes</v>
      </c>
    </row>
    <row r="68">
      <c r="A68" s="402">
        <f>IFERROR(__xludf.DUMMYFUNCTION("""COMPUTED_VALUE"""),44687.0)</f>
        <v>44687</v>
      </c>
      <c r="B68" s="368" t="str">
        <f>IFERROR(__xludf.DUMMYFUNCTION("""COMPUTED_VALUE"""),"Tier 3")</f>
        <v>Tier 3</v>
      </c>
      <c r="C68" s="368" t="str">
        <f>IFERROR(__xludf.DUMMYFUNCTION("""COMPUTED_VALUE"""),"International Investment")</f>
        <v>International Investment</v>
      </c>
      <c r="D68" s="368" t="str">
        <f>IFERROR(__xludf.DUMMYFUNCTION("""COMPUTED_VALUE"""),"Two thirds surge in Dubai property sales to Russians")</f>
        <v>Two thirds surge in Dubai property sales to Russians</v>
      </c>
      <c r="E68" s="507" t="str">
        <f>IFERROR(__xludf.DUMMYFUNCTION("""COMPUTED_VALUE"""),"https://www.internationalinvestment.net/news/4049274/thirds-surge-dubai-property-sales-russians")</f>
        <v>https://www.internationalinvestment.net/news/4049274/thirds-surge-dubai-property-sales-russians</v>
      </c>
      <c r="F68" s="368" t="str">
        <f>IFERROR(__xludf.DUMMYFUNCTION("""COMPUTED_VALUE"""),"Betterhomes")</f>
        <v>Betterhomes</v>
      </c>
    </row>
    <row r="69">
      <c r="A69" s="402">
        <f>IFERROR(__xludf.DUMMYFUNCTION("""COMPUTED_VALUE"""),44687.0)</f>
        <v>44687</v>
      </c>
      <c r="B69" s="368" t="str">
        <f>IFERROR(__xludf.DUMMYFUNCTION("""COMPUTED_VALUE"""),"Tier 3")</f>
        <v>Tier 3</v>
      </c>
      <c r="C69" s="368" t="str">
        <f>IFERROR(__xludf.DUMMYFUNCTION("""COMPUTED_VALUE"""),"Arise news")</f>
        <v>Arise news</v>
      </c>
      <c r="D69" s="368" t="str">
        <f>IFERROR(__xludf.DUMMYFUNCTION("""COMPUTED_VALUE"""),"Wealthy Russians Flee to Dubai to Avoid Sanctions")</f>
        <v>Wealthy Russians Flee to Dubai to Avoid Sanctions</v>
      </c>
      <c r="E69" s="507" t="str">
        <f>IFERROR(__xludf.DUMMYFUNCTION("""COMPUTED_VALUE"""),"https://www.arise.tv/wealthy-russians-flee-to-dubai-to-avoid-sanctions/")</f>
        <v>https://www.arise.tv/wealthy-russians-flee-to-dubai-to-avoid-sanctions/</v>
      </c>
      <c r="F69" s="368" t="str">
        <f>IFERROR(__xludf.DUMMYFUNCTION("""COMPUTED_VALUE"""),"Betterhomes")</f>
        <v>Betterhomes</v>
      </c>
    </row>
    <row r="70">
      <c r="A70" s="402">
        <f>IFERROR(__xludf.DUMMYFUNCTION("""COMPUTED_VALUE"""),44687.0)</f>
        <v>44687</v>
      </c>
      <c r="B70" s="368" t="str">
        <f>IFERROR(__xludf.DUMMYFUNCTION("""COMPUTED_VALUE"""),"Tier 2")</f>
        <v>Tier 2</v>
      </c>
      <c r="C70" s="368" t="str">
        <f>IFERROR(__xludf.DUMMYFUNCTION("""COMPUTED_VALUE"""),"Arab news")</f>
        <v>Arab news</v>
      </c>
      <c r="D70" s="368" t="str">
        <f>IFERROR(__xludf.DUMMYFUNCTION("""COMPUTED_VALUE"""),"Russian billionaires arriving in UAE in 'unprecedented numbers'")</f>
        <v>Russian billionaires arriving in UAE in 'unprecedented numbers'</v>
      </c>
      <c r="E70" s="507" t="str">
        <f>IFERROR(__xludf.DUMMYFUNCTION("""COMPUTED_VALUE"""),"https://www.arabnews.com/node/2076071/business-economy")</f>
        <v>https://www.arabnews.com/node/2076071/business-economy</v>
      </c>
      <c r="F70" s="368" t="str">
        <f>IFERROR(__xludf.DUMMYFUNCTION("""COMPUTED_VALUE"""),"Betterhomes")</f>
        <v>Betterhomes</v>
      </c>
    </row>
    <row r="71">
      <c r="A71" s="402">
        <f>IFERROR(__xludf.DUMMYFUNCTION("""COMPUTED_VALUE"""),44693.0)</f>
        <v>44693</v>
      </c>
      <c r="B71" s="368" t="str">
        <f>IFERROR(__xludf.DUMMYFUNCTION("""COMPUTED_VALUE"""),"Tier 3")</f>
        <v>Tier 3</v>
      </c>
      <c r="C71" s="368" t="str">
        <f>IFERROR(__xludf.DUMMYFUNCTION("""COMPUTED_VALUE"""),"UniverseNews Network")</f>
        <v>UniverseNews Network</v>
      </c>
      <c r="D71" s="368" t="str">
        <f>IFERROR(__xludf.DUMMYFUNCTION("""COMPUTED_VALUE"""),"Ryan Mahoney (Dubai, UAE): CRC Market Report on Commercial Properties")</f>
        <v>Ryan Mahoney (Dubai, UAE): CRC Market Report on Commercial Properties</v>
      </c>
      <c r="E71" s="507" t="str">
        <f>IFERROR(__xludf.DUMMYFUNCTION("""COMPUTED_VALUE"""),"https://www.universenewsnetwork.com/2022/05/12/ryan-mahoney-dubai-uae-crc-market-report-on-commercial-properties/")</f>
        <v>https://www.universenewsnetwork.com/2022/05/12/ryan-mahoney-dubai-uae-crc-market-report-on-commercial-properties/</v>
      </c>
      <c r="F71" s="368" t="str">
        <f>IFERROR(__xludf.DUMMYFUNCTION("""COMPUTED_VALUE"""),"CRC")</f>
        <v>CRC</v>
      </c>
    </row>
    <row r="72">
      <c r="A72" s="402">
        <f>IFERROR(__xludf.DUMMYFUNCTION("""COMPUTED_VALUE"""),44694.0)</f>
        <v>44694</v>
      </c>
      <c r="B72" s="368" t="str">
        <f>IFERROR(__xludf.DUMMYFUNCTION("""COMPUTED_VALUE"""),"Tier 3")</f>
        <v>Tier 3</v>
      </c>
      <c r="C72" s="368" t="str">
        <f>IFERROR(__xludf.DUMMYFUNCTION("""COMPUTED_VALUE"""),"Business Mole")</f>
        <v>Business Mole</v>
      </c>
      <c r="D72" s="368" t="str">
        <f>IFERROR(__xludf.DUMMYFUNCTION("""COMPUTED_VALUE"""),"Ryan Mahoney (Dubai, UAE): CRC Market Report on Commercial Properties")</f>
        <v>Ryan Mahoney (Dubai, UAE): CRC Market Report on Commercial Properties</v>
      </c>
      <c r="E72" s="507" t="str">
        <f>IFERROR(__xludf.DUMMYFUNCTION("""COMPUTED_VALUE"""),"http://www.businessmole.com/ryan-mahoney-dubai-uae-crc-market-report-on-commercial-properties/")</f>
        <v>http://www.businessmole.com/ryan-mahoney-dubai-uae-crc-market-report-on-commercial-properties/</v>
      </c>
      <c r="F72" s="368" t="str">
        <f>IFERROR(__xludf.DUMMYFUNCTION("""COMPUTED_VALUE"""),"CRC")</f>
        <v>CRC</v>
      </c>
    </row>
    <row r="73">
      <c r="A73" s="402">
        <f>IFERROR(__xludf.DUMMYFUNCTION("""COMPUTED_VALUE"""),44700.0)</f>
        <v>44700</v>
      </c>
      <c r="B73" s="368" t="str">
        <f>IFERROR(__xludf.DUMMYFUNCTION("""COMPUTED_VALUE"""),"Tier 2")</f>
        <v>Tier 2</v>
      </c>
      <c r="C73" s="368" t="str">
        <f>IFERROR(__xludf.DUMMYFUNCTION("""COMPUTED_VALUE"""),"Zawya")</f>
        <v>Zawya</v>
      </c>
      <c r="D73" s="368" t="str">
        <f>IFERROR(__xludf.DUMMYFUNCTION("""COMPUTED_VALUE"""),"CRC, pulls off a three-floor office space deal, in One by Omniyat, Business Bay")</f>
        <v>CRC, pulls off a three-floor office space deal, in One by Omniyat, Business Bay</v>
      </c>
      <c r="E73" s="507" t="str">
        <f>IFERROR(__xludf.DUMMYFUNCTION("""COMPUTED_VALUE"""),"https://www.zawya.com/en/press-release/companies-news/crc-pulls-off-a-three-floor-office-space-deal-in-one-by-omniyat-business-bay-xgtmuzna")</f>
        <v>https://www.zawya.com/en/press-release/companies-news/crc-pulls-off-a-three-floor-office-space-deal-in-one-by-omniyat-business-bay-xgtmuzna</v>
      </c>
      <c r="F73" s="368" t="str">
        <f>IFERROR(__xludf.DUMMYFUNCTION("""COMPUTED_VALUE"""),"CRC")</f>
        <v>CRC</v>
      </c>
    </row>
    <row r="74">
      <c r="A74" s="402">
        <f>IFERROR(__xludf.DUMMYFUNCTION("""COMPUTED_VALUE"""),44700.0)</f>
        <v>44700</v>
      </c>
      <c r="B74" s="368" t="str">
        <f>IFERROR(__xludf.DUMMYFUNCTION("""COMPUTED_VALUE"""),"Tier 3")</f>
        <v>Tier 3</v>
      </c>
      <c r="C74" s="368" t="str">
        <f>IFERROR(__xludf.DUMMYFUNCTION("""COMPUTED_VALUE"""),"Leadership News")</f>
        <v>Leadership News</v>
      </c>
      <c r="D74" s="368" t="str">
        <f>IFERROR(__xludf.DUMMYFUNCTION("""COMPUTED_VALUE"""),"Ukraine War: Russians Flee To Dubai To Avoid Sanctions")</f>
        <v>Ukraine War: Russians Flee To Dubai To Avoid Sanctions</v>
      </c>
      <c r="E74" s="507" t="str">
        <f>IFERROR(__xludf.DUMMYFUNCTION("""COMPUTED_VALUE"""),"https://leadership.ng/ukraine-war-russians-flee-to-dubai-to-avoid-sanctions/")</f>
        <v>https://leadership.ng/ukraine-war-russians-flee-to-dubai-to-avoid-sanctions/</v>
      </c>
      <c r="F74" s="368" t="str">
        <f>IFERROR(__xludf.DUMMYFUNCTION("""COMPUTED_VALUE"""),"Betterhomes")</f>
        <v>Betterhomes</v>
      </c>
    </row>
    <row r="75">
      <c r="A75" s="402">
        <f>IFERROR(__xludf.DUMMYFUNCTION("""COMPUTED_VALUE"""),44704.0)</f>
        <v>44704</v>
      </c>
      <c r="B75" s="368" t="str">
        <f>IFERROR(__xludf.DUMMYFUNCTION("""COMPUTED_VALUE"""),"Tier 3")</f>
        <v>Tier 3</v>
      </c>
      <c r="C75" s="368" t="str">
        <f>IFERROR(__xludf.DUMMYFUNCTION("""COMPUTED_VALUE"""),"Cronella News")</f>
        <v>Cronella News</v>
      </c>
      <c r="D75" s="368" t="str">
        <f>IFERROR(__xludf.DUMMYFUNCTION("""COMPUTED_VALUE"""),"To avoid sanctions, Russians flee to Dubai")</f>
        <v>To avoid sanctions, Russians flee to Dubai</v>
      </c>
      <c r="E75" s="507" t="str">
        <f>IFERROR(__xludf.DUMMYFUNCTION("""COMPUTED_VALUE"""),"https://cronullanews.sydney/article/46343/to-avoid-sanctions-russians-flee-to-dubai/")</f>
        <v>https://cronullanews.sydney/article/46343/to-avoid-sanctions-russians-flee-to-dubai/</v>
      </c>
      <c r="F75" s="368" t="str">
        <f>IFERROR(__xludf.DUMMYFUNCTION("""COMPUTED_VALUE"""),"Betterhomes")</f>
        <v>Betterhomes</v>
      </c>
    </row>
    <row r="76">
      <c r="A76" s="402">
        <f>IFERROR(__xludf.DUMMYFUNCTION("""COMPUTED_VALUE"""),44708.0)</f>
        <v>44708</v>
      </c>
      <c r="B76" s="368" t="str">
        <f>IFERROR(__xludf.DUMMYFUNCTION("""COMPUTED_VALUE"""),"Tier 2")</f>
        <v>Tier 2</v>
      </c>
      <c r="C76" s="368" t="str">
        <f>IFERROR(__xludf.DUMMYFUNCTION("""COMPUTED_VALUE"""),"The National")</f>
        <v>The National</v>
      </c>
      <c r="D76" s="368" t="str">
        <f>IFERROR(__xludf.DUMMYFUNCTION("""COMPUTED_VALUE"""),"Nine questions to ask if you plan to rent or buy a property")</f>
        <v>Nine questions to ask if you plan to rent or buy a property</v>
      </c>
      <c r="E76" s="507" t="str">
        <f>IFERROR(__xludf.DUMMYFUNCTION("""COMPUTED_VALUE"""),"https://www.thenationalnews.com/weekend/2022/05/27/nine-questions-to-ask-if-you-plan-to-rent-or-buy-a-property/")</f>
        <v>https://www.thenationalnews.com/weekend/2022/05/27/nine-questions-to-ask-if-you-plan-to-rent-or-buy-a-property/</v>
      </c>
      <c r="F76" s="368" t="str">
        <f>IFERROR(__xludf.DUMMYFUNCTION("""COMPUTED_VALUE"""),"Betterhomes")</f>
        <v>Betterhomes</v>
      </c>
    </row>
    <row r="77">
      <c r="A77" s="402">
        <f>IFERROR(__xludf.DUMMYFUNCTION("""COMPUTED_VALUE"""),44710.0)</f>
        <v>44710</v>
      </c>
      <c r="B77" s="368" t="str">
        <f>IFERROR(__xludf.DUMMYFUNCTION("""COMPUTED_VALUE"""),"Tier 2")</f>
        <v>Tier 2</v>
      </c>
      <c r="C77" s="368" t="str">
        <f>IFERROR(__xludf.DUMMYFUNCTION("""COMPUTED_VALUE"""),"The National")</f>
        <v>The National</v>
      </c>
      <c r="D77" s="368" t="str">
        <f>IFERROR(__xludf.DUMMYFUNCTION("""COMPUTED_VALUE"""),"What UAE families can do to keep down the cost of living")</f>
        <v>What UAE families can do to keep down the cost of living</v>
      </c>
      <c r="E77" s="507" t="str">
        <f>IFERROR(__xludf.DUMMYFUNCTION("""COMPUTED_VALUE"""),"https://www.thenationalnews.com/uae/2022/05/29/what-uae-families-can-do-to-keep-down-the-cost-of-living/")</f>
        <v>https://www.thenationalnews.com/uae/2022/05/29/what-uae-families-can-do-to-keep-down-the-cost-of-living/</v>
      </c>
      <c r="F77" s="368" t="str">
        <f>IFERROR(__xludf.DUMMYFUNCTION("""COMPUTED_VALUE"""),"BH Mortgages")</f>
        <v>BH Mortgages</v>
      </c>
    </row>
    <row r="78">
      <c r="A78" s="402">
        <f>IFERROR(__xludf.DUMMYFUNCTION("""COMPUTED_VALUE"""),44711.0)</f>
        <v>44711</v>
      </c>
      <c r="B78" s="368" t="str">
        <f>IFERROR(__xludf.DUMMYFUNCTION("""COMPUTED_VALUE"""),"Tier 2")</f>
        <v>Tier 2</v>
      </c>
      <c r="C78" s="368" t="str">
        <f>IFERROR(__xludf.DUMMYFUNCTION("""COMPUTED_VALUE"""),"Khaleej Times")</f>
        <v>Khaleej Times</v>
      </c>
      <c r="D78" s="368" t="str">
        <f>IFERROR(__xludf.DUMMYFUNCTION("""COMPUTED_VALUE"""),"Dubai rents to pick up further in 2022")</f>
        <v>Dubai rents to pick up further in 2022</v>
      </c>
      <c r="E78" s="507" t="str">
        <f>IFERROR(__xludf.DUMMYFUNCTION("""COMPUTED_VALUE"""),"https://www.khaleejtimes.com/property/dubai-rents-to-pick-up-further-in-2022")</f>
        <v>https://www.khaleejtimes.com/property/dubai-rents-to-pick-up-further-in-2022</v>
      </c>
      <c r="F78" s="368" t="str">
        <f>IFERROR(__xludf.DUMMYFUNCTION("""COMPUTED_VALUE"""),"Betterhomes")</f>
        <v>Betterhomes</v>
      </c>
    </row>
    <row r="79">
      <c r="A79" s="402">
        <f>IFERROR(__xludf.DUMMYFUNCTION("""COMPUTED_VALUE"""),44711.0)</f>
        <v>44711</v>
      </c>
      <c r="B79" s="368" t="str">
        <f>IFERROR(__xludf.DUMMYFUNCTION("""COMPUTED_VALUE"""),"Tier 2")</f>
        <v>Tier 2</v>
      </c>
      <c r="C79" s="368" t="str">
        <f>IFERROR(__xludf.DUMMYFUNCTION("""COMPUTED_VALUE"""),"Arabian Business ")</f>
        <v>Arabian Business </v>
      </c>
      <c r="D79" s="368" t="str">
        <f>IFERROR(__xludf.DUMMYFUNCTION("""COMPUTED_VALUE"""),"The increase in interest rates has created an all-time high on mortgage applications")</f>
        <v>The increase in interest rates has created an all-time high on mortgage applications</v>
      </c>
      <c r="E79" s="507" t="str">
        <f>IFERROR(__xludf.DUMMYFUNCTION("""COMPUTED_VALUE"""),"https://www.arabianbusiness.com/opinion/the-increase-in-interest-rates-has-created-an-all-time-high-on-mortgage-applications")</f>
        <v>https://www.arabianbusiness.com/opinion/the-increase-in-interest-rates-has-created-an-all-time-high-on-mortgage-applications</v>
      </c>
      <c r="F79" s="368" t="str">
        <f>IFERROR(__xludf.DUMMYFUNCTION("""COMPUTED_VALUE"""),"BH Mortgages")</f>
        <v>BH Mortgages</v>
      </c>
    </row>
    <row r="80">
      <c r="A80" s="402">
        <f>IFERROR(__xludf.DUMMYFUNCTION("""COMPUTED_VALUE"""),44711.0)</f>
        <v>44711</v>
      </c>
      <c r="B80" s="368" t="str">
        <f>IFERROR(__xludf.DUMMYFUNCTION("""COMPUTED_VALUE"""),"Tier 3")</f>
        <v>Tier 3</v>
      </c>
      <c r="C80" s="368" t="str">
        <f>IFERROR(__xludf.DUMMYFUNCTION("""COMPUTED_VALUE"""),"Mena FM")</f>
        <v>Mena FM</v>
      </c>
      <c r="D80" s="368" t="str">
        <f>IFERROR(__xludf.DUMMYFUNCTION("""COMPUTED_VALUE"""),"Dubai Rents To Pick Up Further In 2022")</f>
        <v>Dubai Rents To Pick Up Further In 2022</v>
      </c>
      <c r="E80" s="507" t="str">
        <f>IFERROR(__xludf.DUMMYFUNCTION("""COMPUTED_VALUE"""),"https://menafn.com/1104294803/Dubai-Rents-To-Pick-Up-Further-In-2022")</f>
        <v>https://menafn.com/1104294803/Dubai-Rents-To-Pick-Up-Further-In-2022</v>
      </c>
      <c r="F80" s="368" t="str">
        <f>IFERROR(__xludf.DUMMYFUNCTION("""COMPUTED_VALUE"""),"Betterhomes")</f>
        <v>Betterhomes</v>
      </c>
    </row>
    <row r="81">
      <c r="A81" s="402">
        <f>IFERROR(__xludf.DUMMYFUNCTION("""COMPUTED_VALUE"""),44712.0)</f>
        <v>44712</v>
      </c>
      <c r="B81" s="368" t="str">
        <f>IFERROR(__xludf.DUMMYFUNCTION("""COMPUTED_VALUE"""),"Tier 3")</f>
        <v>Tier 3</v>
      </c>
      <c r="C81" s="368" t="str">
        <f>IFERROR(__xludf.DUMMYFUNCTION("""COMPUTED_VALUE"""),"Reality Titbit")</f>
        <v>Reality Titbit</v>
      </c>
      <c r="D81" s="368" t="str">
        <f>IFERROR(__xludf.DUMMYFUNCTION("""COMPUTED_VALUE"""),"Love Island's Andrew Le Page jets between Dubai and Guernsey as an estate agent")</f>
        <v>Love Island's Andrew Le Page jets between Dubai and Guernsey as an estate agent</v>
      </c>
      <c r="E81" s="507" t="str">
        <f>IFERROR(__xludf.DUMMYFUNCTION("""COMPUTED_VALUE"""),"https://www.realitytitbit.com/dating/love-island/andrew-le-page-estate-agent")</f>
        <v>https://www.realitytitbit.com/dating/love-island/andrew-le-page-estate-agent</v>
      </c>
      <c r="F81" s="368" t="str">
        <f>IFERROR(__xludf.DUMMYFUNCTION("""COMPUTED_VALUE"""),"Betterhomes")</f>
        <v>Betterhomes</v>
      </c>
    </row>
    <row r="82">
      <c r="A82" s="402">
        <f>IFERROR(__xludf.DUMMYFUNCTION("""COMPUTED_VALUE"""),44712.0)</f>
        <v>44712</v>
      </c>
      <c r="B82" s="368" t="str">
        <f>IFERROR(__xludf.DUMMYFUNCTION("""COMPUTED_VALUE"""),"Tier 2")</f>
        <v>Tier 2</v>
      </c>
      <c r="C82" s="368" t="str">
        <f>IFERROR(__xludf.DUMMYFUNCTION("""COMPUTED_VALUE"""),"Whats On")</f>
        <v>Whats On</v>
      </c>
      <c r="D82" s="368" t="str">
        <f>IFERROR(__xludf.DUMMYFUNCTION("""COMPUTED_VALUE"""),"A Dubai real estate agent is on the new series of Love Island")</f>
        <v>A Dubai real estate agent is on the new series of Love Island</v>
      </c>
      <c r="E82" s="507" t="str">
        <f>IFERROR(__xludf.DUMMYFUNCTION("""COMPUTED_VALUE"""),"https://whatson.ae/2022/05/a-dubai-real-estate-agent-is-on-the-new-series-of-love-island/")</f>
        <v>https://whatson.ae/2022/05/a-dubai-real-estate-agent-is-on-the-new-series-of-love-island/</v>
      </c>
      <c r="F82" s="368" t="str">
        <f>IFERROR(__xludf.DUMMYFUNCTION("""COMPUTED_VALUE"""),"Betterhomes")</f>
        <v>Betterhomes</v>
      </c>
    </row>
    <row r="83">
      <c r="A83" s="402">
        <f>IFERROR(__xludf.DUMMYFUNCTION("""COMPUTED_VALUE"""),44713.0)</f>
        <v>44713</v>
      </c>
      <c r="B83" s="368" t="str">
        <f>IFERROR(__xludf.DUMMYFUNCTION("""COMPUTED_VALUE"""),"Tier 3")</f>
        <v>Tier 3</v>
      </c>
      <c r="C83" s="368" t="str">
        <f>IFERROR(__xludf.DUMMYFUNCTION("""COMPUTED_VALUE"""),"Al Bawaba")</f>
        <v>Al Bawaba</v>
      </c>
      <c r="D83" s="368" t="str">
        <f>IFERROR(__xludf.DUMMYFUNCTION("""COMPUTED_VALUE"""),"Bayut &amp; Dubizzle Wow Real Estate Fraternity with the Region’s Biggest Proptech Summit, b3dxb 2022")</f>
        <v>Bayut &amp; Dubizzle Wow Real Estate Fraternity with the Region’s Biggest Proptech Summit, b3dxb 2022</v>
      </c>
      <c r="E83" s="507" t="str">
        <f>IFERROR(__xludf.DUMMYFUNCTION("""COMPUTED_VALUE"""),"https://www.albawaba.com/business/pr/bayut-dubizzle-wow-real-estate-fraternity-region%E2%80%99s-biggest-proptech-summit-b3dxb-2022")</f>
        <v>https://www.albawaba.com/business/pr/bayut-dubizzle-wow-real-estate-fraternity-region%E2%80%99s-biggest-proptech-summit-b3dxb-2022</v>
      </c>
      <c r="F83" s="368" t="str">
        <f>IFERROR(__xludf.DUMMYFUNCTION("""COMPUTED_VALUE"""),"Betterhomes")</f>
        <v>Betterhomes</v>
      </c>
    </row>
    <row r="84">
      <c r="A84" s="402">
        <f>IFERROR(__xludf.DUMMYFUNCTION("""COMPUTED_VALUE"""),44714.0)</f>
        <v>44714</v>
      </c>
      <c r="B84" s="368" t="str">
        <f>IFERROR(__xludf.DUMMYFUNCTION("""COMPUTED_VALUE"""),"Tier 2")</f>
        <v>Tier 2</v>
      </c>
      <c r="C84" s="368" t="str">
        <f>IFERROR(__xludf.DUMMYFUNCTION("""COMPUTED_VALUE"""),"Whats On")</f>
        <v>Whats On</v>
      </c>
      <c r="D84" s="368" t="str">
        <f>IFERROR(__xludf.DUMMYFUNCTION("""COMPUTED_VALUE"""),"This Dubai bar is hosting a Love Island screening party")</f>
        <v>This Dubai bar is hosting a Love Island screening party</v>
      </c>
      <c r="E84" s="507" t="str">
        <f>IFERROR(__xludf.DUMMYFUNCTION("""COMPUTED_VALUE"""),"https://whatson.ae/2022/06/dubai-bar-the-cheeky-camel-love-island-screening-party/")</f>
        <v>https://whatson.ae/2022/06/dubai-bar-the-cheeky-camel-love-island-screening-party/</v>
      </c>
      <c r="F84" s="368" t="str">
        <f>IFERROR(__xludf.DUMMYFUNCTION("""COMPUTED_VALUE"""),"Betterhomes")</f>
        <v>Betterhomes</v>
      </c>
    </row>
    <row r="85">
      <c r="A85" s="402">
        <f>IFERROR(__xludf.DUMMYFUNCTION("""COMPUTED_VALUE"""),44721.0)</f>
        <v>44721</v>
      </c>
      <c r="B85" s="368" t="str">
        <f>IFERROR(__xludf.DUMMYFUNCTION("""COMPUTED_VALUE"""),"Tier 2")</f>
        <v>Tier 2</v>
      </c>
      <c r="C85" s="368" t="str">
        <f>IFERROR(__xludf.DUMMYFUNCTION("""COMPUTED_VALUE"""),"Zawya")</f>
        <v>Zawya</v>
      </c>
      <c r="D85" s="368" t="str">
        <f>IFERROR(__xludf.DUMMYFUNCTION("""COMPUTED_VALUE"""),"CRC witnessed the demand for quality commercial office space hit its highest peak since 2016")</f>
        <v>CRC witnessed the demand for quality commercial office space hit its highest peak since 2016</v>
      </c>
      <c r="E85" s="507" t="str">
        <f>IFERROR(__xludf.DUMMYFUNCTION("""COMPUTED_VALUE"""),"https://www.zawya.com/en/press-release/companies-news/crc-witnessed-the-demand-for-quality-commercial-office-space-hit-its-highest-peak-since-2016-d8jtcq2t")</f>
        <v>https://www.zawya.com/en/press-release/companies-news/crc-witnessed-the-demand-for-quality-commercial-office-space-hit-its-highest-peak-since-2016-d8jtcq2t</v>
      </c>
      <c r="F85" s="368" t="str">
        <f>IFERROR(__xludf.DUMMYFUNCTION("""COMPUTED_VALUE"""),"CRC")</f>
        <v>CRC</v>
      </c>
    </row>
    <row r="86">
      <c r="A86" s="402">
        <f>IFERROR(__xludf.DUMMYFUNCTION("""COMPUTED_VALUE"""),44721.0)</f>
        <v>44721</v>
      </c>
      <c r="B86" s="368" t="str">
        <f>IFERROR(__xludf.DUMMYFUNCTION("""COMPUTED_VALUE"""),"Tier 2")</f>
        <v>Tier 2</v>
      </c>
      <c r="C86" s="368" t="str">
        <f>IFERROR(__xludf.DUMMYFUNCTION("""COMPUTED_VALUE"""),"ME Contruction News")</f>
        <v>ME Contruction News</v>
      </c>
      <c r="D86" s="368" t="str">
        <f>IFERROR(__xludf.DUMMYFUNCTION("""COMPUTED_VALUE"""),"Grade A commercial real estate sees surge in May 2022 says CRC")</f>
        <v>Grade A commercial real estate sees surge in May 2022 says CRC</v>
      </c>
      <c r="E86" s="507" t="str">
        <f>IFERROR(__xludf.DUMMYFUNCTION("""COMPUTED_VALUE"""),"https://meconstructionnews.com/52640/grade-a-commercial-real-estate-sees-surge-in-may-2022-says-crc")</f>
        <v>https://meconstructionnews.com/52640/grade-a-commercial-real-estate-sees-surge-in-may-2022-says-crc</v>
      </c>
      <c r="F86" s="368" t="str">
        <f>IFERROR(__xludf.DUMMYFUNCTION("""COMPUTED_VALUE"""),"CRC")</f>
        <v>CRC</v>
      </c>
    </row>
    <row r="87">
      <c r="A87" s="402">
        <f>IFERROR(__xludf.DUMMYFUNCTION("""COMPUTED_VALUE"""),44724.0)</f>
        <v>44724</v>
      </c>
      <c r="B87" s="368" t="str">
        <f>IFERROR(__xludf.DUMMYFUNCTION("""COMPUTED_VALUE"""),"Tier 2")</f>
        <v>Tier 2</v>
      </c>
      <c r="C87" s="368" t="str">
        <f>IFERROR(__xludf.DUMMYFUNCTION("""COMPUTED_VALUE"""),"The Guardian")</f>
        <v>The Guardian</v>
      </c>
      <c r="D87" s="368" t="str">
        <f>IFERROR(__xludf.DUMMYFUNCTION("""COMPUTED_VALUE"""),"Blacklist Dubai over failure to crack down on Russian oligarchs, say campaigners")</f>
        <v>Blacklist Dubai over failure to crack down on Russian oligarchs, say campaigners</v>
      </c>
      <c r="E87" s="507" t="str">
        <f>IFERROR(__xludf.DUMMYFUNCTION("""COMPUTED_VALUE"""),"https://www.theguardian.com/world/2022/jun/11/blacklist-dubai-uae-over-russian-oligarchs-say-ukraine-campaigners")</f>
        <v>https://www.theguardian.com/world/2022/jun/11/blacklist-dubai-uae-over-russian-oligarchs-say-ukraine-campaigners</v>
      </c>
      <c r="F87" s="368" t="str">
        <f>IFERROR(__xludf.DUMMYFUNCTION("""COMPUTED_VALUE"""),"Betterhomes")</f>
        <v>Betterhomes</v>
      </c>
    </row>
    <row r="88">
      <c r="A88" s="402">
        <f>IFERROR(__xludf.DUMMYFUNCTION("""COMPUTED_VALUE"""),44724.0)</f>
        <v>44724</v>
      </c>
      <c r="B88" s="368" t="str">
        <f>IFERROR(__xludf.DUMMYFUNCTION("""COMPUTED_VALUE"""),"Tier 3")</f>
        <v>Tier 3</v>
      </c>
      <c r="C88" s="368" t="str">
        <f>IFERROR(__xludf.DUMMYFUNCTION("""COMPUTED_VALUE"""),"The New Arab")</f>
        <v>The New Arab</v>
      </c>
      <c r="D88" s="368" t="str">
        <f>IFERROR(__xludf.DUMMYFUNCTION("""COMPUTED_VALUE"""),"UAE a 'haven for oligarchs' that must be blacklisted:critics")</f>
        <v>UAE a 'haven for oligarchs' that must be blacklisted:critics</v>
      </c>
      <c r="E88" s="507" t="str">
        <f>IFERROR(__xludf.DUMMYFUNCTION("""COMPUTED_VALUE"""),"https://english.alaraby.co.uk/news/uae-haven-oligarchs-must-be-blacklistedcritics")</f>
        <v>https://english.alaraby.co.uk/news/uae-haven-oligarchs-must-be-blacklistedcritics</v>
      </c>
      <c r="F88" s="368" t="str">
        <f>IFERROR(__xludf.DUMMYFUNCTION("""COMPUTED_VALUE"""),"Betterhomes")</f>
        <v>Betterhomes</v>
      </c>
    </row>
    <row r="89">
      <c r="A89" s="402">
        <f>IFERROR(__xludf.DUMMYFUNCTION("""COMPUTED_VALUE"""),44727.0)</f>
        <v>44727</v>
      </c>
      <c r="B89" s="368" t="str">
        <f>IFERROR(__xludf.DUMMYFUNCTION("""COMPUTED_VALUE"""),"Tier 3")</f>
        <v>Tier 3</v>
      </c>
      <c r="C89" s="368" t="str">
        <f>IFERROR(__xludf.DUMMYFUNCTION("""COMPUTED_VALUE"""),"Euroeporter")</f>
        <v>Euroeporter</v>
      </c>
      <c r="D89" s="368" t="str">
        <f>IFERROR(__xludf.DUMMYFUNCTION("""COMPUTED_VALUE"""),"United Arab Emirates has emerged as a haven for Russians fleeing the impact of western sanctions - but how long will it last?")</f>
        <v>United Arab Emirates has emerged as a haven for Russians fleeing the impact of western sanctions - but how long will it last?</v>
      </c>
      <c r="E89" s="507" t="str">
        <f>IFERROR(__xludf.DUMMYFUNCTION("""COMPUTED_VALUE"""),"https://www.eureporter.co/world/ukraine/2022/06/14/united-arab-emirates-has-emerged-as-a-haven-for-russians-fleeing-the-impact-of-western-sanctions-but-how-long-will-it-last/")</f>
        <v>https://www.eureporter.co/world/ukraine/2022/06/14/united-arab-emirates-has-emerged-as-a-haven-for-russians-fleeing-the-impact-of-western-sanctions-but-how-long-will-it-last/</v>
      </c>
      <c r="F89" s="368" t="str">
        <f>IFERROR(__xludf.DUMMYFUNCTION("""COMPUTED_VALUE"""),"Betterhomes")</f>
        <v>Betterhomes</v>
      </c>
    </row>
    <row r="90">
      <c r="A90" s="402">
        <f>IFERROR(__xludf.DUMMYFUNCTION("""COMPUTED_VALUE"""),44732.0)</f>
        <v>44732</v>
      </c>
      <c r="B90" s="368" t="str">
        <f>IFERROR(__xludf.DUMMYFUNCTION("""COMPUTED_VALUE"""),"Tier 2")</f>
        <v>Tier 2</v>
      </c>
      <c r="C90" s="368" t="str">
        <f>IFERROR(__xludf.DUMMYFUNCTION("""COMPUTED_VALUE"""),"Zawya")</f>
        <v>Zawya</v>
      </c>
      <c r="D90" s="368" t="str">
        <f>IFERROR(__xludf.DUMMYFUNCTION("""COMPUTED_VALUE"""),"Russian investors in Dubai real estate have doubled in 2022, top brokers say")</f>
        <v>Russian investors in Dubai real estate have doubled in 2022, top brokers say</v>
      </c>
      <c r="E90" s="507" t="str">
        <f>IFERROR(__xludf.DUMMYFUNCTION("""COMPUTED_VALUE"""),"https://www.zawya.com/en/business/real-estate/russian-investors-in-dubai-real-estate-have-doubled-in-2022-top-brokers-say-cdr6sqp0")</f>
        <v>https://www.zawya.com/en/business/real-estate/russian-investors-in-dubai-real-estate-have-doubled-in-2022-top-brokers-say-cdr6sqp0</v>
      </c>
      <c r="F90" s="368" t="str">
        <f>IFERROR(__xludf.DUMMYFUNCTION("""COMPUTED_VALUE"""),"Betterhomes")</f>
        <v>Betterhomes</v>
      </c>
    </row>
    <row r="91">
      <c r="A91" s="402">
        <f>IFERROR(__xludf.DUMMYFUNCTION("""COMPUTED_VALUE"""),44732.0)</f>
        <v>44732</v>
      </c>
      <c r="B91" s="368" t="str">
        <f>IFERROR(__xludf.DUMMYFUNCTION("""COMPUTED_VALUE"""),"Tier 2")</f>
        <v>Tier 2</v>
      </c>
      <c r="C91" s="368" t="str">
        <f>IFERROR(__xludf.DUMMYFUNCTION("""COMPUTED_VALUE"""),"Gulf News")</f>
        <v>Gulf News</v>
      </c>
      <c r="D91" s="368" t="str">
        <f>IFERROR(__xludf.DUMMYFUNCTION("""COMPUTED_VALUE"""),"Dubai developers need to bring back longer post-handover payment plans to help offplan buyers")</f>
        <v>Dubai developers need to bring back longer post-handover payment plans to help offplan buyers</v>
      </c>
      <c r="E91" s="507" t="str">
        <f>IFERROR(__xludf.DUMMYFUNCTION("""COMPUTED_VALUE"""),"https://gulfnews.com/business/property/dubai-developers-need-to-bring-back-longer-post-handover-payment-plans-to-help-offplan-buyers-1.1655783971158")</f>
        <v>https://gulfnews.com/business/property/dubai-developers-need-to-bring-back-longer-post-handover-payment-plans-to-help-offplan-buyers-1.1655783971158</v>
      </c>
      <c r="F91" s="368" t="str">
        <f>IFERROR(__xludf.DUMMYFUNCTION("""COMPUTED_VALUE"""),"BH Off-Plan")</f>
        <v>BH Off-Plan</v>
      </c>
    </row>
    <row r="92">
      <c r="A92" s="402">
        <f>IFERROR(__xludf.DUMMYFUNCTION("""COMPUTED_VALUE"""),44733.0)</f>
        <v>44733</v>
      </c>
      <c r="B92" s="368" t="str">
        <f>IFERROR(__xludf.DUMMYFUNCTION("""COMPUTED_VALUE"""),"Tier 2")</f>
        <v>Tier 2</v>
      </c>
      <c r="C92" s="368" t="str">
        <f>IFERROR(__xludf.DUMMYFUNCTION("""COMPUTED_VALUE"""),"The National ")</f>
        <v>The National </v>
      </c>
      <c r="D92" s="368" t="str">
        <f>IFERROR(__xludf.DUMMYFUNCTION("""COMPUTED_VALUE"""),"Has Dubai’s city centre turned towards Business Bay amid soaring property prices?")</f>
        <v>Has Dubai’s city centre turned towards Business Bay amid soaring property prices?</v>
      </c>
      <c r="E92" s="507" t="str">
        <f>IFERROR(__xludf.DUMMYFUNCTION("""COMPUTED_VALUE"""),"https://www.thenationalnews.com/business/property/2022/06/21/has-dubais-city-centre-turned-towards-business-bay-amid-soaring-property-prices/")</f>
        <v>https://www.thenationalnews.com/business/property/2022/06/21/has-dubais-city-centre-turned-towards-business-bay-amid-soaring-property-prices/</v>
      </c>
      <c r="F92" s="368" t="str">
        <f>IFERROR(__xludf.DUMMYFUNCTION("""COMPUTED_VALUE"""),"Betterhomes")</f>
        <v>Betterhomes</v>
      </c>
    </row>
    <row r="93">
      <c r="A93" s="402">
        <f>IFERROR(__xludf.DUMMYFUNCTION("""COMPUTED_VALUE"""),44735.0)</f>
        <v>44735</v>
      </c>
      <c r="B93" s="368" t="str">
        <f>IFERROR(__xludf.DUMMYFUNCTION("""COMPUTED_VALUE"""),"Tier 2")</f>
        <v>Tier 2</v>
      </c>
      <c r="C93" s="368" t="str">
        <f>IFERROR(__xludf.DUMMYFUNCTION("""COMPUTED_VALUE"""),"Zawya")</f>
        <v>Zawya</v>
      </c>
      <c r="D93" s="368" t="str">
        <f>IFERROR(__xludf.DUMMYFUNCTION("""COMPUTED_VALUE"""),"Untapped areas remain ripe for luxury development amidst market boom")</f>
        <v>Untapped areas remain ripe for luxury development amidst market boom</v>
      </c>
      <c r="E93" s="507" t="str">
        <f>IFERROR(__xludf.DUMMYFUNCTION("""COMPUTED_VALUE"""),"https://www.zawya.com/en/press-release/companies-news/untapped-areas-remain-ripe-for-luxury-development-amidst-market-boom-rk7x6fdr")</f>
        <v>https://www.zawya.com/en/press-release/companies-news/untapped-areas-remain-ripe-for-luxury-development-amidst-market-boom-rk7x6fdr</v>
      </c>
      <c r="F93" s="368" t="str">
        <f>IFERROR(__xludf.DUMMYFUNCTION("""COMPUTED_VALUE"""),"Betterhomes")</f>
        <v>Betterhomes</v>
      </c>
    </row>
    <row r="94">
      <c r="A94" s="402">
        <f>IFERROR(__xludf.DUMMYFUNCTION("""COMPUTED_VALUE"""),44740.0)</f>
        <v>44740</v>
      </c>
      <c r="B94" s="368" t="str">
        <f>IFERROR(__xludf.DUMMYFUNCTION("""COMPUTED_VALUE"""),"Tier 2")</f>
        <v>Tier 2</v>
      </c>
      <c r="C94" s="368" t="str">
        <f>IFERROR(__xludf.DUMMYFUNCTION("""COMPUTED_VALUE"""),"The National ")</f>
        <v>The National </v>
      </c>
      <c r="D94" s="368" t="str">
        <f>IFERROR(__xludf.DUMMYFUNCTION("""COMPUTED_VALUE"""),"Is now the time to invest in UAE property? — 'Pocketful of Dirhams'")</f>
        <v>Is now the time to invest in UAE property? — 'Pocketful of Dirhams'</v>
      </c>
      <c r="E94" s="507" t="str">
        <f>IFERROR(__xludf.DUMMYFUNCTION("""COMPUTED_VALUE"""),"https://www.thenationalnews.com/podcasts/pocketful-of-dirhams/2022/06/28/is-now-the-time-to-invest-in-uae-property-pocketful-of-dirhams/")</f>
        <v>https://www.thenationalnews.com/podcasts/pocketful-of-dirhams/2022/06/28/is-now-the-time-to-invest-in-uae-property-pocketful-of-dirhams/</v>
      </c>
      <c r="F94" s="368" t="str">
        <f>IFERROR(__xludf.DUMMYFUNCTION("""COMPUTED_VALUE"""),"Betterhomes")</f>
        <v>Betterhomes</v>
      </c>
    </row>
    <row r="95">
      <c r="A95" s="402">
        <f>IFERROR(__xludf.DUMMYFUNCTION("""COMPUTED_VALUE"""),44749.0)</f>
        <v>44749</v>
      </c>
      <c r="B95" s="368" t="str">
        <f>IFERROR(__xludf.DUMMYFUNCTION("""COMPUTED_VALUE"""),"Tier 2")</f>
        <v>Tier 2</v>
      </c>
      <c r="C95" s="368" t="str">
        <f>IFERROR(__xludf.DUMMYFUNCTION("""COMPUTED_VALUE"""),"Zawya")</f>
        <v>Zawya</v>
      </c>
      <c r="D95" s="368" t="str">
        <f>IFERROR(__xludf.DUMMYFUNCTION("""COMPUTED_VALUE"""),"Houza.com, the Dubai-based property portal appoints Jean-Pierre Mondalek as CEO")</f>
        <v>Houza.com, the Dubai-based property portal appoints Jean-Pierre Mondalek as CEO</v>
      </c>
      <c r="E95" s="507" t="str">
        <f>IFERROR(__xludf.DUMMYFUNCTION("""COMPUTED_VALUE"""),"https://www.zawya.com/en/press-release/people-in-the-news/houzacom-the-dubai-based-property-portal-appoints-jean-pierre-mondalek-as-ceo-sj0mqcvm")</f>
        <v>https://www.zawya.com/en/press-release/people-in-the-news/houzacom-the-dubai-based-property-portal-appoints-jean-pierre-mondalek-as-ceo-sj0mqcvm</v>
      </c>
      <c r="F95" s="368" t="str">
        <f>IFERROR(__xludf.DUMMYFUNCTION("""COMPUTED_VALUE"""),"Betterhomes")</f>
        <v>Betterhomes</v>
      </c>
    </row>
    <row r="96">
      <c r="A96" s="402">
        <f>IFERROR(__xludf.DUMMYFUNCTION("""COMPUTED_VALUE"""),44750.0)</f>
        <v>44750</v>
      </c>
      <c r="B96" s="368" t="str">
        <f>IFERROR(__xludf.DUMMYFUNCTION("""COMPUTED_VALUE"""),"Tier 1")</f>
        <v>Tier 1</v>
      </c>
      <c r="C96" s="368" t="str">
        <f>IFERROR(__xludf.DUMMYFUNCTION("""COMPUTED_VALUE"""),"CNBC")</f>
        <v>CNBC</v>
      </c>
      <c r="D96" s="368" t="str">
        <f>IFERROR(__xludf.DUMMYFUNCTION("""COMPUTED_VALUE"""),"Villas by the sea: Rich Russians fleeing sanctions are pumping up Dubai’s property sector")</f>
        <v>Villas by the sea: Rich Russians fleeing sanctions are pumping up Dubai’s property sector</v>
      </c>
      <c r="E96" s="507" t="str">
        <f>IFERROR(__xludf.DUMMYFUNCTION("""COMPUTED_VALUE"""),"https://www.cnbc.com/2022/07/07/rich-russians-fleeing-sanctions-are-pumping-up-dubais-property-sector.html")</f>
        <v>https://www.cnbc.com/2022/07/07/rich-russians-fleeing-sanctions-are-pumping-up-dubais-property-sector.html</v>
      </c>
      <c r="F96" s="368" t="str">
        <f>IFERROR(__xludf.DUMMYFUNCTION("""COMPUTED_VALUE"""),"Betterhomes")</f>
        <v>Betterhomes</v>
      </c>
    </row>
    <row r="97">
      <c r="A97" s="402">
        <f>IFERROR(__xludf.DUMMYFUNCTION("""COMPUTED_VALUE"""),44750.0)</f>
        <v>44750</v>
      </c>
      <c r="B97" s="368" t="str">
        <f>IFERROR(__xludf.DUMMYFUNCTION("""COMPUTED_VALUE"""),"Tier 2")</f>
        <v>Tier 2</v>
      </c>
      <c r="C97" s="368" t="str">
        <f>IFERROR(__xludf.DUMMYFUNCTION("""COMPUTED_VALUE"""),"The National ")</f>
        <v>The National </v>
      </c>
      <c r="D97" s="368" t="str">
        <f>IFERROR(__xludf.DUMMYFUNCTION("""COMPUTED_VALUE"""),"Are top Dubai property prices going above Dh300m?")</f>
        <v>Are top Dubai property prices going above Dh300m?</v>
      </c>
      <c r="E97" s="507" t="str">
        <f>IFERROR(__xludf.DUMMYFUNCTION("""COMPUTED_VALUE"""),"https://www.thenationalnews.com/business/property/2022/07/08/are-top-dubai-property-prices-going-above-dh300m/")</f>
        <v>https://www.thenationalnews.com/business/property/2022/07/08/are-top-dubai-property-prices-going-above-dh300m/</v>
      </c>
      <c r="F97" s="368" t="str">
        <f>IFERROR(__xludf.DUMMYFUNCTION("""COMPUTED_VALUE"""),"Betterhomes")</f>
        <v>Betterhomes</v>
      </c>
    </row>
    <row r="98">
      <c r="A98" s="402">
        <f>IFERROR(__xludf.DUMMYFUNCTION("""COMPUTED_VALUE"""),44750.0)</f>
        <v>44750</v>
      </c>
      <c r="B98" s="368" t="str">
        <f>IFERROR(__xludf.DUMMYFUNCTION("""COMPUTED_VALUE"""),"Tier 3")</f>
        <v>Tier 3</v>
      </c>
      <c r="C98" s="368" t="str">
        <f>IFERROR(__xludf.DUMMYFUNCTION("""COMPUTED_VALUE"""),"Kalgoorlie Miner")</f>
        <v>Kalgoorlie Miner</v>
      </c>
      <c r="D98" s="368" t="str">
        <f>IFERROR(__xludf.DUMMYFUNCTION("""COMPUTED_VALUE"""),"Villas by the sea: Rich Russians fleeing sanctions are pumping up Dubai’s property sector")</f>
        <v>Villas by the sea: Rich Russians fleeing sanctions are pumping up Dubai’s property sector</v>
      </c>
      <c r="E98" s="507" t="str">
        <f>IFERROR(__xludf.DUMMYFUNCTION("""COMPUTED_VALUE"""),"https://www.kalminer.com.au/business/cnbc/villas-by-the-sea-rich-russians-fleeing-sanctions-are-pumping-up-dubais-property-sector-c-7449496")</f>
        <v>https://www.kalminer.com.au/business/cnbc/villas-by-the-sea-rich-russians-fleeing-sanctions-are-pumping-up-dubais-property-sector-c-7449496</v>
      </c>
      <c r="F98" s="368" t="str">
        <f>IFERROR(__xludf.DUMMYFUNCTION("""COMPUTED_VALUE"""),"Betterhomes")</f>
        <v>Betterhomes</v>
      </c>
    </row>
    <row r="99">
      <c r="A99" s="402">
        <f>IFERROR(__xludf.DUMMYFUNCTION("""COMPUTED_VALUE"""),44755.0)</f>
        <v>44755</v>
      </c>
      <c r="B99" s="368" t="str">
        <f>IFERROR(__xludf.DUMMYFUNCTION("""COMPUTED_VALUE"""),"Tier 2")</f>
        <v>Tier 2</v>
      </c>
      <c r="C99" s="368" t="str">
        <f>IFERROR(__xludf.DUMMYFUNCTION("""COMPUTED_VALUE"""),"Gulf News")</f>
        <v>Gulf News</v>
      </c>
      <c r="D99" s="368" t="str">
        <f>IFERROR(__xludf.DUMMYFUNCTION("""COMPUTED_VALUE"""),"Planning to rent a new home in Dubai - then just do it fast")</f>
        <v>Planning to rent a new home in Dubai - then just do it fast</v>
      </c>
      <c r="E99" s="507" t="str">
        <f>IFERROR(__xludf.DUMMYFUNCTION("""COMPUTED_VALUE"""),"https://gulfnews.com/business/property/planning-to-rent-a-new-home-in-dubai---then-just-do-it-fast-1.1657682956150")</f>
        <v>https://gulfnews.com/business/property/planning-to-rent-a-new-home-in-dubai---then-just-do-it-fast-1.1657682956150</v>
      </c>
      <c r="F99" s="368" t="str">
        <f>IFERROR(__xludf.DUMMYFUNCTION("""COMPUTED_VALUE"""),"Betterhomes")</f>
        <v>Betterhomes</v>
      </c>
    </row>
    <row r="100">
      <c r="A100" s="402">
        <f>IFERROR(__xludf.DUMMYFUNCTION("""COMPUTED_VALUE"""),44760.0)</f>
        <v>44760</v>
      </c>
      <c r="B100" s="368" t="str">
        <f>IFERROR(__xludf.DUMMYFUNCTION("""COMPUTED_VALUE"""),"Tier 2")</f>
        <v>Tier 2</v>
      </c>
      <c r="C100" s="368" t="str">
        <f>IFERROR(__xludf.DUMMYFUNCTION("""COMPUTED_VALUE"""),"Arabian Business ")</f>
        <v>Arabian Business </v>
      </c>
      <c r="D100" s="368" t="str">
        <f>IFERROR(__xludf.DUMMYFUNCTION("""COMPUTED_VALUE"""),"Dubai commercial real estate sales value jumps 89 percent in first half of 2022: Report")</f>
        <v>Dubai commercial real estate sales value jumps 89 percent in first half of 2022: Report</v>
      </c>
      <c r="E100" s="507" t="str">
        <f>IFERROR(__xludf.DUMMYFUNCTION("""COMPUTED_VALUE"""),"https://www.arabianbusiness.com/money/wealth/money-wealth-real-estate/dubai-commercial-real-estate-sales-value-jumps-89-percent-in-first-half-of-2022-report")</f>
        <v>https://www.arabianbusiness.com/money/wealth/money-wealth-real-estate/dubai-commercial-real-estate-sales-value-jumps-89-percent-in-first-half-of-2022-report</v>
      </c>
      <c r="F100" s="368" t="str">
        <f>IFERROR(__xludf.DUMMYFUNCTION("""COMPUTED_VALUE"""),"CRC")</f>
        <v>CRC</v>
      </c>
    </row>
    <row r="101">
      <c r="A101" s="402">
        <f>IFERROR(__xludf.DUMMYFUNCTION("""COMPUTED_VALUE"""),44761.0)</f>
        <v>44761</v>
      </c>
      <c r="B101" s="368" t="str">
        <f>IFERROR(__xludf.DUMMYFUNCTION("""COMPUTED_VALUE"""),"Tier 2")</f>
        <v>Tier 2</v>
      </c>
      <c r="C101" s="368" t="str">
        <f>IFERROR(__xludf.DUMMYFUNCTION("""COMPUTED_VALUE"""),"Zawya")</f>
        <v>Zawya</v>
      </c>
      <c r="D101" s="368" t="str">
        <f>IFERROR(__xludf.DUMMYFUNCTION("""COMPUTED_VALUE"""),"The commercial real estate market witnessed 89% growth in sales for H1 2022")</f>
        <v>The commercial real estate market witnessed 89% growth in sales for H1 2022</v>
      </c>
      <c r="E101" s="507" t="str">
        <f>IFERROR(__xludf.DUMMYFUNCTION("""COMPUTED_VALUE"""),"https://www.zawya.com/en/press-release/research-and-studies/the-commercial-real-estate-market-witnessed-89-growth-in-sales-for-h1-2022-yke1ratr")</f>
        <v>https://www.zawya.com/en/press-release/research-and-studies/the-commercial-real-estate-market-witnessed-89-growth-in-sales-for-h1-2022-yke1ratr</v>
      </c>
      <c r="F101" s="368" t="str">
        <f>IFERROR(__xludf.DUMMYFUNCTION("""COMPUTED_VALUE"""),"CRC")</f>
        <v>CRC</v>
      </c>
    </row>
    <row r="102">
      <c r="A102" s="402">
        <f>IFERROR(__xludf.DUMMYFUNCTION("""COMPUTED_VALUE"""),44762.0)</f>
        <v>44762</v>
      </c>
      <c r="B102" s="368" t="str">
        <f>IFERROR(__xludf.DUMMYFUNCTION("""COMPUTED_VALUE"""),"Tier 2")</f>
        <v>Tier 2</v>
      </c>
      <c r="C102" s="368" t="str">
        <f>IFERROR(__xludf.DUMMYFUNCTION("""COMPUTED_VALUE"""),"Dubai eye 103.8")</f>
        <v>Dubai eye 103.8</v>
      </c>
      <c r="D102" s="368" t="str">
        <f>IFERROR(__xludf.DUMMYFUNCTION("""COMPUTED_VALUE"""),"Market Report Interview ")</f>
        <v>Market Report Interview </v>
      </c>
      <c r="E102" s="507" t="str">
        <f>IFERROR(__xludf.DUMMYFUNCTION("""COMPUTED_VALUE"""),"https://www.linkedin.com/posts/crc-property_head-of-crc-andrew-elliott-live-on-the-business-activity-6957618158002139136-Osgl?utm_source=linkedin_share&amp;utm_medium=member_desktop_web")</f>
        <v>https://www.linkedin.com/posts/crc-property_head-of-crc-andrew-elliott-live-on-the-business-activity-6957618158002139136-Osgl?utm_source=linkedin_share&amp;utm_medium=member_desktop_web</v>
      </c>
      <c r="F102" s="368" t="str">
        <f>IFERROR(__xludf.DUMMYFUNCTION("""COMPUTED_VALUE"""),"CRC")</f>
        <v>CRC</v>
      </c>
    </row>
    <row r="103">
      <c r="A103" s="402">
        <f>IFERROR(__xludf.DUMMYFUNCTION("""COMPUTED_VALUE"""),44768.0)</f>
        <v>44768</v>
      </c>
      <c r="B103" s="368" t="str">
        <f>IFERROR(__xludf.DUMMYFUNCTION("""COMPUTED_VALUE"""),"Tier 2")</f>
        <v>Tier 2</v>
      </c>
      <c r="C103" s="368" t="str">
        <f>IFERROR(__xludf.DUMMYFUNCTION("""COMPUTED_VALUE"""),"Gulf News")</f>
        <v>Gulf News</v>
      </c>
      <c r="D103" s="368" t="str">
        <f>IFERROR(__xludf.DUMMYFUNCTION("""COMPUTED_VALUE"""),"In Dubai, residents find rent renewals offer cheaper option in H1-2022")</f>
        <v>In Dubai, residents find rent renewals offer cheaper option in H1-2022</v>
      </c>
      <c r="E103" s="507" t="str">
        <f>IFERROR(__xludf.DUMMYFUNCTION("""COMPUTED_VALUE"""),"https://gulfnews.com/business/property/in-dubai-residents-find-rent-renewals-offer-cheaper-option-in-h1-2022-1.89517839")</f>
        <v>https://gulfnews.com/business/property/in-dubai-residents-find-rent-renewals-offer-cheaper-option-in-h1-2022-1.89517839</v>
      </c>
      <c r="F103" s="368" t="str">
        <f>IFERROR(__xludf.DUMMYFUNCTION("""COMPUTED_VALUE"""),"Betterhomes")</f>
        <v>Betterhomes</v>
      </c>
    </row>
    <row r="104">
      <c r="A104" s="402">
        <f>IFERROR(__xludf.DUMMYFUNCTION("""COMPUTED_VALUE"""),44769.0)</f>
        <v>44769</v>
      </c>
      <c r="B104" s="368" t="str">
        <f>IFERROR(__xludf.DUMMYFUNCTION("""COMPUTED_VALUE"""),"Tier 2")</f>
        <v>Tier 2</v>
      </c>
      <c r="C104" s="368" t="str">
        <f>IFERROR(__xludf.DUMMYFUNCTION("""COMPUTED_VALUE"""),"Dubai eye ")</f>
        <v>Dubai eye </v>
      </c>
      <c r="D104" s="368" t="str">
        <f>IFERROR(__xludf.DUMMYFUNCTION("""COMPUTED_VALUE"""),"Market Report Interview ")</f>
        <v>Market Report Interview </v>
      </c>
      <c r="E104" s="507" t="str">
        <f>IFERROR(__xludf.DUMMYFUNCTION("""COMPUTED_VALUE"""),"https://www.linkedin.com/posts/better-homes-llc_richard-waind-on-the-business-breakfast-activity-6958047289240117249-kP3m?utm_source=linkedin_share&amp;utm_medium=member_desktop_web")</f>
        <v>https://www.linkedin.com/posts/better-homes-llc_richard-waind-on-the-business-breakfast-activity-6958047289240117249-kP3m?utm_source=linkedin_share&amp;utm_medium=member_desktop_web</v>
      </c>
      <c r="F104" s="368" t="str">
        <f>IFERROR(__xludf.DUMMYFUNCTION("""COMPUTED_VALUE"""),"Betterhomes")</f>
        <v>Betterhomes</v>
      </c>
    </row>
    <row r="105">
      <c r="A105" s="402">
        <f>IFERROR(__xludf.DUMMYFUNCTION("""COMPUTED_VALUE"""),44770.0)</f>
        <v>44770</v>
      </c>
      <c r="B105" s="368" t="str">
        <f>IFERROR(__xludf.DUMMYFUNCTION("""COMPUTED_VALUE"""),"Tier 2")</f>
        <v>Tier 2</v>
      </c>
      <c r="C105" s="368" t="str">
        <f>IFERROR(__xludf.DUMMYFUNCTION("""COMPUTED_VALUE"""),"Khaleej Times")</f>
        <v>Khaleej Times</v>
      </c>
      <c r="D105" s="368" t="str">
        <f>IFERROR(__xludf.DUMMYFUNCTION("""COMPUTED_VALUE"""),"Dubai remains prime target of property investors")</f>
        <v>Dubai remains prime target of property investors</v>
      </c>
      <c r="E105" s="507" t="str">
        <f>IFERROR(__xludf.DUMMYFUNCTION("""COMPUTED_VALUE"""),"https://www.khaleejtimes.com/business/dubai-remains-prime-target-of-property-investors")</f>
        <v>https://www.khaleejtimes.com/business/dubai-remains-prime-target-of-property-investors</v>
      </c>
      <c r="F105" s="368" t="str">
        <f>IFERROR(__xludf.DUMMYFUNCTION("""COMPUTED_VALUE"""),"Betterhomes")</f>
        <v>Betterhomes</v>
      </c>
    </row>
    <row r="106">
      <c r="A106" s="402">
        <f>IFERROR(__xludf.DUMMYFUNCTION("""COMPUTED_VALUE"""),44770.0)</f>
        <v>44770</v>
      </c>
      <c r="B106" s="368" t="str">
        <f>IFERROR(__xludf.DUMMYFUNCTION("""COMPUTED_VALUE"""),"Tier 2")</f>
        <v>Tier 2</v>
      </c>
      <c r="C106" s="368" t="str">
        <f>IFERROR(__xludf.DUMMYFUNCTION("""COMPUTED_VALUE"""),"Zawya")</f>
        <v>Zawya</v>
      </c>
      <c r="D106" s="368" t="str">
        <f>IFERROR(__xludf.DUMMYFUNCTION("""COMPUTED_VALUE"""),"Dubai remains prime target of property investors")</f>
        <v>Dubai remains prime target of property investors</v>
      </c>
      <c r="E106" s="507" t="str">
        <f>IFERROR(__xludf.DUMMYFUNCTION("""COMPUTED_VALUE"""),"https://www.zawya.com/en/business/real-estate/dubai-remains-prime-target-of-property-investors-rx1gcgeg")</f>
        <v>https://www.zawya.com/en/business/real-estate/dubai-remains-prime-target-of-property-investors-rx1gcgeg</v>
      </c>
      <c r="F106" s="368" t="str">
        <f>IFERROR(__xludf.DUMMYFUNCTION("""COMPUTED_VALUE"""),"Betterhomes")</f>
        <v>Betterhomes</v>
      </c>
    </row>
    <row r="107">
      <c r="A107" s="402">
        <f>IFERROR(__xludf.DUMMYFUNCTION("""COMPUTED_VALUE"""),44770.0)</f>
        <v>44770</v>
      </c>
      <c r="B107" s="368" t="str">
        <f>IFERROR(__xludf.DUMMYFUNCTION("""COMPUTED_VALUE"""),"Tier 2")</f>
        <v>Tier 2</v>
      </c>
      <c r="C107" s="368" t="str">
        <f>IFERROR(__xludf.DUMMYFUNCTION("""COMPUTED_VALUE"""),"Zawya")</f>
        <v>Zawya</v>
      </c>
      <c r="D107" s="368" t="str">
        <f>IFERROR(__xludf.DUMMYFUNCTION("""COMPUTED_VALUE"""),"Russians are fourth-largest homebuyers in Dubai this year")</f>
        <v>Russians are fourth-largest homebuyers in Dubai this year</v>
      </c>
      <c r="E107" s="507" t="str">
        <f>IFERROR(__xludf.DUMMYFUNCTION("""COMPUTED_VALUE"""),"https://www.zawya.com/en/business/real-estate/russians-are-fourth-largest-homebuyers-in-dubai-this-year-llwluic0")</f>
        <v>https://www.zawya.com/en/business/real-estate/russians-are-fourth-largest-homebuyers-in-dubai-this-year-llwluic0</v>
      </c>
      <c r="F107" s="368" t="str">
        <f>IFERROR(__xludf.DUMMYFUNCTION("""COMPUTED_VALUE"""),"Betterhomes")</f>
        <v>Betterhomes</v>
      </c>
    </row>
    <row r="108">
      <c r="A108" s="402">
        <f>IFERROR(__xludf.DUMMYFUNCTION("""COMPUTED_VALUE"""),44771.0)</f>
        <v>44771</v>
      </c>
      <c r="B108" s="368" t="str">
        <f>IFERROR(__xludf.DUMMYFUNCTION("""COMPUTED_VALUE"""),"Tier 1")</f>
        <v>Tier 1</v>
      </c>
      <c r="C108" s="368" t="str">
        <f>IFERROR(__xludf.DUMMYFUNCTION("""COMPUTED_VALUE"""),"Thomson Reuters")</f>
        <v>Thomson Reuters</v>
      </c>
      <c r="D108" s="368" t="str">
        <f>IFERROR(__xludf.DUMMYFUNCTION("""COMPUTED_VALUE"""),"Dubai real estate sales surge 60% as investors, Russians snap up property")</f>
        <v>Dubai real estate sales surge 60% as investors, Russians snap up property</v>
      </c>
      <c r="E108" s="507" t="str">
        <f>IFERROR(__xludf.DUMMYFUNCTION("""COMPUTED_VALUE"""),"https://www.reuters.com/markets/europe/dubai-real-estate-sales-surge-60-investors-russians-snap-up-property-2022-07-28/")</f>
        <v>https://www.reuters.com/markets/europe/dubai-real-estate-sales-surge-60-investors-russians-snap-up-property-2022-07-28/</v>
      </c>
      <c r="F108" s="368" t="str">
        <f>IFERROR(__xludf.DUMMYFUNCTION("""COMPUTED_VALUE"""),"Betterhomes")</f>
        <v>Betterhomes</v>
      </c>
    </row>
    <row r="109">
      <c r="A109" s="402">
        <f>IFERROR(__xludf.DUMMYFUNCTION("""COMPUTED_VALUE"""),44771.0)</f>
        <v>44771</v>
      </c>
      <c r="B109" s="368" t="str">
        <f>IFERROR(__xludf.DUMMYFUNCTION("""COMPUTED_VALUE"""),"Tier 2")</f>
        <v>Tier 2</v>
      </c>
      <c r="C109" s="368" t="str">
        <f>IFERROR(__xludf.DUMMYFUNCTION("""COMPUTED_VALUE"""),"Construction Week")</f>
        <v>Construction Week</v>
      </c>
      <c r="D109" s="368" t="str">
        <f>IFERROR(__xludf.DUMMYFUNCTION("""COMPUTED_VALUE"""),"Betterhomes reports 60% increase in total units sold in Dubai in H1 2022")</f>
        <v>Betterhomes reports 60% increase in total units sold in Dubai in H1 2022</v>
      </c>
      <c r="E109" s="507" t="str">
        <f>IFERROR(__xludf.DUMMYFUNCTION("""COMPUTED_VALUE"""),"https://www.constructionweekonline.com/business/betterhomes-report-h1-2022")</f>
        <v>https://www.constructionweekonline.com/business/betterhomes-report-h1-2022</v>
      </c>
      <c r="F109" s="368" t="str">
        <f>IFERROR(__xludf.DUMMYFUNCTION("""COMPUTED_VALUE"""),"Betterhomes")</f>
        <v>Betterhomes</v>
      </c>
    </row>
    <row r="110">
      <c r="A110" s="402">
        <f>IFERROR(__xludf.DUMMYFUNCTION("""COMPUTED_VALUE"""),44771.0)</f>
        <v>44771</v>
      </c>
      <c r="B110" s="368" t="str">
        <f>IFERROR(__xludf.DUMMYFUNCTION("""COMPUTED_VALUE"""),"Tier 3")</f>
        <v>Tier 3</v>
      </c>
      <c r="C110" s="368" t="str">
        <f>IFERROR(__xludf.DUMMYFUNCTION("""COMPUTED_VALUE"""),"The Economic Times")</f>
        <v>The Economic Times</v>
      </c>
      <c r="D110" s="368" t="str">
        <f>IFERROR(__xludf.DUMMYFUNCTION("""COMPUTED_VALUE"""),"Dubai real estate sales surge 60% as investors, Russians snap up property")</f>
        <v>Dubai real estate sales surge 60% as investors, Russians snap up property</v>
      </c>
      <c r="E110" s="507" t="str">
        <f>IFERROR(__xludf.DUMMYFUNCTION("""COMPUTED_VALUE"""),"https://economictimes.indiatimes.com/news/international/uae/dubai-real-estate-sales-surge-60-as-investors-russians-snap-up-property/articleshow/93194871.cms?from=mdr")</f>
        <v>https://economictimes.indiatimes.com/news/international/uae/dubai-real-estate-sales-surge-60-as-investors-russians-snap-up-property/articleshow/93194871.cms?from=mdr</v>
      </c>
      <c r="F110" s="368" t="str">
        <f>IFERROR(__xludf.DUMMYFUNCTION("""COMPUTED_VALUE"""),"Betterhomes")</f>
        <v>Betterhomes</v>
      </c>
    </row>
    <row r="111">
      <c r="A111" s="402">
        <f>IFERROR(__xludf.DUMMYFUNCTION("""COMPUTED_VALUE"""),44771.0)</f>
        <v>44771</v>
      </c>
      <c r="B111" s="368" t="str">
        <f>IFERROR(__xludf.DUMMYFUNCTION("""COMPUTED_VALUE"""),"Tier 3")</f>
        <v>Tier 3</v>
      </c>
      <c r="C111" s="368" t="str">
        <f>IFERROR(__xludf.DUMMYFUNCTION("""COMPUTED_VALUE"""),"The Business Times")</f>
        <v>The Business Times</v>
      </c>
      <c r="D111" s="368" t="str">
        <f>IFERROR(__xludf.DUMMYFUNCTION("""COMPUTED_VALUE"""),"Dubai real estate sales surge 60% as investors, Russians snap up property")</f>
        <v>Dubai real estate sales surge 60% as investors, Russians snap up property</v>
      </c>
      <c r="E111" s="507" t="str">
        <f>IFERROR(__xludf.DUMMYFUNCTION("""COMPUTED_VALUE"""),"https://www.businesstimes.com.sg/real-estate/dubai-real-estate-sales-surge-60-as-investors-russians-snap-up-property")</f>
        <v>https://www.businesstimes.com.sg/real-estate/dubai-real-estate-sales-surge-60-as-investors-russians-snap-up-property</v>
      </c>
      <c r="F111" s="368" t="str">
        <f>IFERROR(__xludf.DUMMYFUNCTION("""COMPUTED_VALUE"""),"Betterhomes")</f>
        <v>Betterhomes</v>
      </c>
    </row>
    <row r="112">
      <c r="A112" s="402">
        <f>IFERROR(__xludf.DUMMYFUNCTION("""COMPUTED_VALUE"""),44772.0)</f>
        <v>44772</v>
      </c>
      <c r="B112" s="368" t="str">
        <f>IFERROR(__xludf.DUMMYFUNCTION("""COMPUTED_VALUE"""),"Tier 3")</f>
        <v>Tier 3</v>
      </c>
      <c r="C112" s="368" t="str">
        <f>IFERROR(__xludf.DUMMYFUNCTION("""COMPUTED_VALUE"""),"The News International")</f>
        <v>The News International</v>
      </c>
      <c r="D112" s="368" t="str">
        <f>IFERROR(__xludf.DUMMYFUNCTION("""COMPUTED_VALUE"""),"Pakistanis among top 10 buyers of Dubai property")</f>
        <v>Pakistanis among top 10 buyers of Dubai property</v>
      </c>
      <c r="E112" s="507" t="str">
        <f>IFERROR(__xludf.DUMMYFUNCTION("""COMPUTED_VALUE"""),"https://www.thenews.com.pk/print/978208-pakistanis-among-top-10-buyers-of-dubai-property")</f>
        <v>https://www.thenews.com.pk/print/978208-pakistanis-among-top-10-buyers-of-dubai-property</v>
      </c>
      <c r="F112" s="368" t="str">
        <f>IFERROR(__xludf.DUMMYFUNCTION("""COMPUTED_VALUE"""),"Betterhomes")</f>
        <v>Betterhomes</v>
      </c>
    </row>
    <row r="113">
      <c r="A113" s="402">
        <f>IFERROR(__xludf.DUMMYFUNCTION("""COMPUTED_VALUE"""),44772.0)</f>
        <v>44772</v>
      </c>
      <c r="B113" s="368" t="str">
        <f>IFERROR(__xludf.DUMMYFUNCTION("""COMPUTED_VALUE"""),"Tier 2")</f>
        <v>Tier 2</v>
      </c>
      <c r="C113" s="368" t="str">
        <f>IFERROR(__xludf.DUMMYFUNCTION("""COMPUTED_VALUE"""),"Lovin Dubai (Insta)")</f>
        <v>Lovin Dubai (Insta)</v>
      </c>
      <c r="D113" s="368" t="str">
        <f>IFERROR(__xludf.DUMMYFUNCTION("""COMPUTED_VALUE"""),"A recent study shows Indians are the top buyers of property in Dubai ")</f>
        <v>A recent study shows Indians are the top buyers of property in Dubai </v>
      </c>
      <c r="E113" s="507" t="str">
        <f>IFERROR(__xludf.DUMMYFUNCTION("""COMPUTED_VALUE"""),"https://www.instagram.com/p/CgpIFINLnKe/?utm_source=ig_web_copy_link")</f>
        <v>https://www.instagram.com/p/CgpIFINLnKe/?utm_source=ig_web_copy_link</v>
      </c>
      <c r="F113" s="368" t="str">
        <f>IFERROR(__xludf.DUMMYFUNCTION("""COMPUTED_VALUE"""),"Betterhomes")</f>
        <v>Betterhomes</v>
      </c>
    </row>
    <row r="114">
      <c r="A114" s="402">
        <f>IFERROR(__xludf.DUMMYFUNCTION("""COMPUTED_VALUE"""),44772.0)</f>
        <v>44772</v>
      </c>
      <c r="B114" s="368" t="str">
        <f>IFERROR(__xludf.DUMMYFUNCTION("""COMPUTED_VALUE"""),"Tier 3")</f>
        <v>Tier 3</v>
      </c>
      <c r="C114" s="368" t="str">
        <f>IFERROR(__xludf.DUMMYFUNCTION("""COMPUTED_VALUE"""),"El Correo del Golfo")</f>
        <v>El Correo del Golfo</v>
      </c>
      <c r="D114" s="368" t="str">
        <f>IFERROR(__xludf.DUMMYFUNCTION("""COMPUTED_VALUE"""),"Dubai property sales surge 60% with Russians among investors")</f>
        <v>Dubai property sales surge 60% with Russians among investors</v>
      </c>
      <c r="E114" s="507" t="str">
        <f>IFERROR(__xludf.DUMMYFUNCTION("""COMPUTED_VALUE"""),"https://www.elcorreo.ae/articulo/economia/ventas-propiedades-dubai-aumentan-60-rusos-inversores/20220730094403148127.html")</f>
        <v>https://www.elcorreo.ae/articulo/economia/ventas-propiedades-dubai-aumentan-60-rusos-inversores/20220730094403148127.html</v>
      </c>
      <c r="F114" s="368" t="str">
        <f>IFERROR(__xludf.DUMMYFUNCTION("""COMPUTED_VALUE"""),"Betterhomes")</f>
        <v>Betterhomes</v>
      </c>
    </row>
    <row r="115">
      <c r="A115" s="402">
        <f>IFERROR(__xludf.DUMMYFUNCTION("""COMPUTED_VALUE"""),44772.0)</f>
        <v>44772</v>
      </c>
      <c r="B115" s="368" t="str">
        <f>IFERROR(__xludf.DUMMYFUNCTION("""COMPUTED_VALUE"""),"Tier 3")</f>
        <v>Tier 3</v>
      </c>
      <c r="C115" s="368" t="str">
        <f>IFERROR(__xludf.DUMMYFUNCTION("""COMPUTED_VALUE"""),"Investor Bg")</f>
        <v>Investor Bg</v>
      </c>
      <c r="D115" s="368" t="str">
        <f>IFERROR(__xludf.DUMMYFUNCTION("""COMPUTED_VALUE"""),"Home sales in Dubai rose 60% in the first half of the year")</f>
        <v>Home sales in Dubai rose 60% in the first half of the year</v>
      </c>
      <c r="E115" s="507" t="str">
        <f>IFERROR(__xludf.DUMMYFUNCTION("""COMPUTED_VALUE"""),"https://www.investor.bg/po-sveta/453/a/prodajbite-na-jilishta-v-dubai-sa-narasnali-s-60-prez-pyrvoto-polugodie-357226/")</f>
        <v>https://www.investor.bg/po-sveta/453/a/prodajbite-na-jilishta-v-dubai-sa-narasnali-s-60-prez-pyrvoto-polugodie-357226/</v>
      </c>
      <c r="F115" s="368" t="str">
        <f>IFERROR(__xludf.DUMMYFUNCTION("""COMPUTED_VALUE"""),"Betterhomes")</f>
        <v>Betterhomes</v>
      </c>
    </row>
    <row r="116">
      <c r="A116" s="402">
        <f>IFERROR(__xludf.DUMMYFUNCTION("""COMPUTED_VALUE"""),44772.0)</f>
        <v>44772</v>
      </c>
      <c r="B116" s="368" t="str">
        <f>IFERROR(__xludf.DUMMYFUNCTION("""COMPUTED_VALUE"""),"Tier 3")</f>
        <v>Tier 3</v>
      </c>
      <c r="C116" s="368" t="str">
        <f>IFERROR(__xludf.DUMMYFUNCTION("""COMPUTED_VALUE"""),"Money &amp; Banking (Thailand)")</f>
        <v>Money &amp; Banking (Thailand)</v>
      </c>
      <c r="D116" s="368" t="str">
        <f>IFERROR(__xludf.DUMMYFUNCTION("""COMPUTED_VALUE"""),"Dubai real estate market heats up, semi-annual transactions jump 60% as Russian investors flee Western sanctions")</f>
        <v>Dubai real estate market heats up, semi-annual transactions jump 60% as Russian investors flee Western sanctions</v>
      </c>
      <c r="E116" s="507" t="str">
        <f>IFERROR(__xludf.DUMMYFUNCTION("""COMPUTED_VALUE"""),"https://www.moneyandbanking.co.th/article/news/estate-market-dubai-raise-290765")</f>
        <v>https://www.moneyandbanking.co.th/article/news/estate-market-dubai-raise-290765</v>
      </c>
      <c r="F116" s="368" t="str">
        <f>IFERROR(__xludf.DUMMYFUNCTION("""COMPUTED_VALUE"""),"Betterhomes")</f>
        <v>Betterhomes</v>
      </c>
    </row>
    <row r="117">
      <c r="A117" s="402">
        <f>IFERROR(__xludf.DUMMYFUNCTION("""COMPUTED_VALUE"""),44772.0)</f>
        <v>44772</v>
      </c>
      <c r="B117" s="368" t="str">
        <f>IFERROR(__xludf.DUMMYFUNCTION("""COMPUTED_VALUE"""),"Tier 3")</f>
        <v>Tier 3</v>
      </c>
      <c r="C117" s="368" t="str">
        <f>IFERROR(__xludf.DUMMYFUNCTION("""COMPUTED_VALUE"""),"Dawn")</f>
        <v>Dawn</v>
      </c>
      <c r="D117" s="368" t="str">
        <f>IFERROR(__xludf.DUMMYFUNCTION("""COMPUTED_VALUE"""),"Pakistanis among top 10 buyers as Dubai property sales skyrocket")</f>
        <v>Pakistanis among top 10 buyers as Dubai property sales skyrocket</v>
      </c>
      <c r="E117" s="507" t="str">
        <f>IFERROR(__xludf.DUMMYFUNCTION("""COMPUTED_VALUE"""),"https://www.dawn.com/news/1702248")</f>
        <v>https://www.dawn.com/news/1702248</v>
      </c>
      <c r="F117" s="368" t="str">
        <f>IFERROR(__xludf.DUMMYFUNCTION("""COMPUTED_VALUE"""),"Betterhomes")</f>
        <v>Betterhomes</v>
      </c>
    </row>
    <row r="118">
      <c r="A118" s="402">
        <f>IFERROR(__xludf.DUMMYFUNCTION("""COMPUTED_VALUE"""),44772.0)</f>
        <v>44772</v>
      </c>
      <c r="B118" s="368" t="str">
        <f>IFERROR(__xludf.DUMMYFUNCTION("""COMPUTED_VALUE"""),"Tier 3")</f>
        <v>Tier 3</v>
      </c>
      <c r="C118" s="368" t="str">
        <f>IFERROR(__xludf.DUMMYFUNCTION("""COMPUTED_VALUE"""),"Global Village Space")</f>
        <v>Global Village Space</v>
      </c>
      <c r="D118" s="368" t="str">
        <f>IFERROR(__xludf.DUMMYFUNCTION("""COMPUTED_VALUE"""),"Insights of the news “Pakistanis among top 10 buyers of Dubai property”")</f>
        <v>Insights of the news “Pakistanis among top 10 buyers of Dubai property”</v>
      </c>
      <c r="E118" s="507" t="str">
        <f>IFERROR(__xludf.DUMMYFUNCTION("""COMPUTED_VALUE"""),"https://www.globalvillagespace.com/insights-of-the-news-pakistanis-among-top-10-buyers-of-dubai-property/")</f>
        <v>https://www.globalvillagespace.com/insights-of-the-news-pakistanis-among-top-10-buyers-of-dubai-property/</v>
      </c>
      <c r="F118" s="368" t="str">
        <f>IFERROR(__xludf.DUMMYFUNCTION("""COMPUTED_VALUE"""),"Betterhomes")</f>
        <v>Betterhomes</v>
      </c>
    </row>
    <row r="119">
      <c r="A119" s="402">
        <f>IFERROR(__xludf.DUMMYFUNCTION("""COMPUTED_VALUE"""),44772.0)</f>
        <v>44772</v>
      </c>
      <c r="B119" s="368" t="str">
        <f>IFERROR(__xludf.DUMMYFUNCTION("""COMPUTED_VALUE"""),"Tier 2")</f>
        <v>Tier 2</v>
      </c>
      <c r="C119" s="368" t="str">
        <f>IFERROR(__xludf.DUMMYFUNCTION("""COMPUTED_VALUE"""),"Business Recorder")</f>
        <v>Business Recorder</v>
      </c>
      <c r="D119" s="368" t="str">
        <f>IFERROR(__xludf.DUMMYFUNCTION("""COMPUTED_VALUE"""),"Pakistanis among top 10 buyers in Dubai as real estate sales surge in H1 2022")</f>
        <v>Pakistanis among top 10 buyers in Dubai as real estate sales surge in H1 2022</v>
      </c>
      <c r="E119" s="507" t="str">
        <f>IFERROR(__xludf.DUMMYFUNCTION("""COMPUTED_VALUE"""),"https://www.brecorder.com/news/40188927/pakistanis-among-top-10-buyers-in-dubai-as-real-estate-sales-surge-in-h1-2022")</f>
        <v>https://www.brecorder.com/news/40188927/pakistanis-among-top-10-buyers-in-dubai-as-real-estate-sales-surge-in-h1-2022</v>
      </c>
      <c r="F119" s="368" t="str">
        <f>IFERROR(__xludf.DUMMYFUNCTION("""COMPUTED_VALUE"""),"Betterhomes")</f>
        <v>Betterhomes</v>
      </c>
    </row>
    <row r="120">
      <c r="A120" s="402">
        <f>IFERROR(__xludf.DUMMYFUNCTION("""COMPUTED_VALUE"""),44774.0)</f>
        <v>44774</v>
      </c>
      <c r="B120" s="368" t="str">
        <f>IFERROR(__xludf.DUMMYFUNCTION("""COMPUTED_VALUE"""),"Tier 2")</f>
        <v>Tier 2</v>
      </c>
      <c r="C120" s="368" t="str">
        <f>IFERROR(__xludf.DUMMYFUNCTION("""COMPUTED_VALUE"""),"Khaleej Times")</f>
        <v>Khaleej Times</v>
      </c>
      <c r="D120" s="368" t="str">
        <f>IFERROR(__xludf.DUMMYFUNCTION("""COMPUTED_VALUE"""),"Dubai: 5 most affordable areas to rent a villa revealed")</f>
        <v>Dubai: 5 most affordable areas to rent a villa revealed</v>
      </c>
      <c r="E120" s="507" t="str">
        <f>IFERROR(__xludf.DUMMYFUNCTION("""COMPUTED_VALUE"""),"https://www.khaleejtimes.com/uae/dubai-villa-rents-increase-as-demand-for-bigger-homes-soars-post-covid")</f>
        <v>https://www.khaleejtimes.com/uae/dubai-villa-rents-increase-as-demand-for-bigger-homes-soars-post-covid</v>
      </c>
      <c r="F120" s="368" t="str">
        <f>IFERROR(__xludf.DUMMYFUNCTION("""COMPUTED_VALUE"""),"Betterhomes")</f>
        <v>Betterhomes</v>
      </c>
    </row>
    <row r="121">
      <c r="A121" s="402">
        <f>IFERROR(__xludf.DUMMYFUNCTION("""COMPUTED_VALUE"""),44774.0)</f>
        <v>44774</v>
      </c>
      <c r="B121" s="368" t="str">
        <f>IFERROR(__xludf.DUMMYFUNCTION("""COMPUTED_VALUE"""),"Tier 2")</f>
        <v>Tier 2</v>
      </c>
      <c r="C121" s="368" t="str">
        <f>IFERROR(__xludf.DUMMYFUNCTION("""COMPUTED_VALUE"""),"Property News")</f>
        <v>Property News</v>
      </c>
      <c r="D121" s="368" t="str">
        <f>IFERROR(__xludf.DUMMYFUNCTION("""COMPUTED_VALUE"""),"Betterhomes’ H1 2022 Market Report")</f>
        <v>Betterhomes’ H1 2022 Market Report</v>
      </c>
      <c r="E121" s="507" t="str">
        <f>IFERROR(__xludf.DUMMYFUNCTION("""COMPUTED_VALUE"""),"https://www.propertynews.ae/uae/aed1-8-billion-worth-of-real-estate-transactions-were-recorded-in-dubai-on-wednesday/")</f>
        <v>https://www.propertynews.ae/uae/aed1-8-billion-worth-of-real-estate-transactions-were-recorded-in-dubai-on-wednesday/</v>
      </c>
      <c r="F121" s="368" t="str">
        <f>IFERROR(__xludf.DUMMYFUNCTION("""COMPUTED_VALUE"""),"Betterhomes")</f>
        <v>Betterhomes</v>
      </c>
    </row>
    <row r="122">
      <c r="A122" s="402">
        <f>IFERROR(__xludf.DUMMYFUNCTION("""COMPUTED_VALUE"""),44774.0)</f>
        <v>44774</v>
      </c>
      <c r="B122" s="368" t="str">
        <f>IFERROR(__xludf.DUMMYFUNCTION("""COMPUTED_VALUE"""),"Tier 2")</f>
        <v>Tier 2</v>
      </c>
      <c r="C122" s="368" t="str">
        <f>IFERROR(__xludf.DUMMYFUNCTION("""COMPUTED_VALUE"""),"Khaleej Times")</f>
        <v>Khaleej Times</v>
      </c>
      <c r="D122" s="368" t="str">
        <f>IFERROR(__xludf.DUMMYFUNCTION("""COMPUTED_VALUE"""),"UAE: How much mortgage can Dubai property buyers apply for?")</f>
        <v>UAE: How much mortgage can Dubai property buyers apply for?</v>
      </c>
      <c r="E122" s="507" t="str">
        <f>IFERROR(__xludf.DUMMYFUNCTION("""COMPUTED_VALUE"""),"https://www.khaleejtimes.com/property/uae-how-much-mortgage-can-dubai-property-buyers-apply-for")</f>
        <v>https://www.khaleejtimes.com/property/uae-how-much-mortgage-can-dubai-property-buyers-apply-for</v>
      </c>
      <c r="F122" s="368" t="str">
        <f>IFERROR(__xludf.DUMMYFUNCTION("""COMPUTED_VALUE"""),"BH Mortgages")</f>
        <v>BH Mortgages</v>
      </c>
    </row>
    <row r="123">
      <c r="A123" s="402">
        <f>IFERROR(__xludf.DUMMYFUNCTION("""COMPUTED_VALUE"""),44774.0)</f>
        <v>44774</v>
      </c>
      <c r="B123" s="368" t="str">
        <f>IFERROR(__xludf.DUMMYFUNCTION("""COMPUTED_VALUE"""),"Tier 3")</f>
        <v>Tier 3</v>
      </c>
      <c r="C123" s="368" t="str">
        <f>IFERROR(__xludf.DUMMYFUNCTION("""COMPUTED_VALUE"""),"Mena FM")</f>
        <v>Mena FM</v>
      </c>
      <c r="D123" s="368" t="str">
        <f>IFERROR(__xludf.DUMMYFUNCTION("""COMPUTED_VALUE"""),"Dubai real estate market heats up, semi-annual transactions jump 60% as Russian investors flee Western sanctions")</f>
        <v>Dubai real estate market heats up, semi-annual transactions jump 60% as Russian investors flee Western sanctions</v>
      </c>
      <c r="E123" s="507" t="str">
        <f>IFERROR(__xludf.DUMMYFUNCTION("""COMPUTED_VALUE"""),"https://menafn.com/1104628153/UAE-How-Much-Mortgage-Can-Dubai-Property-Buyers-Apply-For")</f>
        <v>https://menafn.com/1104628153/UAE-How-Much-Mortgage-Can-Dubai-Property-Buyers-Apply-For</v>
      </c>
      <c r="F123" s="368" t="str">
        <f>IFERROR(__xludf.DUMMYFUNCTION("""COMPUTED_VALUE"""),"BH Mortgages")</f>
        <v>BH Mortgages</v>
      </c>
    </row>
    <row r="124">
      <c r="A124" s="402">
        <f>IFERROR(__xludf.DUMMYFUNCTION("""COMPUTED_VALUE"""),44774.0)</f>
        <v>44774</v>
      </c>
      <c r="B124" s="368" t="str">
        <f>IFERROR(__xludf.DUMMYFUNCTION("""COMPUTED_VALUE"""),"Tier 3")</f>
        <v>Tier 3</v>
      </c>
      <c r="C124" s="368" t="str">
        <f>IFERROR(__xludf.DUMMYFUNCTION("""COMPUTED_VALUE"""),"Mirchi 9 (India)")</f>
        <v>Mirchi 9 (India)</v>
      </c>
      <c r="D124" s="368" t="str">
        <f>IFERROR(__xludf.DUMMYFUNCTION("""COMPUTED_VALUE"""),"Desis Topping The Real Estate Charts in Dubai")</f>
        <v>Desis Topping The Real Estate Charts in Dubai</v>
      </c>
      <c r="E124" s="507" t="str">
        <f>IFERROR(__xludf.DUMMYFUNCTION("""COMPUTED_VALUE"""),"https://www.mirchi9.com/politics/desis-topping-the-real-estate-charts-in-dubai/")</f>
        <v>https://www.mirchi9.com/politics/desis-topping-the-real-estate-charts-in-dubai/</v>
      </c>
      <c r="F124" s="368" t="str">
        <f>IFERROR(__xludf.DUMMYFUNCTION("""COMPUTED_VALUE"""),"Betterhomes")</f>
        <v>Betterhomes</v>
      </c>
    </row>
    <row r="125">
      <c r="A125" s="402">
        <f>IFERROR(__xludf.DUMMYFUNCTION("""COMPUTED_VALUE"""),44777.0)</f>
        <v>44777</v>
      </c>
      <c r="B125" s="368" t="str">
        <f>IFERROR(__xludf.DUMMYFUNCTION("""COMPUTED_VALUE"""),"Tier 2")</f>
        <v>Tier 2</v>
      </c>
      <c r="C125" s="368" t="str">
        <f>IFERROR(__xludf.DUMMYFUNCTION("""COMPUTED_VALUE"""),"Gulf News")</f>
        <v>Gulf News</v>
      </c>
      <c r="D125" s="368" t="str">
        <f>IFERROR(__xludf.DUMMYFUNCTION("""COMPUTED_VALUE"""),"Dubai developers are finally ready with new villa projects as there is no let up in demand")</f>
        <v>Dubai developers are finally ready with new villa projects as there is no let up in demand</v>
      </c>
      <c r="E125" s="507" t="str">
        <f>IFERROR(__xludf.DUMMYFUNCTION("""COMPUTED_VALUE"""),"https://gulfnews.com/business/property/dubai-developers-are-finally-ready-with-new-villa-projects-as-there-is-no-let-up-in-demand-1.1659586803930")</f>
        <v>https://gulfnews.com/business/property/dubai-developers-are-finally-ready-with-new-villa-projects-as-there-is-no-let-up-in-demand-1.1659586803930</v>
      </c>
      <c r="F125" s="368" t="str">
        <f>IFERROR(__xludf.DUMMYFUNCTION("""COMPUTED_VALUE"""),"BH Off-Plan")</f>
        <v>BH Off-Plan</v>
      </c>
    </row>
    <row r="126">
      <c r="A126" s="402">
        <f>IFERROR(__xludf.DUMMYFUNCTION("""COMPUTED_VALUE"""),44777.0)</f>
        <v>44777</v>
      </c>
      <c r="B126" s="368" t="str">
        <f>IFERROR(__xludf.DUMMYFUNCTION("""COMPUTED_VALUE"""),"Tier 2")</f>
        <v>Tier 2</v>
      </c>
      <c r="C126" s="368" t="str">
        <f>IFERROR(__xludf.DUMMYFUNCTION("""COMPUTED_VALUE"""),"Zawya")</f>
        <v>Zawya</v>
      </c>
      <c r="D126" s="368" t="str">
        <f>IFERROR(__xludf.DUMMYFUNCTION("""COMPUTED_VALUE"""),"Designed to promote a family-oriented lifestyle, California Village is the new and secure community living in Dubai")</f>
        <v>Designed to promote a family-oriented lifestyle, California Village is the new and secure community living in Dubai</v>
      </c>
      <c r="E126" s="507" t="str">
        <f>IFERROR(__xludf.DUMMYFUNCTION("""COMPUTED_VALUE"""),"https://www.zawya.com/en/press-release/companies-news/designed-to-promote-a-family-oriented-lifestyle-california-village-is-the-new-and-secure-community-living-in-dubai-r1x26tyy")</f>
        <v>https://www.zawya.com/en/press-release/companies-news/designed-to-promote-a-family-oriented-lifestyle-california-village-is-the-new-and-secure-community-living-in-dubai-r1x26tyy</v>
      </c>
      <c r="F126" s="368" t="str">
        <f>IFERROR(__xludf.DUMMYFUNCTION("""COMPUTED_VALUE"""),"BH Off-Plan")</f>
        <v>BH Off-Plan</v>
      </c>
    </row>
    <row r="127">
      <c r="A127" s="402">
        <f>IFERROR(__xludf.DUMMYFUNCTION("""COMPUTED_VALUE"""),44778.0)</f>
        <v>44778</v>
      </c>
      <c r="B127" s="368" t="str">
        <f>IFERROR(__xludf.DUMMYFUNCTION("""COMPUTED_VALUE"""),"Tier 2")</f>
        <v>Tier 2</v>
      </c>
      <c r="C127" s="368" t="str">
        <f>IFERROR(__xludf.DUMMYFUNCTION("""COMPUTED_VALUE"""),"Zawya")</f>
        <v>Zawya</v>
      </c>
      <c r="D127" s="368" t="str">
        <f>IFERROR(__xludf.DUMMYFUNCTION("""COMPUTED_VALUE"""),"What are five questions to ask before I buy a property in Dubai?")</f>
        <v>What are five questions to ask before I buy a property in Dubai?</v>
      </c>
      <c r="E127" s="507" t="str">
        <f>IFERROR(__xludf.DUMMYFUNCTION("""COMPUTED_VALUE"""),"https://www.zawya.com/en/business/real-estate/what-are-five-questions-to-ask-before-i-buy-a-property-in-dubai-tey1miy5")</f>
        <v>https://www.zawya.com/en/business/real-estate/what-are-five-questions-to-ask-before-i-buy-a-property-in-dubai-tey1miy5</v>
      </c>
      <c r="F127" s="368" t="str">
        <f>IFERROR(__xludf.DUMMYFUNCTION("""COMPUTED_VALUE"""),"Betterhomes")</f>
        <v>Betterhomes</v>
      </c>
    </row>
    <row r="128">
      <c r="A128" s="402">
        <f>IFERROR(__xludf.DUMMYFUNCTION("""COMPUTED_VALUE"""),44778.0)</f>
        <v>44778</v>
      </c>
      <c r="B128" s="368" t="str">
        <f>IFERROR(__xludf.DUMMYFUNCTION("""COMPUTED_VALUE"""),"Tier 3")</f>
        <v>Tier 3</v>
      </c>
      <c r="C128" s="368" t="str">
        <f>IFERROR(__xludf.DUMMYFUNCTION("""COMPUTED_VALUE"""),"Mena FM")</f>
        <v>Mena FM</v>
      </c>
      <c r="D128" s="368" t="str">
        <f>IFERROR(__xludf.DUMMYFUNCTION("""COMPUTED_VALUE"""),"What are five questions to ask before I buy a property in Dubai?")</f>
        <v>What are five questions to ask before I buy a property in Dubai?</v>
      </c>
      <c r="E128" s="507" t="str">
        <f>IFERROR(__xludf.DUMMYFUNCTION("""COMPUTED_VALUE"""),"https://menafn.com/1104648693/What-Are-5-Questions-To-Ask-Before-I-Buy-A-Property-In-Dubai")</f>
        <v>https://menafn.com/1104648693/What-Are-5-Questions-To-Ask-Before-I-Buy-A-Property-In-Dubai</v>
      </c>
      <c r="F128" s="368" t="str">
        <f>IFERROR(__xludf.DUMMYFUNCTION("""COMPUTED_VALUE"""),"Betterhomes")</f>
        <v>Betterhomes</v>
      </c>
    </row>
    <row r="129">
      <c r="A129" s="402">
        <f>IFERROR(__xludf.DUMMYFUNCTION("""COMPUTED_VALUE"""),44778.0)</f>
        <v>44778</v>
      </c>
      <c r="B129" s="368" t="str">
        <f>IFERROR(__xludf.DUMMYFUNCTION("""COMPUTED_VALUE"""),"Tier 2")</f>
        <v>Tier 2</v>
      </c>
      <c r="C129" s="368" t="str">
        <f>IFERROR(__xludf.DUMMYFUNCTION("""COMPUTED_VALUE"""),"Khaleej Times (Print)")</f>
        <v>Khaleej Times (Print)</v>
      </c>
      <c r="D129" s="368" t="str">
        <f>IFERROR(__xludf.DUMMYFUNCTION("""COMPUTED_VALUE"""),"What are 5 questions to ask before I buy a property in Dubai? ")</f>
        <v>What are 5 questions to ask before I buy a property in Dubai? </v>
      </c>
      <c r="E129" s="368" t="str">
        <f>IFERROR(__xludf.DUMMYFUNCTION("""COMPUTED_VALUE"""),"file:///C:/Users/elsa.angelo/Downloads/Khaleej%20Times-05-08-2022.pdf")</f>
        <v>file:///C:/Users/elsa.angelo/Downloads/Khaleej%20Times-05-08-2022.pdf</v>
      </c>
      <c r="F129" s="368" t="str">
        <f>IFERROR(__xludf.DUMMYFUNCTION("""COMPUTED_VALUE"""),"Betterhomes")</f>
        <v>Betterhomes</v>
      </c>
    </row>
    <row r="130">
      <c r="A130" s="402">
        <f>IFERROR(__xludf.DUMMYFUNCTION("""COMPUTED_VALUE"""),44778.0)</f>
        <v>44778</v>
      </c>
      <c r="B130" s="368" t="str">
        <f>IFERROR(__xludf.DUMMYFUNCTION("""COMPUTED_VALUE"""),"Tier 2")</f>
        <v>Tier 2</v>
      </c>
      <c r="C130" s="368" t="str">
        <f>IFERROR(__xludf.DUMMYFUNCTION("""COMPUTED_VALUE"""),"Khaleej Times")</f>
        <v>Khaleej Times</v>
      </c>
      <c r="D130" s="368" t="str">
        <f>IFERROR(__xludf.DUMMYFUNCTION("""COMPUTED_VALUE"""),"What are 5 questions to ask before I buy a property in Dubai?")</f>
        <v>What are 5 questions to ask before I buy a property in Dubai?</v>
      </c>
      <c r="E130" s="507" t="str">
        <f>IFERROR(__xludf.DUMMYFUNCTION("""COMPUTED_VALUE"""),"https://www.khaleejtimes.com/business/what-are-5-questions-to-ask-before-i-buy-a-property-in-dubai")</f>
        <v>https://www.khaleejtimes.com/business/what-are-5-questions-to-ask-before-i-buy-a-property-in-dubai</v>
      </c>
      <c r="F130" s="368" t="str">
        <f>IFERROR(__xludf.DUMMYFUNCTION("""COMPUTED_VALUE"""),"Betterhomes")</f>
        <v>Betterhomes</v>
      </c>
    </row>
    <row r="131">
      <c r="A131" s="402">
        <f>IFERROR(__xludf.DUMMYFUNCTION("""COMPUTED_VALUE"""),44779.0)</f>
        <v>44779</v>
      </c>
      <c r="B131" s="368" t="str">
        <f>IFERROR(__xludf.DUMMYFUNCTION("""COMPUTED_VALUE"""),"Tier 2")</f>
        <v>Tier 2</v>
      </c>
      <c r="C131" s="368" t="str">
        <f>IFERROR(__xludf.DUMMYFUNCTION("""COMPUTED_VALUE"""),"Money Control")</f>
        <v>Money Control</v>
      </c>
      <c r="D131" s="368" t="str">
        <f>IFERROR(__xludf.DUMMYFUNCTION("""COMPUTED_VALUE"""),"Immigration Central: Why are so many Indians buying property in Dubai?")</f>
        <v>Immigration Central: Why are so many Indians buying property in Dubai?</v>
      </c>
      <c r="E131" s="507" t="str">
        <f>IFERROR(__xludf.DUMMYFUNCTION("""COMPUTED_VALUE"""),"https://www.moneycontrol.com/news/trends/travel-trends/immigration-series-why-are-so-many-indians-buying-property-in-dubai-8964261.html")</f>
        <v>https://www.moneycontrol.com/news/trends/travel-trends/immigration-series-why-are-so-many-indians-buying-property-in-dubai-8964261.html</v>
      </c>
      <c r="F131" s="368" t="str">
        <f>IFERROR(__xludf.DUMMYFUNCTION("""COMPUTED_VALUE"""),"Betterhomes")</f>
        <v>Betterhomes</v>
      </c>
    </row>
    <row r="132">
      <c r="A132" s="402">
        <f>IFERROR(__xludf.DUMMYFUNCTION("""COMPUTED_VALUE"""),44779.0)</f>
        <v>44779</v>
      </c>
      <c r="B132" s="368" t="str">
        <f>IFERROR(__xludf.DUMMYFUNCTION("""COMPUTED_VALUE"""),"Tier 2")</f>
        <v>Tier 2</v>
      </c>
      <c r="C132" s="368" t="str">
        <f>IFERROR(__xludf.DUMMYFUNCTION("""COMPUTED_VALUE"""),"The National")</f>
        <v>The National</v>
      </c>
      <c r="D132" s="368" t="str">
        <f>IFERROR(__xludf.DUMMYFUNCTION("""COMPUTED_VALUE"""),"Bank of England's rate increase makes UK property more appealing to Middle East investors")</f>
        <v>Bank of England's rate increase makes UK property more appealing to Middle East investors</v>
      </c>
      <c r="E132" s="507" t="str">
        <f>IFERROR(__xludf.DUMMYFUNCTION("""COMPUTED_VALUE"""),"https://www.thenationalnews.com/business/money/2022/08/05/bank-of-englands-rate-increase-makes-uk-property-more-appealing-to-middle-east-investors/")</f>
        <v>https://www.thenationalnews.com/business/money/2022/08/05/bank-of-englands-rate-increase-makes-uk-property-more-appealing-to-middle-east-investors/</v>
      </c>
      <c r="F132" s="368" t="str">
        <f>IFERROR(__xludf.DUMMYFUNCTION("""COMPUTED_VALUE"""),"Betterhomes")</f>
        <v>Betterhomes</v>
      </c>
    </row>
    <row r="133">
      <c r="A133" s="402">
        <f>IFERROR(__xludf.DUMMYFUNCTION("""COMPUTED_VALUE"""),44780.0)</f>
        <v>44780</v>
      </c>
      <c r="B133" s="368" t="str">
        <f>IFERROR(__xludf.DUMMYFUNCTION("""COMPUTED_VALUE"""),"Tier 2")</f>
        <v>Tier 2</v>
      </c>
      <c r="C133" s="368" t="str">
        <f>IFERROR(__xludf.DUMMYFUNCTION("""COMPUTED_VALUE"""),"Gulf News")</f>
        <v>Gulf News</v>
      </c>
      <c r="D133" s="368" t="str">
        <f>IFERROR(__xludf.DUMMYFUNCTION("""COMPUTED_VALUE"""),"In UAE, offices emerge as next big deal, with Aldar making Dh4.3b statement")</f>
        <v>In UAE, offices emerge as next big deal, with Aldar making Dh4.3b statement</v>
      </c>
      <c r="E133" s="507" t="str">
        <f>IFERROR(__xludf.DUMMYFUNCTION("""COMPUTED_VALUE"""),"https://gulfnews.com/business/property/in-uae-offices-emerge-as-next-big-deal-with-aldar-making-dh43b-statement-1.1659761770792")</f>
        <v>https://gulfnews.com/business/property/in-uae-offices-emerge-as-next-big-deal-with-aldar-making-dh43b-statement-1.1659761770792</v>
      </c>
      <c r="F133" s="368" t="str">
        <f>IFERROR(__xludf.DUMMYFUNCTION("""COMPUTED_VALUE"""),"CRC")</f>
        <v>CRC</v>
      </c>
    </row>
    <row r="134">
      <c r="A134" s="402">
        <f>IFERROR(__xludf.DUMMYFUNCTION("""COMPUTED_VALUE"""),44782.0)</f>
        <v>44782</v>
      </c>
      <c r="B134" s="368" t="str">
        <f>IFERROR(__xludf.DUMMYFUNCTION("""COMPUTED_VALUE"""),"Tier 1")</f>
        <v>Tier 1</v>
      </c>
      <c r="C134" s="368" t="str">
        <f>IFERROR(__xludf.DUMMYFUNCTION("""COMPUTED_VALUE"""),"Thomson Reuters")</f>
        <v>Thomson Reuters</v>
      </c>
      <c r="D134" s="368" t="str">
        <f>IFERROR(__xludf.DUMMYFUNCTION("""COMPUTED_VALUE"""),"Dubai's biggest bank gives staff a pay rise for inflation ")</f>
        <v>Dubai's biggest bank gives staff a pay rise for inflation </v>
      </c>
      <c r="E134" s="507" t="str">
        <f>IFERROR(__xludf.DUMMYFUNCTION("""COMPUTED_VALUE"""),"https://www.reuters.com/business/finance/dubais-biggest-bank-gives-staff-pay-rise-inflation-sources-2022-08-09/")</f>
        <v>https://www.reuters.com/business/finance/dubais-biggest-bank-gives-staff-pay-rise-inflation-sources-2022-08-09/</v>
      </c>
      <c r="F134" s="368" t="str">
        <f>IFERROR(__xludf.DUMMYFUNCTION("""COMPUTED_VALUE"""),"Betterhomes")</f>
        <v>Betterhomes</v>
      </c>
    </row>
    <row r="135">
      <c r="A135" s="402">
        <f>IFERROR(__xludf.DUMMYFUNCTION("""COMPUTED_VALUE"""),44782.0)</f>
        <v>44782</v>
      </c>
      <c r="B135" s="368" t="str">
        <f>IFERROR(__xludf.DUMMYFUNCTION("""COMPUTED_VALUE"""),"Tier 2")</f>
        <v>Tier 2</v>
      </c>
      <c r="C135" s="368" t="str">
        <f>IFERROR(__xludf.DUMMYFUNCTION("""COMPUTED_VALUE"""),"Zawya")</f>
        <v>Zawya</v>
      </c>
      <c r="D135" s="368" t="str">
        <f>IFERROR(__xludf.DUMMYFUNCTION("""COMPUTED_VALUE"""),"Dubai's biggest bank gives staff a pay rise for inflation - sources")</f>
        <v>Dubai's biggest bank gives staff a pay rise for inflation - sources</v>
      </c>
      <c r="E135" s="507" t="str">
        <f>IFERROR(__xludf.DUMMYFUNCTION("""COMPUTED_VALUE"""),"https://www.zawya.com/en/business/banking-and-insurance/dubais-biggest-bank-gives-staff-a-pay-rise-for-inflation-sources-axdjmqoe")</f>
        <v>https://www.zawya.com/en/business/banking-and-insurance/dubais-biggest-bank-gives-staff-a-pay-rise-for-inflation-sources-axdjmqoe</v>
      </c>
      <c r="F135" s="368" t="str">
        <f>IFERROR(__xludf.DUMMYFUNCTION("""COMPUTED_VALUE"""),"Betterhomes")</f>
        <v>Betterhomes</v>
      </c>
    </row>
    <row r="136">
      <c r="A136" s="402">
        <f>IFERROR(__xludf.DUMMYFUNCTION("""COMPUTED_VALUE"""),44782.0)</f>
        <v>44782</v>
      </c>
      <c r="B136" s="368" t="str">
        <f>IFERROR(__xludf.DUMMYFUNCTION("""COMPUTED_VALUE"""),"Tier 1")</f>
        <v>Tier 1</v>
      </c>
      <c r="C136" s="368" t="str">
        <f>IFERROR(__xludf.DUMMYFUNCTION("""COMPUTED_VALUE"""),"Thomson Reuters")</f>
        <v>Thomson Reuters</v>
      </c>
      <c r="D136" s="368" t="str">
        <f>IFERROR(__xludf.DUMMYFUNCTION("""COMPUTED_VALUE"""),"Conglomerate IHC boosts Abu Dhabi index to record high")</f>
        <v>Conglomerate IHC boosts Abu Dhabi index to record high</v>
      </c>
      <c r="E136" s="507" t="str">
        <f>IFERROR(__xludf.DUMMYFUNCTION("""COMPUTED_VALUE"""),"https://www.reuters.com/business/finance/dubais-biggest-bank-gives-staff-pay-rise-inflation-sources-2022-08-09/")</f>
        <v>https://www.reuters.com/business/finance/dubais-biggest-bank-gives-staff-pay-rise-inflation-sources-2022-08-09/</v>
      </c>
      <c r="F136" s="368" t="str">
        <f>IFERROR(__xludf.DUMMYFUNCTION("""COMPUTED_VALUE"""),"Betterhomes")</f>
        <v>Betterhomes</v>
      </c>
    </row>
    <row r="137">
      <c r="A137" s="402">
        <f>IFERROR(__xludf.DUMMYFUNCTION("""COMPUTED_VALUE"""),44782.0)</f>
        <v>44782</v>
      </c>
      <c r="B137" s="368" t="str">
        <f>IFERROR(__xludf.DUMMYFUNCTION("""COMPUTED_VALUE"""),"Tier 3")</f>
        <v>Tier 3</v>
      </c>
      <c r="C137" s="368" t="str">
        <f>IFERROR(__xludf.DUMMYFUNCTION("""COMPUTED_VALUE"""),"Noticia Del Mundo (Spain)")</f>
        <v>Noticia Del Mundo (Spain)</v>
      </c>
      <c r="D137" s="368" t="str">
        <f>IFERROR(__xludf.DUMMYFUNCTION("""COMPUTED_VALUE"""),"Emiratos Árabes Unidos: el banco más grande de Dubái aumenta el sueldo del personal por la inflación")</f>
        <v>Emiratos Árabes Unidos: el banco más grande de Dubái aumenta el sueldo del personal por la inflación</v>
      </c>
      <c r="E137" s="507" t="str">
        <f>IFERROR(__xludf.DUMMYFUNCTION("""COMPUTED_VALUE"""),"https://noticiasdelmundo.news/emiratos-arabes-unidos-el-banco-mas-grande-de-dubai-aumenta-el-sueldo-del-personal-por-la-inflacion/")</f>
        <v>https://noticiasdelmundo.news/emiratos-arabes-unidos-el-banco-mas-grande-de-dubai-aumenta-el-sueldo-del-personal-por-la-inflacion/</v>
      </c>
      <c r="F137" s="368" t="str">
        <f>IFERROR(__xludf.DUMMYFUNCTION("""COMPUTED_VALUE"""),"Betterhomes")</f>
        <v>Betterhomes</v>
      </c>
    </row>
    <row r="138">
      <c r="A138" s="402">
        <f>IFERROR(__xludf.DUMMYFUNCTION("""COMPUTED_VALUE"""),44782.0)</f>
        <v>44782</v>
      </c>
      <c r="B138" s="368" t="str">
        <f>IFERROR(__xludf.DUMMYFUNCTION("""COMPUTED_VALUE"""),"Tier 3")</f>
        <v>Tier 3</v>
      </c>
      <c r="C138" s="368" t="str">
        <f>IFERROR(__xludf.DUMMYFUNCTION("""COMPUTED_VALUE"""),"Sindobatam (Indonasia)")</f>
        <v>Sindobatam (Indonasia)</v>
      </c>
      <c r="D138" s="368" t="str">
        <f>IFERROR(__xludf.DUMMYFUNCTION("""COMPUTED_VALUE"""),"Dubai's biggest bank gives employees an inflationary raise")</f>
        <v>Dubai's biggest bank gives employees an inflationary raise</v>
      </c>
      <c r="E138" s="507" t="str">
        <f>IFERROR(__xludf.DUMMYFUNCTION("""COMPUTED_VALUE"""),"https://sindobatam.com/bank-terbesar-di-dubai-memberi-karyawan-kenaikan-gaji-inflasi/")</f>
        <v>https://sindobatam.com/bank-terbesar-di-dubai-memberi-karyawan-kenaikan-gaji-inflasi/</v>
      </c>
      <c r="F138" s="368" t="str">
        <f>IFERROR(__xludf.DUMMYFUNCTION("""COMPUTED_VALUE"""),"Betterhomes")</f>
        <v>Betterhomes</v>
      </c>
    </row>
    <row r="139">
      <c r="A139" s="402">
        <f>IFERROR(__xludf.DUMMYFUNCTION("""COMPUTED_VALUE"""),44782.0)</f>
        <v>44782</v>
      </c>
      <c r="B139" s="368" t="str">
        <f>IFERROR(__xludf.DUMMYFUNCTION("""COMPUTED_VALUE"""),"Tier 3")</f>
        <v>Tier 3</v>
      </c>
      <c r="C139" s="368" t="str">
        <f>IFERROR(__xludf.DUMMYFUNCTION("""COMPUTED_VALUE"""),"Buzz News (Italy)")</f>
        <v>Buzz News (Italy)</v>
      </c>
      <c r="D139" s="368" t="str">
        <f>IFERROR(__xludf.DUMMYFUNCTION("""COMPUTED_VALUE"""),"The largest bank in Dubai offers employees an increase in salaries due to inflation")</f>
        <v>The largest bank in Dubai offers employees an increase in salaries due to inflation</v>
      </c>
      <c r="E139" s="507" t="str">
        <f>IFERROR(__xludf.DUMMYFUNCTION("""COMPUTED_VALUE"""),"https://buzznews.it/la-piu-grande-banca-di-dubai-offre-ai-dipendenti-un-aumento-degli-stipendi-dovuti-allinflazione/")</f>
        <v>https://buzznews.it/la-piu-grande-banca-di-dubai-offre-ai-dipendenti-un-aumento-degli-stipendi-dovuti-allinflazione/</v>
      </c>
      <c r="F139" s="368" t="str">
        <f>IFERROR(__xludf.DUMMYFUNCTION("""COMPUTED_VALUE"""),"Betterhomes")</f>
        <v>Betterhomes</v>
      </c>
    </row>
    <row r="140">
      <c r="A140" s="402">
        <f>IFERROR(__xludf.DUMMYFUNCTION("""COMPUTED_VALUE"""),44782.0)</f>
        <v>44782</v>
      </c>
      <c r="B140" s="368" t="str">
        <f>IFERROR(__xludf.DUMMYFUNCTION("""COMPUTED_VALUE"""),"Tier 3")</f>
        <v>Tier 3</v>
      </c>
      <c r="C140" s="368" t="str">
        <f>IFERROR(__xludf.DUMMYFUNCTION("""COMPUTED_VALUE"""),"GDN Online (Bahrain)")</f>
        <v>GDN Online (Bahrain)</v>
      </c>
      <c r="D140" s="368" t="str">
        <f>IFERROR(__xludf.DUMMYFUNCTION("""COMPUTED_VALUE"""),"Dubai's biggest bank gives staff a pay rise for inflation")</f>
        <v>Dubai's biggest bank gives staff a pay rise for inflation</v>
      </c>
      <c r="E140" s="507" t="str">
        <f>IFERROR(__xludf.DUMMYFUNCTION("""COMPUTED_VALUE"""),"https://www.gdnonline.com/Details/1139529")</f>
        <v>https://www.gdnonline.com/Details/1139529</v>
      </c>
      <c r="F140" s="368" t="str">
        <f>IFERROR(__xludf.DUMMYFUNCTION("""COMPUTED_VALUE"""),"Betterhomes")</f>
        <v>Betterhomes</v>
      </c>
    </row>
    <row r="141">
      <c r="A141" s="402">
        <f>IFERROR(__xludf.DUMMYFUNCTION("""COMPUTED_VALUE"""),44783.0)</f>
        <v>44783</v>
      </c>
      <c r="B141" s="368" t="str">
        <f>IFERROR(__xludf.DUMMYFUNCTION("""COMPUTED_VALUE"""),"Tier 1")</f>
        <v>Tier 1</v>
      </c>
      <c r="C141" s="368" t="str">
        <f>IFERROR(__xludf.DUMMYFUNCTION("""COMPUTED_VALUE"""),"Thomson Reuters")</f>
        <v>Thomson Reuters</v>
      </c>
      <c r="D141" s="368" t="str">
        <f>IFERROR(__xludf.DUMMYFUNCTION("""COMPUTED_VALUE"""),"Major Gulf bourses trade mixed; Abu Dhabi at record high")</f>
        <v>Major Gulf bourses trade mixed; Abu Dhabi at record high</v>
      </c>
      <c r="E141" s="507" t="str">
        <f>IFERROR(__xludf.DUMMYFUNCTION("""COMPUTED_VALUE"""),"https://www.reuters.com/world/middle-east/major-gulf-bourses-trade-mixed-abu-dhabi-record-high-2022-08-10/")</f>
        <v>https://www.reuters.com/world/middle-east/major-gulf-bourses-trade-mixed-abu-dhabi-record-high-2022-08-10/</v>
      </c>
      <c r="F141" s="368" t="str">
        <f>IFERROR(__xludf.DUMMYFUNCTION("""COMPUTED_VALUE"""),"Betterhomes")</f>
        <v>Betterhomes</v>
      </c>
    </row>
    <row r="142">
      <c r="A142" s="402">
        <f>IFERROR(__xludf.DUMMYFUNCTION("""COMPUTED_VALUE"""),44783.0)</f>
        <v>44783</v>
      </c>
      <c r="B142" s="368" t="str">
        <f>IFERROR(__xludf.DUMMYFUNCTION("""COMPUTED_VALUE"""),"Tier 2")</f>
        <v>Tier 2</v>
      </c>
      <c r="C142" s="368" t="str">
        <f>IFERROR(__xludf.DUMMYFUNCTION("""COMPUTED_VALUE"""),"Gulf News")</f>
        <v>Gulf News</v>
      </c>
      <c r="D142" s="368" t="str">
        <f>IFERROR(__xludf.DUMMYFUNCTION("""COMPUTED_VALUE"""),"As rents rise 20-30%, more Dubai residents see better value in renewing contracts than chase new ones")</f>
        <v>As rents rise 20-30%, more Dubai residents see better value in renewing contracts than chase new ones</v>
      </c>
      <c r="E142" s="507" t="str">
        <f>IFERROR(__xludf.DUMMYFUNCTION("""COMPUTED_VALUE"""),"https://gulfnews.com/business/property/as-rents-rise-20-30-more-dubai-residents-see-better-value-in-renewing-contracts-than-chase-new-ones-1.1660102666420")</f>
        <v>https://gulfnews.com/business/property/as-rents-rise-20-30-more-dubai-residents-see-better-value-in-renewing-contracts-than-chase-new-ones-1.1660102666420</v>
      </c>
      <c r="F142" s="368" t="str">
        <f>IFERROR(__xludf.DUMMYFUNCTION("""COMPUTED_VALUE"""),"Betterhomes")</f>
        <v>Betterhomes</v>
      </c>
    </row>
    <row r="143">
      <c r="A143" s="402">
        <f>IFERROR(__xludf.DUMMYFUNCTION("""COMPUTED_VALUE"""),44783.0)</f>
        <v>44783</v>
      </c>
      <c r="B143" s="368" t="str">
        <f>IFERROR(__xludf.DUMMYFUNCTION("""COMPUTED_VALUE"""),"Tier 3")</f>
        <v>Tier 3</v>
      </c>
      <c r="C143" s="368" t="str">
        <f>IFERROR(__xludf.DUMMYFUNCTION("""COMPUTED_VALUE"""),"Bdnews24 (Bangladesh)")</f>
        <v>Bdnews24 (Bangladesh)</v>
      </c>
      <c r="D143" s="368" t="str">
        <f>IFERROR(__xludf.DUMMYFUNCTION("""COMPUTED_VALUE"""),"Dubai's biggest bank gives staff a pay rise for inflation")</f>
        <v>Dubai's biggest bank gives staff a pay rise for inflation</v>
      </c>
      <c r="E143" s="507" t="str">
        <f>IFERROR(__xludf.DUMMYFUNCTION("""COMPUTED_VALUE"""),"https://bdnews24.com/economy/pg5abbgrnq")</f>
        <v>https://bdnews24.com/economy/pg5abbgrnq</v>
      </c>
      <c r="F143" s="368" t="str">
        <f>IFERROR(__xludf.DUMMYFUNCTION("""COMPUTED_VALUE"""),"Betterhomes")</f>
        <v>Betterhomes</v>
      </c>
    </row>
    <row r="144">
      <c r="A144" s="402">
        <f>IFERROR(__xludf.DUMMYFUNCTION("""COMPUTED_VALUE"""),44783.0)</f>
        <v>44783</v>
      </c>
      <c r="B144" s="368" t="str">
        <f>IFERROR(__xludf.DUMMYFUNCTION("""COMPUTED_VALUE"""),"Tier 2")</f>
        <v>Tier 2</v>
      </c>
      <c r="C144" s="368" t="str">
        <f>IFERROR(__xludf.DUMMYFUNCTION("""COMPUTED_VALUE"""),"Arab News")</f>
        <v>Arab News</v>
      </c>
      <c r="D144" s="368" t="str">
        <f>IFERROR(__xludf.DUMMYFUNCTION("""COMPUTED_VALUE"""),"MIDEAST STOCKS-Major Gulf bourses trade mixed; Abu Dhabi at record high")</f>
        <v>MIDEAST STOCKS-Major Gulf bourses trade mixed; Abu Dhabi at record high</v>
      </c>
      <c r="E144" s="507" t="str">
        <f>IFERROR(__xludf.DUMMYFUNCTION("""COMPUTED_VALUE"""),"https://www.arabnews.com/node/2139816/business-economy")</f>
        <v>https://www.arabnews.com/node/2139816/business-economy</v>
      </c>
      <c r="F144" s="368" t="str">
        <f>IFERROR(__xludf.DUMMYFUNCTION("""COMPUTED_VALUE"""),"Betterhomes")</f>
        <v>Betterhomes</v>
      </c>
    </row>
    <row r="145">
      <c r="A145" s="402">
        <f>IFERROR(__xludf.DUMMYFUNCTION("""COMPUTED_VALUE"""),44784.0)</f>
        <v>44784</v>
      </c>
      <c r="B145" s="368" t="str">
        <f>IFERROR(__xludf.DUMMYFUNCTION("""COMPUTED_VALUE"""),"Tier 3")</f>
        <v>Tier 3</v>
      </c>
      <c r="C145" s="368" t="str">
        <f>IFERROR(__xludf.DUMMYFUNCTION("""COMPUTED_VALUE"""),"Financial Investor")</f>
        <v>Financial Investor</v>
      </c>
      <c r="D145" s="368" t="str">
        <f>IFERROR(__xludf.DUMMYFUNCTION("""COMPUTED_VALUE"""),"Ryan Mahoney (Dubai, UAE): The CRC Commercial Property Market Report FY 2021")</f>
        <v>Ryan Mahoney (Dubai, UAE): The CRC Commercial Property Market Report FY 2021</v>
      </c>
      <c r="E145" s="507" t="str">
        <f>IFERROR(__xludf.DUMMYFUNCTION("""COMPUTED_VALUE"""),"https://www.financialinvestor24.com/property/1903/ryan-mahoney-dubai-uae-the-crc-commercial-property-market-report-fy-2021/")</f>
        <v>https://www.financialinvestor24.com/property/1903/ryan-mahoney-dubai-uae-the-crc-commercial-property-market-report-fy-2021/</v>
      </c>
      <c r="F145" s="368" t="str">
        <f>IFERROR(__xludf.DUMMYFUNCTION("""COMPUTED_VALUE"""),"CRC")</f>
        <v>CRC</v>
      </c>
    </row>
    <row r="146">
      <c r="A146" s="402">
        <f>IFERROR(__xludf.DUMMYFUNCTION("""COMPUTED_VALUE"""),44785.0)</f>
        <v>44785</v>
      </c>
      <c r="B146" s="368" t="str">
        <f>IFERROR(__xludf.DUMMYFUNCTION("""COMPUTED_VALUE"""),"Tier 2")</f>
        <v>Tier 2</v>
      </c>
      <c r="C146" s="368" t="str">
        <f>IFERROR(__xludf.DUMMYFUNCTION("""COMPUTED_VALUE"""),"The National News")</f>
        <v>The National News</v>
      </c>
      <c r="D146" s="368" t="str">
        <f>IFERROR(__xludf.DUMMYFUNCTION("""COMPUTED_VALUE"""),"How ‘Fomo’ is driving UAE residents to take out mortgages while they still can")</f>
        <v>How ‘Fomo’ is driving UAE residents to take out mortgages while they still can</v>
      </c>
      <c r="E146" s="507" t="str">
        <f>IFERROR(__xludf.DUMMYFUNCTION("""COMPUTED_VALUE"""),"https://www.thenationalnews.com/weekend/2022/08/12/fomo-drives-uae-residents-to-take-out-mortgages-amid-rate-rises/")</f>
        <v>https://www.thenationalnews.com/weekend/2022/08/12/fomo-drives-uae-residents-to-take-out-mortgages-amid-rate-rises/</v>
      </c>
      <c r="F146" s="368" t="str">
        <f>IFERROR(__xludf.DUMMYFUNCTION("""COMPUTED_VALUE"""),"Betterhomes")</f>
        <v>Betterhomes</v>
      </c>
    </row>
    <row r="147">
      <c r="A147" s="402">
        <f>IFERROR(__xludf.DUMMYFUNCTION("""COMPUTED_VALUE"""),44785.0)</f>
        <v>44785</v>
      </c>
      <c r="B147" s="368" t="str">
        <f>IFERROR(__xludf.DUMMYFUNCTION("""COMPUTED_VALUE"""),"Tier 3")</f>
        <v>Tier 3</v>
      </c>
      <c r="C147" s="368" t="str">
        <f>IFERROR(__xludf.DUMMYFUNCTION("""COMPUTED_VALUE"""),"El Correo del Golfo (Spain)")</f>
        <v>El Correo del Golfo (Spain)</v>
      </c>
      <c r="D147" s="368" t="str">
        <f>IFERROR(__xludf.DUMMYFUNCTION("""COMPUTED_VALUE"""),"The largest bank in Dubai raises the salary of its employees")</f>
        <v>The largest bank in Dubai raises the salary of its employees</v>
      </c>
      <c r="E147" s="507" t="str">
        <f>IFERROR(__xludf.DUMMYFUNCTION("""COMPUTED_VALUE"""),"https://www.elcorreo.ae/articulo/economia/banco-mas-grande-dubai-sube-sueldo-empleados/20220812090626148406.html")</f>
        <v>https://www.elcorreo.ae/articulo/economia/banco-mas-grande-dubai-sube-sueldo-empleados/20220812090626148406.html</v>
      </c>
      <c r="F147" s="368" t="str">
        <f>IFERROR(__xludf.DUMMYFUNCTION("""COMPUTED_VALUE"""),"Betterhomes")</f>
        <v>Betterhomes</v>
      </c>
    </row>
    <row r="148">
      <c r="A148" s="402">
        <f>IFERROR(__xludf.DUMMYFUNCTION("""COMPUTED_VALUE"""),44787.0)</f>
        <v>44787</v>
      </c>
      <c r="B148" s="368" t="str">
        <f>IFERROR(__xludf.DUMMYFUNCTION("""COMPUTED_VALUE"""),"Tier 2")</f>
        <v>Tier 2</v>
      </c>
      <c r="C148" s="368" t="str">
        <f>IFERROR(__xludf.DUMMYFUNCTION("""COMPUTED_VALUE"""),"Khaleej TImes")</f>
        <v>Khaleej TImes</v>
      </c>
      <c r="D148" s="368" t="str">
        <f>IFERROR(__xludf.DUMMYFUNCTION("""COMPUTED_VALUE"""),"New tenants to pay higher rents in Dubai")</f>
        <v>New tenants to pay higher rents in Dubai</v>
      </c>
      <c r="E148" s="507" t="str">
        <f>IFERROR(__xludf.DUMMYFUNCTION("""COMPUTED_VALUE"""),"https://www.khaleejtimes.com/business/new-tenants-to-pay-higher-rents-in-dubai")</f>
        <v>https://www.khaleejtimes.com/business/new-tenants-to-pay-higher-rents-in-dubai</v>
      </c>
      <c r="F148" s="368" t="str">
        <f>IFERROR(__xludf.DUMMYFUNCTION("""COMPUTED_VALUE"""),"Betterhomes")</f>
        <v>Betterhomes</v>
      </c>
    </row>
    <row r="149">
      <c r="A149" s="402">
        <f>IFERROR(__xludf.DUMMYFUNCTION("""COMPUTED_VALUE"""),44788.0)</f>
        <v>44788</v>
      </c>
      <c r="B149" s="368" t="str">
        <f>IFERROR(__xludf.DUMMYFUNCTION("""COMPUTED_VALUE"""),"Tier 2")</f>
        <v>Tier 2</v>
      </c>
      <c r="C149" s="368" t="str">
        <f>IFERROR(__xludf.DUMMYFUNCTION("""COMPUTED_VALUE"""),"Zawya")</f>
        <v>Zawya</v>
      </c>
      <c r="D149" s="368" t="str">
        <f>IFERROR(__xludf.DUMMYFUNCTION("""COMPUTED_VALUE"""),"New tenants to pay higher rents in Dubai")</f>
        <v>New tenants to pay higher rents in Dubai</v>
      </c>
      <c r="E149" s="507" t="str">
        <f>IFERROR(__xludf.DUMMYFUNCTION("""COMPUTED_VALUE"""),"https://www.zawya.com/en/business/real-estate/new-tenants-to-pay-higher-rents-in-dubai-tppmufae")</f>
        <v>https://www.zawya.com/en/business/real-estate/new-tenants-to-pay-higher-rents-in-dubai-tppmufae</v>
      </c>
      <c r="F149" s="368" t="str">
        <f>IFERROR(__xludf.DUMMYFUNCTION("""COMPUTED_VALUE"""),"Betterhomes")</f>
        <v>Betterhomes</v>
      </c>
    </row>
    <row r="150">
      <c r="A150" s="402">
        <f>IFERROR(__xludf.DUMMYFUNCTION("""COMPUTED_VALUE"""),44789.0)</f>
        <v>44789</v>
      </c>
      <c r="B150" s="368" t="str">
        <f>IFERROR(__xludf.DUMMYFUNCTION("""COMPUTED_VALUE"""),"Tier 2")</f>
        <v>Tier 2</v>
      </c>
      <c r="C150" s="368" t="str">
        <f>IFERROR(__xludf.DUMMYFUNCTION("""COMPUTED_VALUE"""),"Gulf News")</f>
        <v>Gulf News</v>
      </c>
      <c r="D150" s="368" t="str">
        <f>IFERROR(__xludf.DUMMYFUNCTION("""COMPUTED_VALUE"""),"Travelling for a month or two - can I put up my Dubai home for rent?")</f>
        <v>Travelling for a month or two - can I put up my Dubai home for rent?</v>
      </c>
      <c r="E150" s="507" t="str">
        <f>IFERROR(__xludf.DUMMYFUNCTION("""COMPUTED_VALUE"""),"https://gulfnews.com/living-in-uae/housing/travelling-for-a-month-or-two---can-i-put-up-my-dubai-home-for-rent-1.1660661106061")</f>
        <v>https://gulfnews.com/living-in-uae/housing/travelling-for-a-month-or-two---can-i-put-up-my-dubai-home-for-rent-1.1660661106061</v>
      </c>
      <c r="F150" s="368" t="str">
        <f>IFERROR(__xludf.DUMMYFUNCTION("""COMPUTED_VALUE"""),"STR BH")</f>
        <v>STR BH</v>
      </c>
    </row>
    <row r="151">
      <c r="A151" s="402">
        <f>IFERROR(__xludf.DUMMYFUNCTION("""COMPUTED_VALUE"""),44789.0)</f>
        <v>44789</v>
      </c>
      <c r="B151" s="368" t="str">
        <f>IFERROR(__xludf.DUMMYFUNCTION("""COMPUTED_VALUE"""),"Tier 3")</f>
        <v>Tier 3</v>
      </c>
      <c r="C151" s="368" t="str">
        <f>IFERROR(__xludf.DUMMYFUNCTION("""COMPUTED_VALUE"""),"News Week (US)")</f>
        <v>News Week (US)</v>
      </c>
      <c r="D151" s="368" t="str">
        <f>IFERROR(__xludf.DUMMYFUNCTION("""COMPUTED_VALUE"""),"Wealthy Russians Are Racing To Buy Homes in Turkey—Here's Why")</f>
        <v>Wealthy Russians Are Racing To Buy Homes in Turkey—Here's Why</v>
      </c>
      <c r="E151" s="507" t="str">
        <f>IFERROR(__xludf.DUMMYFUNCTION("""COMPUTED_VALUE"""),"https://www.newsweek.com/wealthy-russians-racing-buy-homes-turkey-why-explained-1734028")</f>
        <v>https://www.newsweek.com/wealthy-russians-racing-buy-homes-turkey-why-explained-1734028</v>
      </c>
      <c r="F151" s="368" t="str">
        <f>IFERROR(__xludf.DUMMYFUNCTION("""COMPUTED_VALUE"""),"Betterhomes")</f>
        <v>Betterhomes</v>
      </c>
    </row>
    <row r="152">
      <c r="A152" s="402">
        <f>IFERROR(__xludf.DUMMYFUNCTION("""COMPUTED_VALUE"""),44789.0)</f>
        <v>44789</v>
      </c>
      <c r="B152" s="368" t="str">
        <f>IFERROR(__xludf.DUMMYFUNCTION("""COMPUTED_VALUE"""),"Tier 3")</f>
        <v>Tier 3</v>
      </c>
      <c r="C152" s="368" t="str">
        <f>IFERROR(__xludf.DUMMYFUNCTION("""COMPUTED_VALUE"""),"The Latest News (Germany)")</f>
        <v>The Latest News (Germany)</v>
      </c>
      <c r="D152" s="368" t="str">
        <f>IFERROR(__xludf.DUMMYFUNCTION("""COMPUTED_VALUE"""),"Wealthy Russians are racing to buy houses in Turkey — here's why")</f>
        <v>Wealthy Russians are racing to buy houses in Turkey — here's why</v>
      </c>
      <c r="E152" s="507" t="str">
        <f>IFERROR(__xludf.DUMMYFUNCTION("""COMPUTED_VALUE"""),"https://www.theaktuellenews.com/nachrichten/wohlhabende-russen-rennen-um-den-kauf-von-haeusern-in-der-tuerkei-hier-ist-der-grund/")</f>
        <v>https://www.theaktuellenews.com/nachrichten/wohlhabende-russen-rennen-um-den-kauf-von-haeusern-in-der-tuerkei-hier-ist-der-grund/</v>
      </c>
      <c r="F152" s="368" t="str">
        <f>IFERROR(__xludf.DUMMYFUNCTION("""COMPUTED_VALUE"""),"Betterhomes")</f>
        <v>Betterhomes</v>
      </c>
    </row>
    <row r="153">
      <c r="A153" s="402">
        <f>IFERROR(__xludf.DUMMYFUNCTION("""COMPUTED_VALUE"""),44790.0)</f>
        <v>44790</v>
      </c>
      <c r="B153" s="368" t="str">
        <f>IFERROR(__xludf.DUMMYFUNCTION("""COMPUTED_VALUE"""),"Tier 2")</f>
        <v>Tier 2</v>
      </c>
      <c r="C153" s="368" t="str">
        <f>IFERROR(__xludf.DUMMYFUNCTION("""COMPUTED_VALUE"""),"Zawya")</f>
        <v>Zawya</v>
      </c>
      <c r="D153" s="368" t="str">
        <f>IFERROR(__xludf.DUMMYFUNCTION("""COMPUTED_VALUE"""),"Dubai: Real estate firm’s name, escrow account, other details must on ads")</f>
        <v>Dubai: Real estate firm’s name, escrow account, other details must on ads</v>
      </c>
      <c r="E153" s="507" t="str">
        <f>IFERROR(__xludf.DUMMYFUNCTION("""COMPUTED_VALUE"""),"https://www.zawya.com/en/business/real-estate/dubai-real-estate-firms-name-escrow-account-other-details-must-on-ads-axl3oipj")</f>
        <v>https://www.zawya.com/en/business/real-estate/dubai-real-estate-firms-name-escrow-account-other-details-must-on-ads-axl3oipj</v>
      </c>
      <c r="F153" s="368" t="str">
        <f>IFERROR(__xludf.DUMMYFUNCTION("""COMPUTED_VALUE"""),"Betterhomes")</f>
        <v>Betterhomes</v>
      </c>
    </row>
    <row r="154">
      <c r="A154" s="402">
        <f>IFERROR(__xludf.DUMMYFUNCTION("""COMPUTED_VALUE"""),44790.0)</f>
        <v>44790</v>
      </c>
      <c r="B154" s="368" t="str">
        <f>IFERROR(__xludf.DUMMYFUNCTION("""COMPUTED_VALUE"""),"Tier 3")</f>
        <v>Tier 3</v>
      </c>
      <c r="C154" s="368" t="str">
        <f>IFERROR(__xludf.DUMMYFUNCTION("""COMPUTED_VALUE"""),"Ahval (Turkey)")</f>
        <v>Ahval (Turkey)</v>
      </c>
      <c r="D154" s="368" t="str">
        <f>IFERROR(__xludf.DUMMYFUNCTION("""COMPUTED_VALUE"""),"Wealthy Russians vying to purchase homes in Turkey")</f>
        <v>Wealthy Russians vying to purchase homes in Turkey</v>
      </c>
      <c r="E154" s="507" t="str">
        <f>IFERROR(__xludf.DUMMYFUNCTION("""COMPUTED_VALUE"""),"https://ahvalnews.com/turkish-property/wealthy-russians-vying-purchase-homes-turkey")</f>
        <v>https://ahvalnews.com/turkish-property/wealthy-russians-vying-purchase-homes-turkey</v>
      </c>
      <c r="F154" s="368" t="str">
        <f>IFERROR(__xludf.DUMMYFUNCTION("""COMPUTED_VALUE"""),"Betterhomes")</f>
        <v>Betterhomes</v>
      </c>
    </row>
    <row r="155">
      <c r="A155" s="402">
        <f>IFERROR(__xludf.DUMMYFUNCTION("""COMPUTED_VALUE"""),44796.0)</f>
        <v>44796</v>
      </c>
      <c r="B155" s="368" t="str">
        <f>IFERROR(__xludf.DUMMYFUNCTION("""COMPUTED_VALUE"""),"Tier 3")</f>
        <v>Tier 3</v>
      </c>
      <c r="C155" s="368" t="str">
        <f>IFERROR(__xludf.DUMMYFUNCTION("""COMPUTED_VALUE"""),"MediaFax (Romania)")</f>
        <v>MediaFax (Romania)</v>
      </c>
      <c r="D155" s="368" t="str">
        <f>IFERROR(__xludf.DUMMYFUNCTION("""COMPUTED_VALUE"""),"Romanias bought apartments woth 75M")</f>
        <v>Romanias bought apartments woth 75M</v>
      </c>
      <c r="E155" s="507" t="str">
        <f>IFERROR(__xludf.DUMMYFUNCTION("""COMPUTED_VALUE"""),"https://www.mediafax.ro/economic/romanii-au-cumparat-de-la-un-dezvoltator-apartamente-de-75-milioane-euro-in-dubai-in-primele-sapte-luni-21105824")</f>
        <v>https://www.mediafax.ro/economic/romanii-au-cumparat-de-la-un-dezvoltator-apartamente-de-75-milioane-euro-in-dubai-in-primele-sapte-luni-21105824</v>
      </c>
      <c r="F155" s="368" t="str">
        <f>IFERROR(__xludf.DUMMYFUNCTION("""COMPUTED_VALUE"""),"Betterhomes")</f>
        <v>Betterhomes</v>
      </c>
    </row>
    <row r="156">
      <c r="A156" s="402">
        <f>IFERROR(__xludf.DUMMYFUNCTION("""COMPUTED_VALUE"""),44799.0)</f>
        <v>44799</v>
      </c>
      <c r="B156" s="368" t="str">
        <f>IFERROR(__xludf.DUMMYFUNCTION("""COMPUTED_VALUE"""),"Tier 2")</f>
        <v>Tier 2</v>
      </c>
      <c r="C156" s="368" t="str">
        <f>IFERROR(__xludf.DUMMYFUNCTION("""COMPUTED_VALUE"""),"Gulf News ")</f>
        <v>Gulf News </v>
      </c>
      <c r="D156" s="368" t="str">
        <f>IFERROR(__xludf.DUMMYFUNCTION("""COMPUTED_VALUE"""),"In Dubai, property buyers find ready homes costing a lot less than new launches")</f>
        <v>In Dubai, property buyers find ready homes costing a lot less than new launches</v>
      </c>
      <c r="E156" s="507" t="str">
        <f>IFERROR(__xludf.DUMMYFUNCTION("""COMPUTED_VALUE"""),"https://gulfnews.com/business/property/in-dubai-property-buyers-find-ready-homes-costing-a-lot-less-than-new-launches-1.1661484948660")</f>
        <v>https://gulfnews.com/business/property/in-dubai-property-buyers-find-ready-homes-costing-a-lot-less-than-new-launches-1.1661484948660</v>
      </c>
      <c r="F156" s="368" t="str">
        <f>IFERROR(__xludf.DUMMYFUNCTION("""COMPUTED_VALUE"""),"Betterhomes")</f>
        <v>Betterhomes</v>
      </c>
    </row>
    <row r="157">
      <c r="A157" s="402">
        <f>IFERROR(__xludf.DUMMYFUNCTION("""COMPUTED_VALUE"""),44799.0)</f>
        <v>44799</v>
      </c>
      <c r="B157" s="368" t="str">
        <f>IFERROR(__xludf.DUMMYFUNCTION("""COMPUTED_VALUE"""),"Tier 1")</f>
        <v>Tier 1</v>
      </c>
      <c r="C157" s="368" t="str">
        <f>IFERROR(__xludf.DUMMYFUNCTION("""COMPUTED_VALUE"""),"Euro News")</f>
        <v>Euro News</v>
      </c>
      <c r="D157" s="368" t="str">
        <f>IFERROR(__xludf.DUMMYFUNCTION("""COMPUTED_VALUE"""),"Meet The Entrepreneurs")</f>
        <v>Meet The Entrepreneurs</v>
      </c>
      <c r="E157" s="507" t="str">
        <f>IFERROR(__xludf.DUMMYFUNCTION("""COMPUTED_VALUE"""),"https://www.euronews.com/2022/08/26/meet-the-entrepreneurs")</f>
        <v>https://www.euronews.com/2022/08/26/meet-the-entrepreneurs</v>
      </c>
      <c r="F157" s="368" t="str">
        <f>IFERROR(__xludf.DUMMYFUNCTION("""COMPUTED_VALUE"""),"Betterhomes")</f>
        <v>Betterhomes</v>
      </c>
    </row>
    <row r="158">
      <c r="A158" s="402">
        <f>IFERROR(__xludf.DUMMYFUNCTION("""COMPUTED_VALUE"""),44799.0)</f>
        <v>44799</v>
      </c>
      <c r="B158" s="368" t="str">
        <f>IFERROR(__xludf.DUMMYFUNCTION("""COMPUTED_VALUE"""),"Tier 1")</f>
        <v>Tier 1</v>
      </c>
      <c r="C158" s="368" t="str">
        <f>IFERROR(__xludf.DUMMYFUNCTION("""COMPUTED_VALUE"""),"Euro News (Turkey)")</f>
        <v>Euro News (Turkey)</v>
      </c>
      <c r="D158" s="368" t="str">
        <f>IFERROR(__xludf.DUMMYFUNCTION("""COMPUTED_VALUE"""),"Meet The Entrepreneurs")</f>
        <v>Meet The Entrepreneurs</v>
      </c>
      <c r="E158" s="507" t="str">
        <f>IFERROR(__xludf.DUMMYFUNCTION("""COMPUTED_VALUE"""),"https://tr.euronews.com/2022/08/26/betterhomes-kurucusu-linda-mahoney-dubai-dogru-zamanda-dogru-yerdi")</f>
        <v>https://tr.euronews.com/2022/08/26/betterhomes-kurucusu-linda-mahoney-dubai-dogru-zamanda-dogru-yerdi</v>
      </c>
      <c r="F158" s="368" t="str">
        <f>IFERROR(__xludf.DUMMYFUNCTION("""COMPUTED_VALUE"""),"Betterhomes")</f>
        <v>Betterhomes</v>
      </c>
    </row>
    <row r="159">
      <c r="A159" s="402">
        <f>IFERROR(__xludf.DUMMYFUNCTION("""COMPUTED_VALUE"""),44799.0)</f>
        <v>44799</v>
      </c>
      <c r="B159" s="368" t="str">
        <f>IFERROR(__xludf.DUMMYFUNCTION("""COMPUTED_VALUE"""),"Tier 1")</f>
        <v>Tier 1</v>
      </c>
      <c r="C159" s="368" t="str">
        <f>IFERROR(__xludf.DUMMYFUNCTION("""COMPUTED_VALUE"""),"Euro News (Germany)")</f>
        <v>Euro News (Germany)</v>
      </c>
      <c r="D159" s="368" t="str">
        <f>IFERROR(__xludf.DUMMYFUNCTION("""COMPUTED_VALUE"""),"Meet The Entrepreneurs")</f>
        <v>Meet The Entrepreneurs</v>
      </c>
      <c r="E159" s="507" t="str">
        <f>IFERROR(__xludf.DUMMYFUNCTION("""COMPUTED_VALUE"""),"https://de.euronews.com/2022/08/26/grunder-in-dubai-erst-krankenschwester-dann-immobilienmaklerin")</f>
        <v>https://de.euronews.com/2022/08/26/grunder-in-dubai-erst-krankenschwester-dann-immobilienmaklerin</v>
      </c>
      <c r="F159" s="368" t="str">
        <f>IFERROR(__xludf.DUMMYFUNCTION("""COMPUTED_VALUE"""),"Betterhomes")</f>
        <v>Betterhomes</v>
      </c>
    </row>
    <row r="160">
      <c r="A160" s="402">
        <f>IFERROR(__xludf.DUMMYFUNCTION("""COMPUTED_VALUE"""),44799.0)</f>
        <v>44799</v>
      </c>
      <c r="B160" s="368" t="str">
        <f>IFERROR(__xludf.DUMMYFUNCTION("""COMPUTED_VALUE"""),"Tier 1")</f>
        <v>Tier 1</v>
      </c>
      <c r="C160" s="368" t="str">
        <f>IFERROR(__xludf.DUMMYFUNCTION("""COMPUTED_VALUE"""),"Euro News (Italy)")</f>
        <v>Euro News (Italy)</v>
      </c>
      <c r="D160" s="368" t="str">
        <f>IFERROR(__xludf.DUMMYFUNCTION("""COMPUTED_VALUE"""),"Meet The Entrepreneurs")</f>
        <v>Meet The Entrepreneurs</v>
      </c>
      <c r="E160" s="507" t="str">
        <f>IFERROR(__xludf.DUMMYFUNCTION("""COMPUTED_VALUE"""),"https://it.euronews.com/2022/08/26/la-seconda-vita-di-linda-a-dubai-da-infermiera-ad-agente-immobiliare")</f>
        <v>https://it.euronews.com/2022/08/26/la-seconda-vita-di-linda-a-dubai-da-infermiera-ad-agente-immobiliare</v>
      </c>
      <c r="F160" s="368" t="str">
        <f>IFERROR(__xludf.DUMMYFUNCTION("""COMPUTED_VALUE"""),"Betterhomes")</f>
        <v>Betterhomes</v>
      </c>
    </row>
    <row r="161">
      <c r="A161" s="402">
        <f>IFERROR(__xludf.DUMMYFUNCTION("""COMPUTED_VALUE"""),44799.0)</f>
        <v>44799</v>
      </c>
      <c r="B161" s="368" t="str">
        <f>IFERROR(__xludf.DUMMYFUNCTION("""COMPUTED_VALUE"""),"Tier 1")</f>
        <v>Tier 1</v>
      </c>
      <c r="C161" s="368" t="str">
        <f>IFERROR(__xludf.DUMMYFUNCTION("""COMPUTED_VALUE"""),"Euro News (Spain)")</f>
        <v>Euro News (Spain)</v>
      </c>
      <c r="D161" s="368" t="str">
        <f>IFERROR(__xludf.DUMMYFUNCTION("""COMPUTED_VALUE"""),"Meet The Entrepreneurs")</f>
        <v>Meet The Entrepreneurs</v>
      </c>
      <c r="E161" s="507" t="str">
        <f>IFERROR(__xludf.DUMMYFUNCTION("""COMPUTED_VALUE"""),"https://es.euronews.com/2022/08/26/linda-mahoney-o-una-mujer-pionera-que-cambio-el-panorama-del-sector-inmobiliario-en-dubai")</f>
        <v>https://es.euronews.com/2022/08/26/linda-mahoney-o-una-mujer-pionera-que-cambio-el-panorama-del-sector-inmobiliario-en-dubai</v>
      </c>
      <c r="F161" s="368" t="str">
        <f>IFERROR(__xludf.DUMMYFUNCTION("""COMPUTED_VALUE"""),"Betterhomes")</f>
        <v>Betterhomes</v>
      </c>
    </row>
    <row r="162">
      <c r="A162" s="402">
        <f>IFERROR(__xludf.DUMMYFUNCTION("""COMPUTED_VALUE"""),44799.0)</f>
        <v>44799</v>
      </c>
      <c r="B162" s="368" t="str">
        <f>IFERROR(__xludf.DUMMYFUNCTION("""COMPUTED_VALUE"""),"Tier 1")</f>
        <v>Tier 1</v>
      </c>
      <c r="C162" s="368" t="str">
        <f>IFERROR(__xludf.DUMMYFUNCTION("""COMPUTED_VALUE"""),"Euro News (Portugal)")</f>
        <v>Euro News (Portugal)</v>
      </c>
      <c r="D162" s="368" t="str">
        <f>IFERROR(__xludf.DUMMYFUNCTION("""COMPUTED_VALUE"""),"Meet The Entrepreneurs")</f>
        <v>Meet The Entrepreneurs</v>
      </c>
      <c r="E162" s="507" t="str">
        <f>IFERROR(__xludf.DUMMYFUNCTION("""COMPUTED_VALUE"""),"https://pt.euronews.com/2022/08/26/uma-historia-de-sucesso-que-comecou-com-um-casamento-falhado")</f>
        <v>https://pt.euronews.com/2022/08/26/uma-historia-de-sucesso-que-comecou-com-um-casamento-falhado</v>
      </c>
      <c r="F162" s="368" t="str">
        <f>IFERROR(__xludf.DUMMYFUNCTION("""COMPUTED_VALUE"""),"Betterhomes")</f>
        <v>Betterhomes</v>
      </c>
    </row>
    <row r="163">
      <c r="A163" s="402">
        <f>IFERROR(__xludf.DUMMYFUNCTION("""COMPUTED_VALUE"""),44800.0)</f>
        <v>44800</v>
      </c>
      <c r="B163" s="368" t="str">
        <f>IFERROR(__xludf.DUMMYFUNCTION("""COMPUTED_VALUE"""),"Tier 3")</f>
        <v>Tier 3</v>
      </c>
      <c r="C163" s="368" t="str">
        <f>IFERROR(__xludf.DUMMYFUNCTION("""COMPUTED_VALUE"""),"Shortlist Dubai")</f>
        <v>Shortlist Dubai</v>
      </c>
      <c r="D163" s="368" t="str">
        <f>IFERROR(__xludf.DUMMYFUNCTION("""COMPUTED_VALUE"""),"Best Property Management Companies In Dubai- An Overview!")</f>
        <v>Best Property Management Companies In Dubai- An Overview!</v>
      </c>
      <c r="E163" s="507" t="str">
        <f>IFERROR(__xludf.DUMMYFUNCTION("""COMPUTED_VALUE"""),"https://www.shortlistdubai.com/article/best-property-management-companies-dubai/")</f>
        <v>https://www.shortlistdubai.com/article/best-property-management-companies-dubai/</v>
      </c>
      <c r="F163" s="368" t="str">
        <f>IFERROR(__xludf.DUMMYFUNCTION("""COMPUTED_VALUE"""),"Betterhomes")</f>
        <v>Betterhomes</v>
      </c>
    </row>
    <row r="164">
      <c r="A164" s="402">
        <f>IFERROR(__xludf.DUMMYFUNCTION("""COMPUTED_VALUE"""),44800.0)</f>
        <v>44800</v>
      </c>
      <c r="B164" s="368" t="str">
        <f>IFERROR(__xludf.DUMMYFUNCTION("""COMPUTED_VALUE"""),"Tier 3")</f>
        <v>Tier 3</v>
      </c>
      <c r="C164" s="368" t="str">
        <f>IFERROR(__xludf.DUMMYFUNCTION("""COMPUTED_VALUE"""),"Play Tech (Romania)")</f>
        <v>Play Tech (Romania)</v>
      </c>
      <c r="D164" s="368" t="str">
        <f>IFERROR(__xludf.DUMMYFUNCTION("""COMPUTED_VALUE"""),"The real estate bubble in Romania has exploded, and rich Romanians are moving to Dubai: how much money they put into apartments")</f>
        <v>The real estate bubble in Romania has exploded, and rich Romanians are moving to Dubai: how much money they put into apartments</v>
      </c>
      <c r="E164" s="507" t="str">
        <f>IFERROR(__xludf.DUMMYFUNCTION("""COMPUTED_VALUE"""),"https://playtech.ro/2022/bula-imobiliara-din-romania-a-explodat-iar-romanii-bogati-se-muta-la-dubai-cati-bani-au-bagat-in-apartamente/")</f>
        <v>https://playtech.ro/2022/bula-imobiliara-din-romania-a-explodat-iar-romanii-bogati-se-muta-la-dubai-cati-bani-au-bagat-in-apartamente/</v>
      </c>
      <c r="F164" s="368" t="str">
        <f>IFERROR(__xludf.DUMMYFUNCTION("""COMPUTED_VALUE"""),"Betterhomes")</f>
        <v>Betterhomes</v>
      </c>
    </row>
    <row r="165">
      <c r="A165" s="402">
        <f>IFERROR(__xludf.DUMMYFUNCTION("""COMPUTED_VALUE"""),44800.0)</f>
        <v>44800</v>
      </c>
      <c r="B165" s="368" t="str">
        <f>IFERROR(__xludf.DUMMYFUNCTION("""COMPUTED_VALUE"""),"Tier 3")</f>
        <v>Tier 3</v>
      </c>
      <c r="C165" s="368" t="str">
        <f>IFERROR(__xludf.DUMMYFUNCTION("""COMPUTED_VALUE"""),"Info (Israel)")</f>
        <v>Info (Israel)</v>
      </c>
      <c r="D165" s="368" t="str">
        <f>IFERROR(__xludf.DUMMYFUNCTION("""COMPUTED_VALUE"""),"2009 crisis forgotten in Dubai: luxury real estate jumps by 87%")</f>
        <v>2009 crisis forgotten in Dubai: luxury real estate jumps by 87%</v>
      </c>
      <c r="E165" s="507" t="str">
        <f>IFERROR(__xludf.DUMMYFUNCTION("""COMPUTED_VALUE"""),"https://infos-israel.news/crise-de-2009-oubliee-a-dubai-limmobilier-de-luxe-bondit-de-87/")</f>
        <v>https://infos-israel.news/crise-de-2009-oubliee-a-dubai-limmobilier-de-luxe-bondit-de-87/</v>
      </c>
      <c r="F165" s="368" t="str">
        <f>IFERROR(__xludf.DUMMYFUNCTION("""COMPUTED_VALUE"""),"Betterhomes")</f>
        <v>Betterhomes</v>
      </c>
    </row>
    <row r="166">
      <c r="A166" s="402">
        <f>IFERROR(__xludf.DUMMYFUNCTION("""COMPUTED_VALUE"""),44805.0)</f>
        <v>44805</v>
      </c>
      <c r="B166" s="368" t="str">
        <f>IFERROR(__xludf.DUMMYFUNCTION("""COMPUTED_VALUE"""),"Tier 3")</f>
        <v>Tier 3</v>
      </c>
      <c r="C166" s="368" t="str">
        <f>IFERROR(__xludf.DUMMYFUNCTION("""COMPUTED_VALUE"""),"Business Recorder")</f>
        <v>Business Recorder</v>
      </c>
      <c r="D166" s="368" t="str">
        <f>IFERROR(__xludf.DUMMYFUNCTION("""COMPUTED_VALUE"""),"Dubai is emerging as a favourite for the ultra-rich, and Ambani's reported purchase cements this status")</f>
        <v>Dubai is emerging as a favourite for the ultra-rich, and Ambani's reported purchase cements this status</v>
      </c>
      <c r="E166" s="507" t="str">
        <f>IFERROR(__xludf.DUMMYFUNCTION("""COMPUTED_VALUE"""),"https://www.brecorder.com/news/40194446")</f>
        <v>https://www.brecorder.com/news/40194446</v>
      </c>
      <c r="F166" s="368" t="str">
        <f>IFERROR(__xludf.DUMMYFUNCTION("""COMPUTED_VALUE"""),"Betterhomes")</f>
        <v>Betterhomes</v>
      </c>
    </row>
    <row r="167">
      <c r="A167" s="402">
        <f>IFERROR(__xludf.DUMMYFUNCTION("""COMPUTED_VALUE"""),44805.0)</f>
        <v>44805</v>
      </c>
      <c r="B167" s="368" t="str">
        <f>IFERROR(__xludf.DUMMYFUNCTION("""COMPUTED_VALUE"""),"Tier 3")</f>
        <v>Tier 3</v>
      </c>
      <c r="C167" s="368" t="str">
        <f>IFERROR(__xludf.DUMMYFUNCTION("""COMPUTED_VALUE"""),"Haberler (Turkey)")</f>
        <v>Haberler (Turkey)</v>
      </c>
      <c r="D167" s="368" t="str">
        <f>IFERROR(__xludf.DUMMYFUNCTION("""COMPUTED_VALUE"""),"BetterHomes founder Linda Mahoney: Dubai was the right place at the right time")</f>
        <v>BetterHomes founder Linda Mahoney: Dubai was the right place at the right time</v>
      </c>
      <c r="E167" s="507" t="str">
        <f>IFERROR(__xludf.DUMMYFUNCTION("""COMPUTED_VALUE"""),"https://www.haberler.com/guncel/betterhomes-kurucusu-linda-mahoney-dubai-dogru-15226716-haberi/")</f>
        <v>https://www.haberler.com/guncel/betterhomes-kurucusu-linda-mahoney-dubai-dogru-15226716-haberi/</v>
      </c>
      <c r="F167" s="368" t="str">
        <f>IFERROR(__xludf.DUMMYFUNCTION("""COMPUTED_VALUE"""),"Betterhomes")</f>
        <v>Betterhomes</v>
      </c>
    </row>
    <row r="168">
      <c r="A168" s="402">
        <f>IFERROR(__xludf.DUMMYFUNCTION("""COMPUTED_VALUE"""),44810.0)</f>
        <v>44810</v>
      </c>
      <c r="B168" s="368" t="str">
        <f>IFERROR(__xludf.DUMMYFUNCTION("""COMPUTED_VALUE"""),"Tier 2")</f>
        <v>Tier 2</v>
      </c>
      <c r="C168" s="368" t="str">
        <f>IFERROR(__xludf.DUMMYFUNCTION("""COMPUTED_VALUE"""),"Gulf News")</f>
        <v>Gulf News</v>
      </c>
      <c r="D168" s="368" t="str">
        <f>IFERROR(__xludf.DUMMYFUNCTION("""COMPUTED_VALUE"""),"Moving out: Who cancels Ejari - the landlord or tenant?")</f>
        <v>Moving out: Who cancels Ejari - the landlord or tenant?</v>
      </c>
      <c r="E168" s="507" t="str">
        <f>IFERROR(__xludf.DUMMYFUNCTION("""COMPUTED_VALUE"""),"https://gulfnews.com/living-in-uae/housing/moving-out-who-cancels-ejari---the-landlord-or-tenant-1.1662382091757")</f>
        <v>https://gulfnews.com/living-in-uae/housing/moving-out-who-cancels-ejari---the-landlord-or-tenant-1.1662382091757</v>
      </c>
      <c r="F168" s="368" t="str">
        <f>IFERROR(__xludf.DUMMYFUNCTION("""COMPUTED_VALUE"""),"Betterhomes")</f>
        <v>Betterhomes</v>
      </c>
    </row>
    <row r="169">
      <c r="A169" s="402">
        <f>IFERROR(__xludf.DUMMYFUNCTION("""COMPUTED_VALUE"""),44810.0)</f>
        <v>44810</v>
      </c>
      <c r="B169" s="368" t="str">
        <f>IFERROR(__xludf.DUMMYFUNCTION("""COMPUTED_VALUE"""),"Tier 3")</f>
        <v>Tier 3</v>
      </c>
      <c r="C169" s="368" t="str">
        <f>IFERROR(__xludf.DUMMYFUNCTION("""COMPUTED_VALUE"""),"Act Media (Romania)")</f>
        <v>Act Media (Romania)</v>
      </c>
      <c r="D169" s="368" t="str">
        <f>IFERROR(__xludf.DUMMYFUNCTION("""COMPUTED_VALUE"""),"Real estate : Romanians bought apartments of 75 million euros from Sobha Dubai developer in first 7 months of 2022")</f>
        <v>Real estate : Romanians bought apartments of 75 million euros from Sobha Dubai developer in first 7 months of 2022</v>
      </c>
      <c r="E169" s="507" t="str">
        <f>IFERROR(__xludf.DUMMYFUNCTION("""COMPUTED_VALUE"""),"https://actmedia.eu/economic/real-estate-romanians-bought-apartments-of-75-million-euros-from-sobha-dubai-developer-in-first-7-months-of-2022/99363")</f>
        <v>https://actmedia.eu/economic/real-estate-romanians-bought-apartments-of-75-million-euros-from-sobha-dubai-developer-in-first-7-months-of-2022/99363</v>
      </c>
      <c r="F169" s="368" t="str">
        <f>IFERROR(__xludf.DUMMYFUNCTION("""COMPUTED_VALUE"""),"Betterhomes")</f>
        <v>Betterhomes</v>
      </c>
    </row>
    <row r="170">
      <c r="A170" s="402">
        <f>IFERROR(__xludf.DUMMYFUNCTION("""COMPUTED_VALUE"""),44811.0)</f>
        <v>44811</v>
      </c>
      <c r="B170" s="368" t="str">
        <f>IFERROR(__xludf.DUMMYFUNCTION("""COMPUTED_VALUE"""),"Tier 2")</f>
        <v>Tier 2</v>
      </c>
      <c r="C170" s="368" t="str">
        <f>IFERROR(__xludf.DUMMYFUNCTION("""COMPUTED_VALUE"""),"Khaleej Times")</f>
        <v>Khaleej Times</v>
      </c>
      <c r="D170" s="368" t="str">
        <f>IFERROR(__xludf.DUMMYFUNCTION("""COMPUTED_VALUE"""),"Why the wealthy are attracted to Dubai's luxury homes")</f>
        <v>Why the wealthy are attracted to Dubai's luxury homes</v>
      </c>
      <c r="E170" s="507" t="str">
        <f>IFERROR(__xludf.DUMMYFUNCTION("""COMPUTED_VALUE"""),"https://www.khaleejtimes.com/opinion/why-the-wealthy-are-attracted-to-dubais-luxury-homes")</f>
        <v>https://www.khaleejtimes.com/opinion/why-the-wealthy-are-attracted-to-dubais-luxury-homes</v>
      </c>
      <c r="F170" s="368" t="str">
        <f>IFERROR(__xludf.DUMMYFUNCTION("""COMPUTED_VALUE"""),"PRIME")</f>
        <v>PRIME</v>
      </c>
    </row>
    <row r="171">
      <c r="A171" s="402">
        <f>IFERROR(__xludf.DUMMYFUNCTION("""COMPUTED_VALUE"""),44811.0)</f>
        <v>44811</v>
      </c>
      <c r="B171" s="368" t="str">
        <f>IFERROR(__xludf.DUMMYFUNCTION("""COMPUTED_VALUE"""),"Tier 2")</f>
        <v>Tier 2</v>
      </c>
      <c r="C171" s="368" t="str">
        <f>IFERROR(__xludf.DUMMYFUNCTION("""COMPUTED_VALUE"""),"Khaleej Times (Print)")</f>
        <v>Khaleej Times (Print)</v>
      </c>
      <c r="D171" s="368" t="str">
        <f>IFERROR(__xludf.DUMMYFUNCTION("""COMPUTED_VALUE"""),"Why the wealthy are attracted to Dubai's luxury homes")</f>
        <v>Why the wealthy are attracted to Dubai's luxury homes</v>
      </c>
      <c r="E171" s="507" t="str">
        <f>IFERROR(__xludf.DUMMYFUNCTION("""COMPUTED_VALUE"""),"https://epaper.khaleejtimes.com/835/05-09-2022")</f>
        <v>https://epaper.khaleejtimes.com/835/05-09-2022</v>
      </c>
      <c r="F171" s="368" t="str">
        <f>IFERROR(__xludf.DUMMYFUNCTION("""COMPUTED_VALUE"""),"PRIME ")</f>
        <v>PRIME </v>
      </c>
    </row>
    <row r="172">
      <c r="A172" s="402">
        <f>IFERROR(__xludf.DUMMYFUNCTION("""COMPUTED_VALUE"""),44811.0)</f>
        <v>44811</v>
      </c>
      <c r="B172" s="368" t="str">
        <f>IFERROR(__xludf.DUMMYFUNCTION("""COMPUTED_VALUE"""),"Tier 2")</f>
        <v>Tier 2</v>
      </c>
      <c r="C172" s="368" t="str">
        <f>IFERROR(__xludf.DUMMYFUNCTION("""COMPUTED_VALUE"""),"Zawya ")</f>
        <v>Zawya </v>
      </c>
      <c r="D172" s="368" t="str">
        <f>IFERROR(__xludf.DUMMYFUNCTION("""COMPUTED_VALUE"""),"Why the wealthy are attracted to Dubai's luxury homes")</f>
        <v>Why the wealthy are attracted to Dubai's luxury homes</v>
      </c>
      <c r="E172" s="507" t="str">
        <f>IFERROR(__xludf.DUMMYFUNCTION("""COMPUTED_VALUE"""),"https://www.zawya.com/en/business/real-estate/why-the-wealthy-are-attracted-to-dubais-luxury-homes-rg1maetg")</f>
        <v>https://www.zawya.com/en/business/real-estate/why-the-wealthy-are-attracted-to-dubais-luxury-homes-rg1maetg</v>
      </c>
      <c r="F172" s="368" t="str">
        <f>IFERROR(__xludf.DUMMYFUNCTION("""COMPUTED_VALUE"""),"PRIME ")</f>
        <v>PRIME </v>
      </c>
    </row>
    <row r="173">
      <c r="A173" s="402">
        <f>IFERROR(__xludf.DUMMYFUNCTION("""COMPUTED_VALUE"""),44814.0)</f>
        <v>44814</v>
      </c>
      <c r="B173" s="368" t="str">
        <f>IFERROR(__xludf.DUMMYFUNCTION("""COMPUTED_VALUE"""),"Tier 2")</f>
        <v>Tier 2</v>
      </c>
      <c r="C173" s="368" t="str">
        <f>IFERROR(__xludf.DUMMYFUNCTION("""COMPUTED_VALUE"""),"Arabian Business ")</f>
        <v>Arabian Business </v>
      </c>
      <c r="D173" s="368" t="str">
        <f>IFERROR(__xludf.DUMMYFUNCTION("""COMPUTED_VALUE"""),"Real estate brokers in the UAE: Do we need them? ")</f>
        <v>Real estate brokers in the UAE: Do we need them? </v>
      </c>
      <c r="E173" s="507" t="str">
        <f>IFERROR(__xludf.DUMMYFUNCTION("""COMPUTED_VALUE"""),"https://www.arabianbusiness.com/opinion/real-estate-brokers-in-the-uae-do-we-need-them")</f>
        <v>https://www.arabianbusiness.com/opinion/real-estate-brokers-in-the-uae-do-we-need-them</v>
      </c>
      <c r="F173" s="368" t="str">
        <f>IFERROR(__xludf.DUMMYFUNCTION("""COMPUTED_VALUE"""),"Betterhomes")</f>
        <v>Betterhomes</v>
      </c>
    </row>
    <row r="174">
      <c r="A174" s="402">
        <f>IFERROR(__xludf.DUMMYFUNCTION("""COMPUTED_VALUE"""),44816.0)</f>
        <v>44816</v>
      </c>
      <c r="B174" s="368" t="str">
        <f>IFERROR(__xludf.DUMMYFUNCTION("""COMPUTED_VALUE"""),"Tier 2")</f>
        <v>Tier 2</v>
      </c>
      <c r="C174" s="368" t="str">
        <f>IFERROR(__xludf.DUMMYFUNCTION("""COMPUTED_VALUE"""),"Arabian Gulf Business Insight")</f>
        <v>Arabian Gulf Business Insight</v>
      </c>
      <c r="D174" s="368" t="str">
        <f>IFERROR(__xludf.DUMMYFUNCTION("""COMPUTED_VALUE"""),"Dubai on alert as distressed assets become a real possibility")</f>
        <v>Dubai on alert as distressed assets become a real possibility</v>
      </c>
      <c r="E174" s="507" t="str">
        <f>IFERROR(__xludf.DUMMYFUNCTION("""COMPUTED_VALUE"""),"https://www.agbi.com/articles/dubai-on-alert-as-distressed-assets-become-a-real-possibility/")</f>
        <v>https://www.agbi.com/articles/dubai-on-alert-as-distressed-assets-become-a-real-possibility/</v>
      </c>
      <c r="F174" s="368" t="str">
        <f>IFERROR(__xludf.DUMMYFUNCTION("""COMPUTED_VALUE"""),"CRC")</f>
        <v>CRC</v>
      </c>
    </row>
    <row r="175">
      <c r="A175" s="402">
        <f>IFERROR(__xludf.DUMMYFUNCTION("""COMPUTED_VALUE"""),44817.0)</f>
        <v>44817</v>
      </c>
      <c r="B175" s="368" t="str">
        <f>IFERROR(__xludf.DUMMYFUNCTION("""COMPUTED_VALUE"""),"Tier 2")</f>
        <v>Tier 2</v>
      </c>
      <c r="C175" s="368" t="str">
        <f>IFERROR(__xludf.DUMMYFUNCTION("""COMPUTED_VALUE"""),"Arabian Gulf Business Insight")</f>
        <v>Arabian Gulf Business Insight</v>
      </c>
      <c r="D175" s="368" t="str">
        <f>IFERROR(__xludf.DUMMYFUNCTION("""COMPUTED_VALUE"""),"Burj Khalifa broke its sales record in 2021 – and is set to do it again")</f>
        <v>Burj Khalifa broke its sales record in 2021 – and is set to do it again</v>
      </c>
      <c r="E175" s="507" t="str">
        <f>IFERROR(__xludf.DUMMYFUNCTION("""COMPUTED_VALUE"""),"https://www.agbi.com/articles/burj-khalifa-surging-sales/")</f>
        <v>https://www.agbi.com/articles/burj-khalifa-surging-sales/</v>
      </c>
      <c r="F175" s="368" t="str">
        <f>IFERROR(__xludf.DUMMYFUNCTION("""COMPUTED_VALUE"""),"Betterhomes")</f>
        <v>Betterhomes</v>
      </c>
    </row>
    <row r="176">
      <c r="A176" s="402">
        <f>IFERROR(__xludf.DUMMYFUNCTION("""COMPUTED_VALUE"""),44824.0)</f>
        <v>44824</v>
      </c>
      <c r="B176" s="368" t="str">
        <f>IFERROR(__xludf.DUMMYFUNCTION("""COMPUTED_VALUE"""),"Tier 2")</f>
        <v>Tier 2</v>
      </c>
      <c r="C176" s="368" t="str">
        <f>IFERROR(__xludf.DUMMYFUNCTION("""COMPUTED_VALUE"""),"The National ")</f>
        <v>The National </v>
      </c>
      <c r="D176" s="368" t="str">
        <f>IFERROR(__xludf.DUMMYFUNCTION("""COMPUTED_VALUE"""),"Dubai’s economy holding up well amid the global slowdown")</f>
        <v>Dubai’s economy holding up well amid the global slowdown</v>
      </c>
      <c r="E176" s="507" t="str">
        <f>IFERROR(__xludf.DUMMYFUNCTION("""COMPUTED_VALUE"""),"https://www.thenationalnews.com/business/comment/2022/09/20/dubais-economy-holding-up-well-amid-the-global-slowdown/")</f>
        <v>https://www.thenationalnews.com/business/comment/2022/09/20/dubais-economy-holding-up-well-amid-the-global-slowdown/</v>
      </c>
      <c r="F176" s="368" t="str">
        <f>IFERROR(__xludf.DUMMYFUNCTION("""COMPUTED_VALUE"""),"Betterhomes")</f>
        <v>Betterhomes</v>
      </c>
    </row>
    <row r="177">
      <c r="A177" s="402">
        <f>IFERROR(__xludf.DUMMYFUNCTION("""COMPUTED_VALUE"""),44825.0)</f>
        <v>44825</v>
      </c>
      <c r="B177" s="368" t="str">
        <f>IFERROR(__xludf.DUMMYFUNCTION("""COMPUTED_VALUE"""),"Tier 3")</f>
        <v>Tier 3</v>
      </c>
      <c r="C177" s="368" t="str">
        <f>IFERROR(__xludf.DUMMYFUNCTION("""COMPUTED_VALUE"""),"El Correo del Golfo (Spain)")</f>
        <v>El Correo del Golfo (Spain)</v>
      </c>
      <c r="D177" s="368" t="str">
        <f>IFERROR(__xludf.DUMMYFUNCTION("""COMPUTED_VALUE"""),"Dubai economy remains stable after global slowdown")</f>
        <v>Dubai economy remains stable after global slowdown</v>
      </c>
      <c r="E177" s="507" t="str">
        <f>IFERROR(__xludf.DUMMYFUNCTION("""COMPUTED_VALUE"""),"https://www.elcorreo.ae/articulo/economia/economia-dubai-mantiene-estable-desaceleracion-mundial/20220921084624149342.html")</f>
        <v>https://www.elcorreo.ae/articulo/economia/economia-dubai-mantiene-estable-desaceleracion-mundial/20220921084624149342.html</v>
      </c>
      <c r="F177" s="368" t="str">
        <f>IFERROR(__xludf.DUMMYFUNCTION("""COMPUTED_VALUE"""),"Betterhomes")</f>
        <v>Betterhomes</v>
      </c>
    </row>
    <row r="178">
      <c r="A178" s="402">
        <f>IFERROR(__xludf.DUMMYFUNCTION("""COMPUTED_VALUE"""),44830.0)</f>
        <v>44830</v>
      </c>
      <c r="B178" s="368" t="str">
        <f>IFERROR(__xludf.DUMMYFUNCTION("""COMPUTED_VALUE"""),"Tier 2")</f>
        <v>Tier 2</v>
      </c>
      <c r="C178" s="368" t="str">
        <f>IFERROR(__xludf.DUMMYFUNCTION("""COMPUTED_VALUE"""),"Euro News")</f>
        <v>Euro News</v>
      </c>
      <c r="D178" s="368" t="str">
        <f>IFERROR(__xludf.DUMMYFUNCTION("""COMPUTED_VALUE"""),"Expo City Dubai: UAE's first 15-minute city &amp; a smart city for the future")</f>
        <v>Expo City Dubai: UAE's first 15-minute city &amp; a smart city for the future</v>
      </c>
      <c r="E178" s="507" t="str">
        <f>IFERROR(__xludf.DUMMYFUNCTION("""COMPUTED_VALUE"""),"https://www.euronews.com/next/2022/09/26/expo-city-dubai-larger-than-hong-kong-the-uaes-first-15-minute-city")</f>
        <v>https://www.euronews.com/next/2022/09/26/expo-city-dubai-larger-than-hong-kong-the-uaes-first-15-minute-city</v>
      </c>
      <c r="F178" s="368" t="str">
        <f>IFERROR(__xludf.DUMMYFUNCTION("""COMPUTED_VALUE"""),"Betterhomes")</f>
        <v>Betterhomes</v>
      </c>
    </row>
    <row r="179">
      <c r="A179" s="402">
        <f>IFERROR(__xludf.DUMMYFUNCTION("""COMPUTED_VALUE"""),44830.0)</f>
        <v>44830</v>
      </c>
      <c r="B179" s="368" t="str">
        <f>IFERROR(__xludf.DUMMYFUNCTION("""COMPUTED_VALUE"""),"Tier 2")</f>
        <v>Tier 2</v>
      </c>
      <c r="C179" s="368" t="str">
        <f>IFERROR(__xludf.DUMMYFUNCTION("""COMPUTED_VALUE"""),"Euro News (Italy)")</f>
        <v>Euro News (Italy)</v>
      </c>
      <c r="D179" s="368" t="str">
        <f>IFERROR(__xludf.DUMMYFUNCTION("""COMPUTED_VALUE"""),"Expo City Dubai: UAE's first 15-minute city &amp; a smart city for the future")</f>
        <v>Expo City Dubai: UAE's first 15-minute city &amp; a smart city for the future</v>
      </c>
      <c r="E179" s="507" t="str">
        <f>IFERROR(__xludf.DUMMYFUNCTION("""COMPUTED_VALUE"""),"https://it.euronews.com/next/2022/09/26/dubai-leredita-dellexpo-una-citta-intelligente-nellarea-dellesposizione")</f>
        <v>https://it.euronews.com/next/2022/09/26/dubai-leredita-dellexpo-una-citta-intelligente-nellarea-dellesposizione</v>
      </c>
      <c r="F179" s="368" t="str">
        <f>IFERROR(__xludf.DUMMYFUNCTION("""COMPUTED_VALUE"""),"Betterhomes")</f>
        <v>Betterhomes</v>
      </c>
    </row>
    <row r="180">
      <c r="A180" s="402">
        <f>IFERROR(__xludf.DUMMYFUNCTION("""COMPUTED_VALUE"""),44830.0)</f>
        <v>44830</v>
      </c>
      <c r="B180" s="368" t="str">
        <f>IFERROR(__xludf.DUMMYFUNCTION("""COMPUTED_VALUE"""),"Tier 2")</f>
        <v>Tier 2</v>
      </c>
      <c r="C180" s="368" t="str">
        <f>IFERROR(__xludf.DUMMYFUNCTION("""COMPUTED_VALUE"""),"Euro News (France)")</f>
        <v>Euro News (France)</v>
      </c>
      <c r="D180" s="368" t="str">
        <f>IFERROR(__xludf.DUMMYFUNCTION("""COMPUTED_VALUE"""),"Expo City Dubai: UAE's first 15-minute city &amp; a smart city for the future")</f>
        <v>Expo City Dubai: UAE's first 15-minute city &amp; a smart city for the future</v>
      </c>
      <c r="E180" s="507" t="str">
        <f>IFERROR(__xludf.DUMMYFUNCTION("""COMPUTED_VALUE"""),"https://fr.euronews.com/next/2022/09/26/dubai-transforme-le-site-de-son-expo-2020-en-ville-du-futur")</f>
        <v>https://fr.euronews.com/next/2022/09/26/dubai-transforme-le-site-de-son-expo-2020-en-ville-du-futur</v>
      </c>
      <c r="F180" s="368" t="str">
        <f>IFERROR(__xludf.DUMMYFUNCTION("""COMPUTED_VALUE"""),"Betterhomes")</f>
        <v>Betterhomes</v>
      </c>
    </row>
    <row r="181">
      <c r="A181" s="402">
        <f>IFERROR(__xludf.DUMMYFUNCTION("""COMPUTED_VALUE"""),44830.0)</f>
        <v>44830</v>
      </c>
      <c r="B181" s="368" t="str">
        <f>IFERROR(__xludf.DUMMYFUNCTION("""COMPUTED_VALUE"""),"Tier 2")</f>
        <v>Tier 2</v>
      </c>
      <c r="C181" s="368" t="str">
        <f>IFERROR(__xludf.DUMMYFUNCTION("""COMPUTED_VALUE"""),"Euro News (Germany)")</f>
        <v>Euro News (Germany)</v>
      </c>
      <c r="D181" s="368" t="str">
        <f>IFERROR(__xludf.DUMMYFUNCTION("""COMPUTED_VALUE"""),"Expo City Dubai: UAE's first 15-minute city &amp; a smart city for the future")</f>
        <v>Expo City Dubai: UAE's first 15-minute city &amp; a smart city for the future</v>
      </c>
      <c r="E181" s="507" t="str">
        <f>IFERROR(__xludf.DUMMYFUNCTION("""COMPUTED_VALUE"""),"https://de.euronews.com/next/2022/09/26/die-erste-15-minuten-stadt-der-vereinigten-arabischen-emirate")</f>
        <v>https://de.euronews.com/next/2022/09/26/die-erste-15-minuten-stadt-der-vereinigten-arabischen-emirate</v>
      </c>
      <c r="F181" s="368" t="str">
        <f>IFERROR(__xludf.DUMMYFUNCTION("""COMPUTED_VALUE"""),"Betterhomes")</f>
        <v>Betterhomes</v>
      </c>
    </row>
    <row r="182">
      <c r="A182" s="402">
        <f>IFERROR(__xludf.DUMMYFUNCTION("""COMPUTED_VALUE"""),44830.0)</f>
        <v>44830</v>
      </c>
      <c r="B182" s="368" t="str">
        <f>IFERROR(__xludf.DUMMYFUNCTION("""COMPUTED_VALUE"""),"Tier 2")</f>
        <v>Tier 2</v>
      </c>
      <c r="C182" s="368" t="str">
        <f>IFERROR(__xludf.DUMMYFUNCTION("""COMPUTED_VALUE"""),"Euro News (Spain)")</f>
        <v>Euro News (Spain)</v>
      </c>
      <c r="D182" s="368" t="str">
        <f>IFERROR(__xludf.DUMMYFUNCTION("""COMPUTED_VALUE"""),"Expo City Dubai: UAE's first 15-minute city &amp; a smart city for the future")</f>
        <v>Expo City Dubai: UAE's first 15-minute city &amp; a smart city for the future</v>
      </c>
      <c r="E182" s="507" t="str">
        <f>IFERROR(__xludf.DUMMYFUNCTION("""COMPUTED_VALUE"""),"https://es.euronews.com/next/2022/09/26/expo-city-dubai-o-la-ciudad-del-futuro-que-mantendra-vivo-el-legado-de-la-expo-2020")</f>
        <v>https://es.euronews.com/next/2022/09/26/expo-city-dubai-o-la-ciudad-del-futuro-que-mantendra-vivo-el-legado-de-la-expo-2020</v>
      </c>
      <c r="F182" s="368" t="str">
        <f>IFERROR(__xludf.DUMMYFUNCTION("""COMPUTED_VALUE"""),"Betterhomes")</f>
        <v>Betterhomes</v>
      </c>
    </row>
    <row r="183">
      <c r="A183" s="402">
        <f>IFERROR(__xludf.DUMMYFUNCTION("""COMPUTED_VALUE"""),44832.0)</f>
        <v>44832</v>
      </c>
      <c r="B183" s="368" t="str">
        <f>IFERROR(__xludf.DUMMYFUNCTION("""COMPUTED_VALUE"""),"Tier 2")</f>
        <v>Tier 2</v>
      </c>
      <c r="C183" s="368" t="str">
        <f>IFERROR(__xludf.DUMMYFUNCTION("""COMPUTED_VALUE"""),"The National ")</f>
        <v>The National </v>
      </c>
      <c r="D183" s="368" t="str">
        <f>IFERROR(__xludf.DUMMYFUNCTION("""COMPUTED_VALUE"""),"World Cup to provide Dubai property market with ‘mini-Expo effect’")</f>
        <v>World Cup to provide Dubai property market with ‘mini-Expo effect’</v>
      </c>
      <c r="E183" s="507" t="str">
        <f>IFERROR(__xludf.DUMMYFUNCTION("""COMPUTED_VALUE"""),"https://www.thenationalnews.com/business/property/2022/09/28/world-cup-to-provide-dubai-property-market-with-mini-expo-effect/")</f>
        <v>https://www.thenationalnews.com/business/property/2022/09/28/world-cup-to-provide-dubai-property-market-with-mini-expo-effect/</v>
      </c>
      <c r="F183" s="368" t="str">
        <f>IFERROR(__xludf.DUMMYFUNCTION("""COMPUTED_VALUE"""),"PRIME")</f>
        <v>PRIME</v>
      </c>
    </row>
    <row r="184">
      <c r="A184" s="402">
        <f>IFERROR(__xludf.DUMMYFUNCTION("""COMPUTED_VALUE"""),44841.0)</f>
        <v>44841</v>
      </c>
      <c r="B184" s="368" t="str">
        <f>IFERROR(__xludf.DUMMYFUNCTION("""COMPUTED_VALUE"""),"Tier 2")</f>
        <v>Tier 2</v>
      </c>
      <c r="C184" s="368" t="str">
        <f>IFERROR(__xludf.DUMMYFUNCTION("""COMPUTED_VALUE"""),"The National ")</f>
        <v>The National </v>
      </c>
      <c r="D184" s="368" t="str">
        <f>IFERROR(__xludf.DUMMYFUNCTION("""COMPUTED_VALUE"""),"Important real estate terms UAE property investors should know before buying")</f>
        <v>Important real estate terms UAE property investors should know before buying</v>
      </c>
      <c r="E184" s="507" t="str">
        <f>IFERROR(__xludf.DUMMYFUNCTION("""COMPUTED_VALUE"""),"https://www.thenationalnews.com/weekend/2022/10/07/important-real-estate-terms-uae-property-investors-should-know-before-buying/")</f>
        <v>https://www.thenationalnews.com/weekend/2022/10/07/important-real-estate-terms-uae-property-investors-should-know-before-buying/</v>
      </c>
      <c r="F184" s="368" t="str">
        <f>IFERROR(__xludf.DUMMYFUNCTION("""COMPUTED_VALUE"""),"Betterhomes")</f>
        <v>Betterhomes</v>
      </c>
    </row>
    <row r="185">
      <c r="A185" s="402">
        <f>IFERROR(__xludf.DUMMYFUNCTION("""COMPUTED_VALUE"""),44844.0)</f>
        <v>44844</v>
      </c>
      <c r="B185" s="368" t="str">
        <f>IFERROR(__xludf.DUMMYFUNCTION("""COMPUTED_VALUE"""),"Tier 2")</f>
        <v>Tier 2</v>
      </c>
      <c r="C185" s="368" t="str">
        <f>IFERROR(__xludf.DUMMYFUNCTION("""COMPUTED_VALUE"""),"TimeOut Dubai")</f>
        <v>TimeOut Dubai</v>
      </c>
      <c r="D185" s="368" t="str">
        <f>IFERROR(__xludf.DUMMYFUNCTION("""COMPUTED_VALUE"""),"Expo 2020 Dubai and FIFA World Cup contribute to rent hikes")</f>
        <v>Expo 2020 Dubai and FIFA World Cup contribute to rent hikes</v>
      </c>
      <c r="E185" s="507" t="str">
        <f>IFERROR(__xludf.DUMMYFUNCTION("""COMPUTED_VALUE"""),"https://www.timeoutdubai.com/moving-to-dubai/rent-hikes-in-dubai")</f>
        <v>https://www.timeoutdubai.com/moving-to-dubai/rent-hikes-in-dubai</v>
      </c>
      <c r="F185" s="368" t="str">
        <f>IFERROR(__xludf.DUMMYFUNCTION("""COMPUTED_VALUE"""),"Betterhomes")</f>
        <v>Betterhomes</v>
      </c>
    </row>
    <row r="186">
      <c r="A186" s="402">
        <f>IFERROR(__xludf.DUMMYFUNCTION("""COMPUTED_VALUE"""),44846.0)</f>
        <v>44846</v>
      </c>
      <c r="B186" s="368" t="str">
        <f>IFERROR(__xludf.DUMMYFUNCTION("""COMPUTED_VALUE"""),"Tier 2")</f>
        <v>Tier 2</v>
      </c>
      <c r="C186" s="368" t="str">
        <f>IFERROR(__xludf.DUMMYFUNCTION("""COMPUTED_VALUE"""),"TimeOut Dubai")</f>
        <v>TimeOut Dubai</v>
      </c>
      <c r="D186" s="368" t="str">
        <f>IFERROR(__xludf.DUMMYFUNCTION("""COMPUTED_VALUE"""),"Moving house? 7 top tips to make renting in Dubai easier")</f>
        <v>Moving house? 7 top tips to make renting in Dubai easier</v>
      </c>
      <c r="E186" s="507" t="str">
        <f>IFERROR(__xludf.DUMMYFUNCTION("""COMPUTED_VALUE"""),"https://www.timeoutdubai.com/news/top-tips-for-renting-in-dubai")</f>
        <v>https://www.timeoutdubai.com/news/top-tips-for-renting-in-dubai</v>
      </c>
      <c r="F186" s="368" t="str">
        <f>IFERROR(__xludf.DUMMYFUNCTION("""COMPUTED_VALUE"""),"Betterhomes")</f>
        <v>Betterhomes</v>
      </c>
    </row>
    <row r="187">
      <c r="A187" s="402">
        <f>IFERROR(__xludf.DUMMYFUNCTION("""COMPUTED_VALUE"""),44852.0)</f>
        <v>44852</v>
      </c>
      <c r="B187" s="368" t="str">
        <f>IFERROR(__xludf.DUMMYFUNCTION("""COMPUTED_VALUE"""),"Tier 2")</f>
        <v>Tier 2</v>
      </c>
      <c r="C187" s="368" t="str">
        <f>IFERROR(__xludf.DUMMYFUNCTION("""COMPUTED_VALUE"""),"The National")</f>
        <v>The National</v>
      </c>
      <c r="D187" s="368" t="str">
        <f>IFERROR(__xludf.DUMMYFUNCTION("""COMPUTED_VALUE"""),"UAE: Russians are top property buyers in Dubai; Indians come third")</f>
        <v>UAE: Russians are top property buyers in Dubai; Indians come third</v>
      </c>
      <c r="E187" s="507" t="str">
        <f>IFERROR(__xludf.DUMMYFUNCTION("""COMPUTED_VALUE"""),"https://www.khaleejtimes.com/property/dubai-russians-are-top-property-buyers-in-dubai-indians-come-third")</f>
        <v>https://www.khaleejtimes.com/property/dubai-russians-are-top-property-buyers-in-dubai-indians-come-third</v>
      </c>
      <c r="F187" s="368" t="str">
        <f>IFERROR(__xludf.DUMMYFUNCTION("""COMPUTED_VALUE"""),"Betterhomes")</f>
        <v>Betterhomes</v>
      </c>
    </row>
    <row r="188">
      <c r="A188" s="402">
        <f>IFERROR(__xludf.DUMMYFUNCTION("""COMPUTED_VALUE"""),44852.0)</f>
        <v>44852</v>
      </c>
      <c r="B188" s="368" t="str">
        <f>IFERROR(__xludf.DUMMYFUNCTION("""COMPUTED_VALUE"""),"Tier 3")</f>
        <v>Tier 3</v>
      </c>
      <c r="C188" s="368" t="str">
        <f>IFERROR(__xludf.DUMMYFUNCTION("""COMPUTED_VALUE"""),"MENA FN")</f>
        <v>MENA FN</v>
      </c>
      <c r="D188" s="368" t="str">
        <f>IFERROR(__xludf.DUMMYFUNCTION("""COMPUTED_VALUE"""),"Dubai Tenants Find It Cheaper To Stay In Existing Apartments As Rents Soar")</f>
        <v>Dubai Tenants Find It Cheaper To Stay In Existing Apartments As Rents Soar</v>
      </c>
      <c r="E188" s="507" t="str">
        <f>IFERROR(__xludf.DUMMYFUNCTION("""COMPUTED_VALUE"""),"https://menafn.com/1105043884/Dubai-Tenants-Find-It-Cheaper-To-Stay-In-Existing-Apartments-As-Rents-Soar")</f>
        <v>https://menafn.com/1105043884/Dubai-Tenants-Find-It-Cheaper-To-Stay-In-Existing-Apartments-As-Rents-Soar</v>
      </c>
      <c r="F188" s="368" t="str">
        <f>IFERROR(__xludf.DUMMYFUNCTION("""COMPUTED_VALUE"""),"Betterhomes")</f>
        <v>Betterhomes</v>
      </c>
    </row>
    <row r="189">
      <c r="A189" s="402">
        <f>IFERROR(__xludf.DUMMYFUNCTION("""COMPUTED_VALUE"""),44853.0)</f>
        <v>44853</v>
      </c>
      <c r="B189" s="368" t="str">
        <f>IFERROR(__xludf.DUMMYFUNCTION("""COMPUTED_VALUE"""),"Tier 2")</f>
        <v>Tier 2</v>
      </c>
      <c r="C189" s="368" t="str">
        <f>IFERROR(__xludf.DUMMYFUNCTION("""COMPUTED_VALUE"""),"Khaleej Times")</f>
        <v>Khaleej Times</v>
      </c>
      <c r="D189" s="368" t="str">
        <f>IFERROR(__xludf.DUMMYFUNCTION("""COMPUTED_VALUE"""),"Dubai tenants find it cheaper to stay in existing apartments as rents soar")</f>
        <v>Dubai tenants find it cheaper to stay in existing apartments as rents soar</v>
      </c>
      <c r="E189" s="507" t="str">
        <f>IFERROR(__xludf.DUMMYFUNCTION("""COMPUTED_VALUE"""),"https://www.khaleejtimes.com/uae/dubai-tenants-find-it-cheaper-to-stay-in-existing-apartments-as-rents-soar")</f>
        <v>https://www.khaleejtimes.com/uae/dubai-tenants-find-it-cheaper-to-stay-in-existing-apartments-as-rents-soar</v>
      </c>
      <c r="F189" s="368" t="str">
        <f>IFERROR(__xludf.DUMMYFUNCTION("""COMPUTED_VALUE"""),"Betterhomes")</f>
        <v>Betterhomes</v>
      </c>
    </row>
    <row r="190">
      <c r="A190" s="402">
        <f>IFERROR(__xludf.DUMMYFUNCTION("""COMPUTED_VALUE"""),44853.0)</f>
        <v>44853</v>
      </c>
      <c r="B190" s="368" t="str">
        <f>IFERROR(__xludf.DUMMYFUNCTION("""COMPUTED_VALUE"""),"Tier 2")</f>
        <v>Tier 2</v>
      </c>
      <c r="C190" s="368" t="str">
        <f>IFERROR(__xludf.DUMMYFUNCTION("""COMPUTED_VALUE"""),"Gulf News")</f>
        <v>Gulf News</v>
      </c>
      <c r="D190" s="368" t="str">
        <f>IFERROR(__xludf.DUMMYFUNCTION("""COMPUTED_VALUE"""),"Dubai rents in for more increases as occupancy levels hit 5-year highs")</f>
        <v>Dubai rents in for more increases as occupancy levels hit 5-year highs</v>
      </c>
      <c r="E190" s="507" t="str">
        <f>IFERROR(__xludf.DUMMYFUNCTION("""COMPUTED_VALUE"""),"https://gulfnews.com/business/property/dubai-rents-in-for-more-increases-as-occupancy-levels-hit-5-year-highs-1.1666153660083")</f>
        <v>https://gulfnews.com/business/property/dubai-rents-in-for-more-increases-as-occupancy-levels-hit-5-year-highs-1.1666153660083</v>
      </c>
      <c r="F190" s="368" t="str">
        <f>IFERROR(__xludf.DUMMYFUNCTION("""COMPUTED_VALUE"""),"Betterhomes")</f>
        <v>Betterhomes</v>
      </c>
    </row>
    <row r="191">
      <c r="A191" s="402">
        <f>IFERROR(__xludf.DUMMYFUNCTION("""COMPUTED_VALUE"""),44853.0)</f>
        <v>44853</v>
      </c>
      <c r="B191" s="368" t="str">
        <f>IFERROR(__xludf.DUMMYFUNCTION("""COMPUTED_VALUE"""),"Tier 3")</f>
        <v>Tier 3</v>
      </c>
      <c r="C191" s="368" t="str">
        <f>IFERROR(__xludf.DUMMYFUNCTION("""COMPUTED_VALUE"""),"NDTV")</f>
        <v>NDTV</v>
      </c>
      <c r="D191" s="368" t="str">
        <f>IFERROR(__xludf.DUMMYFUNCTION("""COMPUTED_VALUE"""),"Mukesh Ambani, Lakshmi Mittal Part Of Dubai's Luxury Property Boom")</f>
        <v>Mukesh Ambani, Lakshmi Mittal Part Of Dubai's Luxury Property Boom</v>
      </c>
      <c r="E191" s="507" t="str">
        <f>IFERROR(__xludf.DUMMYFUNCTION("""COMPUTED_VALUE"""),"https://www.ndtv.com/india-news/mukesh-ambani-lakshmi-mittal-part-of-dubais-luxury-property-boom-3444535")</f>
        <v>https://www.ndtv.com/india-news/mukesh-ambani-lakshmi-mittal-part-of-dubais-luxury-property-boom-3444535</v>
      </c>
      <c r="F191" s="368" t="str">
        <f>IFERROR(__xludf.DUMMYFUNCTION("""COMPUTED_VALUE"""),"Betterhomes")</f>
        <v>Betterhomes</v>
      </c>
    </row>
    <row r="192">
      <c r="A192" s="402">
        <f>IFERROR(__xludf.DUMMYFUNCTION("""COMPUTED_VALUE"""),44853.0)</f>
        <v>44853</v>
      </c>
      <c r="B192" s="368" t="str">
        <f>IFERROR(__xludf.DUMMYFUNCTION("""COMPUTED_VALUE"""),"Tier 1")</f>
        <v>Tier 1</v>
      </c>
      <c r="C192" s="368" t="str">
        <f>IFERROR(__xludf.DUMMYFUNCTION("""COMPUTED_VALUE"""),"Bloomberg")</f>
        <v>Bloomberg</v>
      </c>
      <c r="D192" s="368" t="str">
        <f>IFERROR(__xludf.DUMMYFUNCTION("""COMPUTED_VALUE"""),"Dubai’s Luxury Property Market Is Cashing In on the Global Slowdown")</f>
        <v>Dubai’s Luxury Property Market Is Cashing In on the Global Slowdown</v>
      </c>
      <c r="E192" s="507" t="str">
        <f>IFERROR(__xludf.DUMMYFUNCTION("""COMPUTED_VALUE"""),"https://www.bloomberg.com/news/features/2022-10-19/how-dubai-luxury-property-market-went-from-crash-to-boom")</f>
        <v>https://www.bloomberg.com/news/features/2022-10-19/how-dubai-luxury-property-market-went-from-crash-to-boom</v>
      </c>
      <c r="F192" s="368" t="str">
        <f>IFERROR(__xludf.DUMMYFUNCTION("""COMPUTED_VALUE"""),"Betterhomes")</f>
        <v>Betterhomes</v>
      </c>
    </row>
    <row r="193">
      <c r="A193" s="402">
        <f>IFERROR(__xludf.DUMMYFUNCTION("""COMPUTED_VALUE"""),44853.0)</f>
        <v>44853</v>
      </c>
      <c r="B193" s="368" t="str">
        <f>IFERROR(__xludf.DUMMYFUNCTION("""COMPUTED_VALUE"""),"Tier 3")</f>
        <v>Tier 3</v>
      </c>
      <c r="C193" s="368" t="str">
        <f>IFERROR(__xludf.DUMMYFUNCTION("""COMPUTED_VALUE"""),"BizNews")</f>
        <v>BizNews</v>
      </c>
      <c r="D193" s="368" t="str">
        <f>IFERROR(__xludf.DUMMYFUNCTION("""COMPUTED_VALUE"""),"Gupta favoured hub, Dubai, is cashing in on global slowdown")</f>
        <v>Gupta favoured hub, Dubai, is cashing in on global slowdown</v>
      </c>
      <c r="E193" s="507" t="str">
        <f>IFERROR(__xludf.DUMMYFUNCTION("""COMPUTED_VALUE"""),"https://www.biznews.com/premium-signup?mepr-unauth-page=989424&amp;redirect_to=%2Fpremium%2F2022%2F10%2F19%2Fgupta-hub-dubai-cashing-in-on-global-slowdown")</f>
        <v>https://www.biznews.com/premium-signup?mepr-unauth-page=989424&amp;redirect_to=%2Fpremium%2F2022%2F10%2F19%2Fgupta-hub-dubai-cashing-in-on-global-slowdown</v>
      </c>
      <c r="F193" s="368" t="str">
        <f>IFERROR(__xludf.DUMMYFUNCTION("""COMPUTED_VALUE"""),"Betterhomes")</f>
        <v>Betterhomes</v>
      </c>
    </row>
    <row r="194">
      <c r="A194" s="402">
        <f>IFERROR(__xludf.DUMMYFUNCTION("""COMPUTED_VALUE"""),44854.0)</f>
        <v>44854</v>
      </c>
      <c r="B194" s="368" t="str">
        <f>IFERROR(__xludf.DUMMYFUNCTION("""COMPUTED_VALUE"""),"Tier 2")</f>
        <v>Tier 2</v>
      </c>
      <c r="C194" s="368" t="str">
        <f>IFERROR(__xludf.DUMMYFUNCTION("""COMPUTED_VALUE"""),"Zawya")</f>
        <v>Zawya</v>
      </c>
      <c r="D194" s="368" t="str">
        <f>IFERROR(__xludf.DUMMYFUNCTION("""COMPUTED_VALUE"""),"Russians are Dubai's top non-resident property buyers in Q3: report")</f>
        <v>Russians are Dubai's top non-resident property buyers in Q3: report</v>
      </c>
      <c r="E194" s="507" t="str">
        <f>IFERROR(__xludf.DUMMYFUNCTION("""COMPUTED_VALUE"""),"https://www.zawya.com/en/business/real-estate/russians-are-dubais-top-non-resident-property-buyers-in-q3-report-vetsg12v")</f>
        <v>https://www.zawya.com/en/business/real-estate/russians-are-dubais-top-non-resident-property-buyers-in-q3-report-vetsg12v</v>
      </c>
      <c r="F194" s="368" t="str">
        <f>IFERROR(__xludf.DUMMYFUNCTION("""COMPUTED_VALUE"""),"Betterhomes")</f>
        <v>Betterhomes</v>
      </c>
    </row>
    <row r="195">
      <c r="A195" s="402">
        <f>IFERROR(__xludf.DUMMYFUNCTION("""COMPUTED_VALUE"""),44854.0)</f>
        <v>44854</v>
      </c>
      <c r="B195" s="368" t="str">
        <f>IFERROR(__xludf.DUMMYFUNCTION("""COMPUTED_VALUE"""),"Tier 2")</f>
        <v>Tier 2</v>
      </c>
      <c r="C195" s="368" t="str">
        <f>IFERROR(__xludf.DUMMYFUNCTION("""COMPUTED_VALUE"""),"The National")</f>
        <v>The National</v>
      </c>
      <c r="D195" s="368" t="str">
        <f>IFERROR(__xludf.DUMMYFUNCTION("""COMPUTED_VALUE"""),"Dubai property deal worth $163m closed as Palm Jumeirah prices continue to spiral upwards")</f>
        <v>Dubai property deal worth $163m closed as Palm Jumeirah prices continue to spiral upwards</v>
      </c>
      <c r="E195" s="507" t="str">
        <f>IFERROR(__xludf.DUMMYFUNCTION("""COMPUTED_VALUE"""),"https://www.thenationalnews.com/business/property/2022/10/20/dubai-property-deal-worth-163m-closed-as-palm-jumeirah-prices-continue-to-spiral-upwards/")</f>
        <v>https://www.thenationalnews.com/business/property/2022/10/20/dubai-property-deal-worth-163m-closed-as-palm-jumeirah-prices-continue-to-spiral-upwards/</v>
      </c>
      <c r="F195" s="368" t="str">
        <f>IFERROR(__xludf.DUMMYFUNCTION("""COMPUTED_VALUE"""),"Betterhomes")</f>
        <v>Betterhomes</v>
      </c>
    </row>
    <row r="196">
      <c r="A196" s="402">
        <f>IFERROR(__xludf.DUMMYFUNCTION("""COMPUTED_VALUE"""),44854.0)</f>
        <v>44854</v>
      </c>
      <c r="B196" s="368" t="str">
        <f>IFERROR(__xludf.DUMMYFUNCTION("""COMPUTED_VALUE"""),"Tier 1")</f>
        <v>Tier 1</v>
      </c>
      <c r="C196" s="368" t="str">
        <f>IFERROR(__xludf.DUMMYFUNCTION("""COMPUTED_VALUE"""),"Thomson Reuters")</f>
        <v>Thomson Reuters</v>
      </c>
      <c r="D196" s="368" t="str">
        <f>IFERROR(__xludf.DUMMYFUNCTION("""COMPUTED_VALUE"""),"Dubai property firm Deyaar's Q3 profit up on improving outlook")</f>
        <v>Dubai property firm Deyaar's Q3 profit up on improving outlook</v>
      </c>
      <c r="E196" s="507" t="str">
        <f>IFERROR(__xludf.DUMMYFUNCTION("""COMPUTED_VALUE"""),"https://www.reuters.com/article/deyaar-results/dubai-property-firm-deyaars-q3-profit-up-on-improving-outlook-idUKL8N31L257")</f>
        <v>https://www.reuters.com/article/deyaar-results/dubai-property-firm-deyaars-q3-profit-up-on-improving-outlook-idUKL8N31L257</v>
      </c>
      <c r="F196" s="368" t="str">
        <f>IFERROR(__xludf.DUMMYFUNCTION("""COMPUTED_VALUE"""),"Betterhomes")</f>
        <v>Betterhomes</v>
      </c>
    </row>
    <row r="197">
      <c r="A197" s="402">
        <f>IFERROR(__xludf.DUMMYFUNCTION("""COMPUTED_VALUE"""),44854.0)</f>
        <v>44854</v>
      </c>
      <c r="B197" s="368" t="str">
        <f>IFERROR(__xludf.DUMMYFUNCTION("""COMPUTED_VALUE"""),"Tier 2")</f>
        <v>Tier 2</v>
      </c>
      <c r="C197" s="368" t="str">
        <f>IFERROR(__xludf.DUMMYFUNCTION("""COMPUTED_VALUE"""),"Nasdaq")</f>
        <v>Nasdaq</v>
      </c>
      <c r="D197" s="368" t="str">
        <f>IFERROR(__xludf.DUMMYFUNCTION("""COMPUTED_VALUE"""),"Dubai property firm Deyaar's Q3 profit up on improving outlook")</f>
        <v>Dubai property firm Deyaar's Q3 profit up on improving outlook</v>
      </c>
      <c r="E197" s="507" t="str">
        <f>IFERROR(__xludf.DUMMYFUNCTION("""COMPUTED_VALUE"""),"https://www.nasdaq.com/articles/dubai-property-firm-deyaars-q3-profit-up-on-improving-outlook")</f>
        <v>https://www.nasdaq.com/articles/dubai-property-firm-deyaars-q3-profit-up-on-improving-outlook</v>
      </c>
      <c r="F197" s="368" t="str">
        <f>IFERROR(__xludf.DUMMYFUNCTION("""COMPUTED_VALUE"""),"Betterhomes")</f>
        <v>Betterhomes</v>
      </c>
    </row>
    <row r="198">
      <c r="A198" s="402">
        <f>IFERROR(__xludf.DUMMYFUNCTION("""COMPUTED_VALUE"""),44854.0)</f>
        <v>44854</v>
      </c>
      <c r="B198" s="368" t="str">
        <f>IFERROR(__xludf.DUMMYFUNCTION("""COMPUTED_VALUE"""),"Tier 2")</f>
        <v>Tier 2</v>
      </c>
      <c r="C198" s="368" t="str">
        <f>IFERROR(__xludf.DUMMYFUNCTION("""COMPUTED_VALUE"""),"Khaleej Times")</f>
        <v>Khaleej Times</v>
      </c>
      <c r="D198" s="368" t="str">
        <f>IFERROR(__xludf.DUMMYFUNCTION("""COMPUTED_VALUE"""),"Deyaar’s Q3 profit up on improving outlook")</f>
        <v>Deyaar’s Q3 profit up on improving outlook</v>
      </c>
      <c r="E198" s="507" t="str">
        <f>IFERROR(__xludf.DUMMYFUNCTION("""COMPUTED_VALUE"""),"https://www.khaleejtimes.com/business/deyaars-q3-profit-up-on-improving-outlook")</f>
        <v>https://www.khaleejtimes.com/business/deyaars-q3-profit-up-on-improving-outlook</v>
      </c>
      <c r="F198" s="368" t="str">
        <f>IFERROR(__xludf.DUMMYFUNCTION("""COMPUTED_VALUE"""),"Betterhomes")</f>
        <v>Betterhomes</v>
      </c>
    </row>
    <row r="199">
      <c r="A199" s="402">
        <f>IFERROR(__xludf.DUMMYFUNCTION("""COMPUTED_VALUE"""),44854.0)</f>
        <v>44854</v>
      </c>
      <c r="B199" s="368" t="str">
        <f>IFERROR(__xludf.DUMMYFUNCTION("""COMPUTED_VALUE"""),"Tier 3")</f>
        <v>Tier 3</v>
      </c>
      <c r="C199" s="368" t="str">
        <f>IFERROR(__xludf.DUMMYFUNCTION("""COMPUTED_VALUE"""),"Business Live ")</f>
        <v>Business Live </v>
      </c>
      <c r="D199" s="368" t="str">
        <f>IFERROR(__xludf.DUMMYFUNCTION("""COMPUTED_VALUE"""),"Dubai developer Deyaar reports leap in third-quarter profit")</f>
        <v>Dubai developer Deyaar reports leap in third-quarter profit</v>
      </c>
      <c r="E199" s="507" t="str">
        <f>IFERROR(__xludf.DUMMYFUNCTION("""COMPUTED_VALUE"""),"https://www.businesslive.co.za/bd/companies/property/2022-10-20-dubai-developer-deyaar-reports-leap-in-third-quarter-profit/")</f>
        <v>https://www.businesslive.co.za/bd/companies/property/2022-10-20-dubai-developer-deyaar-reports-leap-in-third-quarter-profit/</v>
      </c>
      <c r="F199" s="368" t="str">
        <f>IFERROR(__xludf.DUMMYFUNCTION("""COMPUTED_VALUE"""),"Betterhomes")</f>
        <v>Betterhomes</v>
      </c>
    </row>
    <row r="200">
      <c r="A200" s="402">
        <f>IFERROR(__xludf.DUMMYFUNCTION("""COMPUTED_VALUE"""),44854.0)</f>
        <v>44854</v>
      </c>
      <c r="B200" s="368" t="str">
        <f>IFERROR(__xludf.DUMMYFUNCTION("""COMPUTED_VALUE"""),"Tier 3")</f>
        <v>Tier 3</v>
      </c>
      <c r="C200" s="368" t="str">
        <f>IFERROR(__xludf.DUMMYFUNCTION("""COMPUTED_VALUE"""),"MENA FN")</f>
        <v>MENA FN</v>
      </c>
      <c r="D200" s="368" t="str">
        <f>IFERROR(__xludf.DUMMYFUNCTION("""COMPUTED_VALUE"""),"Deyaar's Q3 Profit Up On Improving Outlook")</f>
        <v>Deyaar's Q3 Profit Up On Improving Outlook</v>
      </c>
      <c r="E200" s="507" t="str">
        <f>IFERROR(__xludf.DUMMYFUNCTION("""COMPUTED_VALUE"""),"https://menafn.com/1105055683/Deyaars-Q3-Profit-Up-On-Improving-Outlook")</f>
        <v>https://menafn.com/1105055683/Deyaars-Q3-Profit-Up-On-Improving-Outlook</v>
      </c>
      <c r="F200" s="368" t="str">
        <f>IFERROR(__xludf.DUMMYFUNCTION("""COMPUTED_VALUE"""),"Betterhomes")</f>
        <v>Betterhomes</v>
      </c>
    </row>
    <row r="201">
      <c r="A201" s="402">
        <f>IFERROR(__xludf.DUMMYFUNCTION("""COMPUTED_VALUE"""),44854.0)</f>
        <v>44854</v>
      </c>
      <c r="B201" s="368" t="str">
        <f>IFERROR(__xludf.DUMMYFUNCTION("""COMPUTED_VALUE"""),"Tier 3")</f>
        <v>Tier 3</v>
      </c>
      <c r="C201" s="368" t="str">
        <f>IFERROR(__xludf.DUMMYFUNCTION("""COMPUTED_VALUE"""),"Al-monitor")</f>
        <v>Al-monitor</v>
      </c>
      <c r="D201" s="368" t="str">
        <f>IFERROR(__xludf.DUMMYFUNCTION("""COMPUTED_VALUE"""),"Russian, British citizens top buyers of nonresidential property in Dubai")</f>
        <v>Russian, British citizens top buyers of nonresidential property in Dubai</v>
      </c>
      <c r="E201" s="507" t="str">
        <f>IFERROR(__xludf.DUMMYFUNCTION("""COMPUTED_VALUE"""),"https://www.al-monitor.com/originals/2022/10/russian-british-citizens-top-buyers-nonresidential-property-dubai")</f>
        <v>https://www.al-monitor.com/originals/2022/10/russian-british-citizens-top-buyers-nonresidential-property-dubai</v>
      </c>
      <c r="F201" s="368" t="str">
        <f>IFERROR(__xludf.DUMMYFUNCTION("""COMPUTED_VALUE"""),"Betterhomes")</f>
        <v>Betterhomes</v>
      </c>
    </row>
    <row r="202">
      <c r="A202" s="402">
        <f>IFERROR(__xludf.DUMMYFUNCTION("""COMPUTED_VALUE"""),44855.0)</f>
        <v>44855</v>
      </c>
      <c r="B202" s="368" t="str">
        <f>IFERROR(__xludf.DUMMYFUNCTION("""COMPUTED_VALUE"""),"Tier 3")</f>
        <v>Tier 3</v>
      </c>
      <c r="C202" s="368" t="str">
        <f>IFERROR(__xludf.DUMMYFUNCTION("""COMPUTED_VALUE"""),"Gulf Daily News")</f>
        <v>Gulf Daily News</v>
      </c>
      <c r="D202" s="368" t="str">
        <f>IFERROR(__xludf.DUMMYFUNCTION("""COMPUTED_VALUE"""),"Deyaar’s Q3 profit soars to $9.88m")</f>
        <v>Deyaar’s Q3 profit soars to $9.88m</v>
      </c>
      <c r="E202" s="507" t="str">
        <f>IFERROR(__xludf.DUMMYFUNCTION("""COMPUTED_VALUE"""),"https://www.gdnonline.com/Details/1145566/Deyaar%E2%80%99s-Q3-profit-soars-to-$988m")</f>
        <v>https://www.gdnonline.com/Details/1145566/Deyaar%E2%80%99s-Q3-profit-soars-to-$988m</v>
      </c>
      <c r="F202" s="368" t="str">
        <f>IFERROR(__xludf.DUMMYFUNCTION("""COMPUTED_VALUE"""),"Betterhomes")</f>
        <v>Betterhomes</v>
      </c>
    </row>
    <row r="203">
      <c r="A203" s="402">
        <f>IFERROR(__xludf.DUMMYFUNCTION("""COMPUTED_VALUE"""),44855.0)</f>
        <v>44855</v>
      </c>
      <c r="B203" s="368" t="str">
        <f>IFERROR(__xludf.DUMMYFUNCTION("""COMPUTED_VALUE"""),"Tier 2")</f>
        <v>Tier 2</v>
      </c>
      <c r="C203" s="368" t="str">
        <f>IFERROR(__xludf.DUMMYFUNCTION("""COMPUTED_VALUE"""),"The National")</f>
        <v>The National</v>
      </c>
      <c r="D203" s="368" t="str">
        <f>IFERROR(__xludf.DUMMYFUNCTION("""COMPUTED_VALUE"""),"One-cheque rents on the rise as many Dubai tenants stay put to avoid rising costs")</f>
        <v>One-cheque rents on the rise as many Dubai tenants stay put to avoid rising costs</v>
      </c>
      <c r="E203" s="507" t="str">
        <f>IFERROR(__xludf.DUMMYFUNCTION("""COMPUTED_VALUE"""),"https://www.thenationalnews.com/uae/2022/10/21/one-cheque-rents-on-the-rise-as-many-dubai-tenants-stay-put-to-avoid-rising-costs/")</f>
        <v>https://www.thenationalnews.com/uae/2022/10/21/one-cheque-rents-on-the-rise-as-many-dubai-tenants-stay-put-to-avoid-rising-costs/</v>
      </c>
      <c r="F203" s="368" t="str">
        <f>IFERROR(__xludf.DUMMYFUNCTION("""COMPUTED_VALUE"""),"Betterhomes")</f>
        <v>Betterhomes</v>
      </c>
    </row>
    <row r="204">
      <c r="A204" s="402">
        <f>IFERROR(__xludf.DUMMYFUNCTION("""COMPUTED_VALUE"""),44855.0)</f>
        <v>44855</v>
      </c>
      <c r="B204" s="368" t="str">
        <f>IFERROR(__xludf.DUMMYFUNCTION("""COMPUTED_VALUE"""),"Tier 2")</f>
        <v>Tier 2</v>
      </c>
      <c r="C204" s="368" t="str">
        <f>IFERROR(__xludf.DUMMYFUNCTION("""COMPUTED_VALUE"""),"Business Recorder")</f>
        <v>Business Recorder</v>
      </c>
      <c r="D204" s="368" t="str">
        <f>IFERROR(__xludf.DUMMYFUNCTION("""COMPUTED_VALUE"""),"Dubai-based Huspy has Pakistan property buyers on its radar")</f>
        <v>Dubai-based Huspy has Pakistan property buyers on its radar</v>
      </c>
      <c r="E204" s="507" t="str">
        <f>IFERROR(__xludf.DUMMYFUNCTION("""COMPUTED_VALUE"""),"https://www.brecorder.com/news/40204281")</f>
        <v>https://www.brecorder.com/news/40204281</v>
      </c>
      <c r="F204" s="368" t="str">
        <f>IFERROR(__xludf.DUMMYFUNCTION("""COMPUTED_VALUE"""),"Betterhomes")</f>
        <v>Betterhomes</v>
      </c>
    </row>
    <row r="205">
      <c r="A205" s="402">
        <f>IFERROR(__xludf.DUMMYFUNCTION("""COMPUTED_VALUE"""),44859.0)</f>
        <v>44859</v>
      </c>
      <c r="B205" s="368" t="str">
        <f>IFERROR(__xludf.DUMMYFUNCTION("""COMPUTED_VALUE"""),"Tier 2")</f>
        <v>Tier 2</v>
      </c>
      <c r="C205" s="368" t="str">
        <f>IFERROR(__xludf.DUMMYFUNCTION("""COMPUTED_VALUE"""),"The National")</f>
        <v>The National</v>
      </c>
      <c r="D205" s="368" t="str">
        <f>IFERROR(__xludf.DUMMYFUNCTION("""COMPUTED_VALUE"""),"Why Dubai apartments are the choice ahead of villas for property hunters again")</f>
        <v>Why Dubai apartments are the choice ahead of villas for property hunters again</v>
      </c>
      <c r="E205" s="507" t="str">
        <f>IFERROR(__xludf.DUMMYFUNCTION("""COMPUTED_VALUE"""),"https://www.thenationalnews.com/business/property/2022/10/25/why-dubai-apartments-are-the-choice-ahead-of-villas-for-property-hunters-again/")</f>
        <v>https://www.thenationalnews.com/business/property/2022/10/25/why-dubai-apartments-are-the-choice-ahead-of-villas-for-property-hunters-again/</v>
      </c>
      <c r="F205" s="368" t="str">
        <f>IFERROR(__xludf.DUMMYFUNCTION("""COMPUTED_VALUE"""),"Betterhomes")</f>
        <v>Betterhomes</v>
      </c>
    </row>
    <row r="206">
      <c r="A206" s="402">
        <f>IFERROR(__xludf.DUMMYFUNCTION("""COMPUTED_VALUE"""),44859.0)</f>
        <v>44859</v>
      </c>
      <c r="B206" s="368" t="str">
        <f>IFERROR(__xludf.DUMMYFUNCTION("""COMPUTED_VALUE"""),"Tier 2")</f>
        <v>Tier 2</v>
      </c>
      <c r="C206" s="368" t="str">
        <f>IFERROR(__xludf.DUMMYFUNCTION("""COMPUTED_VALUE"""),"Gulf News")</f>
        <v>Gulf News</v>
      </c>
      <c r="D206" s="368" t="str">
        <f>IFERROR(__xludf.DUMMYFUNCTION("""COMPUTED_VALUE"""),"Dubai landlords serve even 12-month notices for tenants to vacate - and then get higher rents")</f>
        <v>Dubai landlords serve even 12-month notices for tenants to vacate - and then get higher rents</v>
      </c>
      <c r="E206" s="507" t="str">
        <f>IFERROR(__xludf.DUMMYFUNCTION("""COMPUTED_VALUE"""),"https://gulfnews.com/business/property/dubai-landlords-serve-even-12-month-notices-for-tenants-to-vacate---and-then-get-higher-rents-1.1666669716827")</f>
        <v>https://gulfnews.com/business/property/dubai-landlords-serve-even-12-month-notices-for-tenants-to-vacate---and-then-get-higher-rents-1.1666669716827</v>
      </c>
      <c r="F206" s="368" t="str">
        <f>IFERROR(__xludf.DUMMYFUNCTION("""COMPUTED_VALUE"""),"Betterhomes")</f>
        <v>Betterhomes</v>
      </c>
    </row>
    <row r="207">
      <c r="A207" s="402">
        <f>IFERROR(__xludf.DUMMYFUNCTION("""COMPUTED_VALUE"""),44860.0)</f>
        <v>44860</v>
      </c>
      <c r="B207" s="368" t="str">
        <f>IFERROR(__xludf.DUMMYFUNCTION("""COMPUTED_VALUE"""),"Tier 3")</f>
        <v>Tier 3</v>
      </c>
      <c r="C207" s="368" t="str">
        <f>IFERROR(__xludf.DUMMYFUNCTION("""COMPUTED_VALUE"""),"DC News (Romania)")</f>
        <v>DC News (Romania)</v>
      </c>
      <c r="D207" s="368" t="str">
        <f>IFERROR(__xludf.DUMMYFUNCTION("""COMPUTED_VALUE"""),"The press from Brussels, concerned about the economy in Romania: ""The Romanian people should be the central point of any development initiatives""")</f>
        <v>The press from Brussels, concerned about the economy in Romania: "The Romanian people should be the central point of any development initiatives"</v>
      </c>
      <c r="E207" s="507" t="str">
        <f>IFERROR(__xludf.DUMMYFUNCTION("""COMPUTED_VALUE"""),"https://www.dcnews.ro/presa-la-bruxelles-ingrijorata-de-economia-din-romania-poporul-romaniei-ar-trebui-sa-fie-punctul-central-al-oricaror-initiative-de-dezvoltare_892574.html")</f>
        <v>https://www.dcnews.ro/presa-la-bruxelles-ingrijorata-de-economia-din-romania-poporul-romaniei-ar-trebui-sa-fie-punctul-central-al-oricaror-initiative-de-dezvoltare_892574.html</v>
      </c>
      <c r="F207" s="368" t="str">
        <f>IFERROR(__xludf.DUMMYFUNCTION("""COMPUTED_VALUE"""),"Betterhomes")</f>
        <v>Betterhomes</v>
      </c>
    </row>
    <row r="208">
      <c r="A208" s="402">
        <f>IFERROR(__xludf.DUMMYFUNCTION("""COMPUTED_VALUE"""),44860.0)</f>
        <v>44860</v>
      </c>
      <c r="B208" s="368" t="str">
        <f>IFERROR(__xludf.DUMMYFUNCTION("""COMPUTED_VALUE"""),"Tier 3")</f>
        <v>Tier 3</v>
      </c>
      <c r="C208" s="368" t="str">
        <f>IFERROR(__xludf.DUMMYFUNCTION("""COMPUTED_VALUE"""),"DC News (Romania)")</f>
        <v>DC News (Romania)</v>
      </c>
      <c r="D208" s="368" t="str">
        <f>IFERROR(__xludf.DUMMYFUNCTION("""COMPUTED_VALUE"""),"Romanians, in the top 10 on the list of big investors in Dubai. Russia, Great Britain and India take the top spots")</f>
        <v>Romanians, in the top 10 on the list of big investors in Dubai. Russia, Great Britain and India take the top spots</v>
      </c>
      <c r="E208" s="507" t="str">
        <f>IFERROR(__xludf.DUMMYFUNCTION("""COMPUTED_VALUE"""),"https://www.dcnews.ro/romanii-in-top-10-in-lista-marilor-investitori-in-dubai-rusia-marea-britanie-si-india-ocupa-primele-locuri_892563.html")</f>
        <v>https://www.dcnews.ro/romanii-in-top-10-in-lista-marilor-investitori-in-dubai-rusia-marea-britanie-si-india-ocupa-primele-locuri_892563.html</v>
      </c>
      <c r="F208" s="368" t="str">
        <f>IFERROR(__xludf.DUMMYFUNCTION("""COMPUTED_VALUE"""),"Betterhomes")</f>
        <v>Betterhomes</v>
      </c>
    </row>
    <row r="209">
      <c r="A209" s="402">
        <f>IFERROR(__xludf.DUMMYFUNCTION("""COMPUTED_VALUE"""),44860.0)</f>
        <v>44860</v>
      </c>
      <c r="B209" s="368" t="str">
        <f>IFERROR(__xludf.DUMMYFUNCTION("""COMPUTED_VALUE"""),"Tier 3")</f>
        <v>Tier 3</v>
      </c>
      <c r="C209" s="368" t="str">
        <f>IFERROR(__xludf.DUMMYFUNCTION("""COMPUTED_VALUE"""),"Financial News (Netherlands)")</f>
        <v>Financial News (Netherlands)</v>
      </c>
      <c r="D209" s="368" t="str">
        <f>IFERROR(__xludf.DUMMYFUNCTION("""COMPUTED_VALUE"""),"Real Estate party in Dubai is now in full swing")</f>
        <v>Real Estate party in Dubai is now in full swing</v>
      </c>
      <c r="E209" s="507" t="str">
        <f>IFERROR(__xludf.DUMMYFUNCTION("""COMPUTED_VALUE"""),"https://fd.nl/economie/1455831/vastgoedfeest-in-dubai-is-nog-in-volle-gang")</f>
        <v>https://fd.nl/economie/1455831/vastgoedfeest-in-dubai-is-nog-in-volle-gang</v>
      </c>
      <c r="F209" s="368" t="str">
        <f>IFERROR(__xludf.DUMMYFUNCTION("""COMPUTED_VALUE"""),"Betterhomes")</f>
        <v>Betterhomes</v>
      </c>
    </row>
    <row r="210">
      <c r="A210" s="402">
        <f>IFERROR(__xludf.DUMMYFUNCTION("""COMPUTED_VALUE"""),44860.0)</f>
        <v>44860</v>
      </c>
      <c r="B210" s="368" t="str">
        <f>IFERROR(__xludf.DUMMYFUNCTION("""COMPUTED_VALUE"""),"Tier 3")</f>
        <v>Tier 3</v>
      </c>
      <c r="C210" s="368" t="str">
        <f>IFERROR(__xludf.DUMMYFUNCTION("""COMPUTED_VALUE"""),"Russian Emirate (Russia)")</f>
        <v>Russian Emirate (Russia)</v>
      </c>
      <c r="D210" s="368" t="str">
        <f>IFERROR(__xludf.DUMMYFUNCTION("""COMPUTED_VALUE"""),"Hotels across Dubai are recruiting Russian-speaking staff")</f>
        <v>Hotels across Dubai are recruiting Russian-speaking staff</v>
      </c>
      <c r="E210" s="507" t="str">
        <f>IFERROR(__xludf.DUMMYFUNCTION("""COMPUTED_VALUE"""),"https://russianemirates.com/news/uae-news/oteli-po-vsemu-dubayu-nabirayut-russkoyazychnyy-personal/")</f>
        <v>https://russianemirates.com/news/uae-news/oteli-po-vsemu-dubayu-nabirayut-russkoyazychnyy-personal/</v>
      </c>
      <c r="F210" s="368" t="str">
        <f>IFERROR(__xludf.DUMMYFUNCTION("""COMPUTED_VALUE"""),"Betterhomes")</f>
        <v>Betterhomes</v>
      </c>
    </row>
    <row r="211">
      <c r="A211" s="402">
        <f>IFERROR(__xludf.DUMMYFUNCTION("""COMPUTED_VALUE"""),44861.0)</f>
        <v>44861</v>
      </c>
      <c r="B211" s="368" t="str">
        <f>IFERROR(__xludf.DUMMYFUNCTION("""COMPUTED_VALUE"""),"Tier 2")</f>
        <v>Tier 2</v>
      </c>
      <c r="C211" s="368" t="str">
        <f>IFERROR(__xludf.DUMMYFUNCTION("""COMPUTED_VALUE"""),"Digital Journal")</f>
        <v>Digital Journal</v>
      </c>
      <c r="D211" s="368" t="str">
        <f>IFERROR(__xludf.DUMMYFUNCTION("""COMPUTED_VALUE"""),"Business In Dubai Is Expected To Grow At A Fast Pace In 2022 And 2023")</f>
        <v>Business In Dubai Is Expected To Grow At A Fast Pace In 2022 And 2023</v>
      </c>
      <c r="E211" s="507" t="str">
        <f>IFERROR(__xludf.DUMMYFUNCTION("""COMPUTED_VALUE"""),"https://www.digitaljournal.com/pr/business-in-dubai-is-expected-to-grow-at-a-fast-pace-in-2022-and-2023")</f>
        <v>https://www.digitaljournal.com/pr/business-in-dubai-is-expected-to-grow-at-a-fast-pace-in-2022-and-2023</v>
      </c>
      <c r="F211" s="368" t="str">
        <f>IFERROR(__xludf.DUMMYFUNCTION("""COMPUTED_VALUE"""),"Betterhomes")</f>
        <v>Betterhomes</v>
      </c>
    </row>
    <row r="212">
      <c r="A212" s="402">
        <f>IFERROR(__xludf.DUMMYFUNCTION("""COMPUTED_VALUE"""),44866.0)</f>
        <v>44866</v>
      </c>
      <c r="B212" s="368" t="str">
        <f>IFERROR(__xludf.DUMMYFUNCTION("""COMPUTED_VALUE"""),"Tier 2")</f>
        <v>Tier 2</v>
      </c>
      <c r="C212" s="368" t="str">
        <f>IFERROR(__xludf.DUMMYFUNCTION("""COMPUTED_VALUE"""),"Construction Week")</f>
        <v>Construction Week</v>
      </c>
      <c r="D212" s="368" t="str">
        <f>IFERROR(__xludf.DUMMYFUNCTION("""COMPUTED_VALUE"""),"PRIME by Betterhomes to rank top 50 homes in Dubai")</f>
        <v>PRIME by Betterhomes to rank top 50 homes in Dubai</v>
      </c>
      <c r="E212" s="507" t="str">
        <f>IFERROR(__xludf.DUMMYFUNCTION("""COMPUTED_VALUE"""),"https://www.constructionweekonline.com/business/prime-by-betterhomes-to-rank-top-50-homes-in-dubai")</f>
        <v>https://www.constructionweekonline.com/business/prime-by-betterhomes-to-rank-top-50-homes-in-dubai</v>
      </c>
      <c r="F212" s="368" t="str">
        <f>IFERROR(__xludf.DUMMYFUNCTION("""COMPUTED_VALUE"""),"Top 50 Homes")</f>
        <v>Top 50 Homes</v>
      </c>
    </row>
    <row r="213">
      <c r="A213" s="402">
        <f>IFERROR(__xludf.DUMMYFUNCTION("""COMPUTED_VALUE"""),44866.0)</f>
        <v>44866</v>
      </c>
      <c r="B213" s="368" t="str">
        <f>IFERROR(__xludf.DUMMYFUNCTION("""COMPUTED_VALUE"""),"Tier 2")</f>
        <v>Tier 2</v>
      </c>
      <c r="C213" s="368" t="str">
        <f>IFERROR(__xludf.DUMMYFUNCTION("""COMPUTED_VALUE"""),"The National")</f>
        <v>The National</v>
      </c>
      <c r="D213" s="368" t="str">
        <f>IFERROR(__xludf.DUMMYFUNCTION("""COMPUTED_VALUE"""),"Dubai property rents: where they rose and fell in Q3, 2022")</f>
        <v>Dubai property rents: where they rose and fell in Q3, 2022</v>
      </c>
      <c r="E213" s="507" t="str">
        <f>IFERROR(__xludf.DUMMYFUNCTION("""COMPUTED_VALUE"""),"https://www.thenationalnews.com/business/property/2022/11/01/dubai-property-rents-where-they-rose-and-fell-in-q3-2022/")</f>
        <v>https://www.thenationalnews.com/business/property/2022/11/01/dubai-property-rents-where-they-rose-and-fell-in-q3-2022/</v>
      </c>
      <c r="F213" s="368" t="str">
        <f>IFERROR(__xludf.DUMMYFUNCTION("""COMPUTED_VALUE"""),"Betterhomes")</f>
        <v>Betterhomes</v>
      </c>
    </row>
    <row r="214">
      <c r="A214" s="402">
        <f>IFERROR(__xludf.DUMMYFUNCTION("""COMPUTED_VALUE"""),44866.0)</f>
        <v>44866</v>
      </c>
      <c r="B214" s="368" t="str">
        <f>IFERROR(__xludf.DUMMYFUNCTION("""COMPUTED_VALUE"""),"Tier 2")</f>
        <v>Tier 2</v>
      </c>
      <c r="C214" s="368" t="str">
        <f>IFERROR(__xludf.DUMMYFUNCTION("""COMPUTED_VALUE"""),"The National")</f>
        <v>The National</v>
      </c>
      <c r="D214" s="368" t="str">
        <f>IFERROR(__xludf.DUMMYFUNCTION("""COMPUTED_VALUE"""),"Dubai tenants downsize and move to cheaper areas as rents rise")</f>
        <v>Dubai tenants downsize and move to cheaper areas as rents rise</v>
      </c>
      <c r="E214" s="507" t="str">
        <f>IFERROR(__xludf.DUMMYFUNCTION("""COMPUTED_VALUE"""),"https://www.thenationalnews.com/business/money/2022/11/03/dubai-tenants-downsize-and-move-to-cheaper-areas-as-rents-rise/")</f>
        <v>https://www.thenationalnews.com/business/money/2022/11/03/dubai-tenants-downsize-and-move-to-cheaper-areas-as-rents-rise/</v>
      </c>
      <c r="F214" s="368" t="str">
        <f>IFERROR(__xludf.DUMMYFUNCTION("""COMPUTED_VALUE"""),"Betterhomes")</f>
        <v>Betterhomes</v>
      </c>
    </row>
    <row r="215">
      <c r="A215" s="402">
        <f>IFERROR(__xludf.DUMMYFUNCTION("""COMPUTED_VALUE"""),44869.0)</f>
        <v>44869</v>
      </c>
      <c r="B215" s="368" t="str">
        <f>IFERROR(__xludf.DUMMYFUNCTION("""COMPUTED_VALUE"""),"Tier 2")</f>
        <v>Tier 2</v>
      </c>
      <c r="C215" s="368" t="str">
        <f>IFERROR(__xludf.DUMMYFUNCTION("""COMPUTED_VALUE"""),"ME Contruction News")</f>
        <v>ME Contruction News</v>
      </c>
      <c r="D215" s="368" t="str">
        <f>IFERROR(__xludf.DUMMYFUNCTION("""COMPUTED_VALUE"""),"Dubai’s commercial market reached an all time high in Q3 says CRC")</f>
        <v>Dubai’s commercial market reached an all time high in Q3 says CRC</v>
      </c>
      <c r="E215" s="507" t="str">
        <f>IFERROR(__xludf.DUMMYFUNCTION("""COMPUTED_VALUE"""),"https://meconstructionnews.com/55212/dubais-commercial-market-reached-an-all-time-high-in-q3-says-crc")</f>
        <v>https://meconstructionnews.com/55212/dubais-commercial-market-reached-an-all-time-high-in-q3-says-crc</v>
      </c>
      <c r="F215" s="368" t="str">
        <f>IFERROR(__xludf.DUMMYFUNCTION("""COMPUTED_VALUE"""),"CRC")</f>
        <v>CRC</v>
      </c>
    </row>
    <row r="216">
      <c r="A216" s="402">
        <f>IFERROR(__xludf.DUMMYFUNCTION("""COMPUTED_VALUE"""),44869.0)</f>
        <v>44869</v>
      </c>
      <c r="B216" s="368" t="str">
        <f>IFERROR(__xludf.DUMMYFUNCTION("""COMPUTED_VALUE"""),"Tier 3")</f>
        <v>Tier 3</v>
      </c>
      <c r="C216" s="368" t="str">
        <f>IFERROR(__xludf.DUMMYFUNCTION("""COMPUTED_VALUE"""),"NewsWire")</f>
        <v>NewsWire</v>
      </c>
      <c r="D216" s="368" t="str">
        <f>IFERROR(__xludf.DUMMYFUNCTION("""COMPUTED_VALUE"""),"CRC Commercial Real Estate Market Report | Q3 2022")</f>
        <v>CRC Commercial Real Estate Market Report | Q3 2022</v>
      </c>
      <c r="E216" s="507" t="str">
        <f>IFERROR(__xludf.DUMMYFUNCTION("""COMPUTED_VALUE"""),"https://www.issuewire.com/crc-commercial-real-estate-market-report-q3-2022-1748469199989609")</f>
        <v>https://www.issuewire.com/crc-commercial-real-estate-market-report-q3-2022-1748469199989609</v>
      </c>
      <c r="F216" s="368" t="str">
        <f>IFERROR(__xludf.DUMMYFUNCTION("""COMPUTED_VALUE"""),"CRC")</f>
        <v>CRC</v>
      </c>
    </row>
    <row r="217">
      <c r="A217" s="402">
        <f>IFERROR(__xludf.DUMMYFUNCTION("""COMPUTED_VALUE"""),44872.0)</f>
        <v>44872</v>
      </c>
      <c r="B217" s="368" t="str">
        <f>IFERROR(__xludf.DUMMYFUNCTION("""COMPUTED_VALUE"""),"Tier 2")</f>
        <v>Tier 2</v>
      </c>
      <c r="C217" s="368" t="str">
        <f>IFERROR(__xludf.DUMMYFUNCTION("""COMPUTED_VALUE"""),"Zawya")</f>
        <v>Zawya</v>
      </c>
      <c r="D217" s="368" t="str">
        <f>IFERROR(__xludf.DUMMYFUNCTION("""COMPUTED_VALUE"""),"Betterhomes to star in a brand-new TV show on UK's Channel 4")</f>
        <v>Betterhomes to star in a brand-new TV show on UK's Channel 4</v>
      </c>
      <c r="E217" s="507" t="str">
        <f>IFERROR(__xludf.DUMMYFUNCTION("""COMPUTED_VALUE"""),"https://www.zawya.com/en/press-release/companies-news/betterhomes-to-star-in-a-brand-new-tv-show-on-uks-channel-4-x3rnmte5")</f>
        <v>https://www.zawya.com/en/press-release/companies-news/betterhomes-to-star-in-a-brand-new-tv-show-on-uks-channel-4-x3rnmte5</v>
      </c>
      <c r="F217" s="368" t="str">
        <f>IFERROR(__xludf.DUMMYFUNCTION("""COMPUTED_VALUE"""),"Betterhomes")</f>
        <v>Betterhomes</v>
      </c>
    </row>
    <row r="218">
      <c r="A218" s="402">
        <f>IFERROR(__xludf.DUMMYFUNCTION("""COMPUTED_VALUE"""),44872.0)</f>
        <v>44872</v>
      </c>
      <c r="B218" s="368" t="str">
        <f>IFERROR(__xludf.DUMMYFUNCTION("""COMPUTED_VALUE"""),"Tier 2")</f>
        <v>Tier 2</v>
      </c>
      <c r="C218" s="368" t="str">
        <f>IFERROR(__xludf.DUMMYFUNCTION("""COMPUTED_VALUE"""),"TimeOut Dubai")</f>
        <v>TimeOut Dubai</v>
      </c>
      <c r="D218" s="368" t="str">
        <f>IFERROR(__xludf.DUMMYFUNCTION("""COMPUTED_VALUE"""),"New TV show about Dubai real estate is coming to UK’s Channel 4")</f>
        <v>New TV show about Dubai real estate is coming to UK’s Channel 4</v>
      </c>
      <c r="E218" s="507" t="str">
        <f>IFERROR(__xludf.DUMMYFUNCTION("""COMPUTED_VALUE"""),"https://www.timeoutdubai.com/news/dubai-channel-4-new-real-estate-programme")</f>
        <v>https://www.timeoutdubai.com/news/dubai-channel-4-new-real-estate-programme</v>
      </c>
      <c r="F218" s="368" t="str">
        <f>IFERROR(__xludf.DUMMYFUNCTION("""COMPUTED_VALUE"""),"Betterhomes")</f>
        <v>Betterhomes</v>
      </c>
    </row>
    <row r="219">
      <c r="A219" s="402">
        <f>IFERROR(__xludf.DUMMYFUNCTION("""COMPUTED_VALUE"""),44873.0)</f>
        <v>44873</v>
      </c>
      <c r="B219" s="368" t="str">
        <f>IFERROR(__xludf.DUMMYFUNCTION("""COMPUTED_VALUE"""),"Tier 2")</f>
        <v>Tier 2</v>
      </c>
      <c r="C219" s="368" t="str">
        <f>IFERROR(__xludf.DUMMYFUNCTION("""COMPUTED_VALUE"""),"Whats On Dubai ")</f>
        <v>Whats On Dubai </v>
      </c>
      <c r="D219" s="368" t="str">
        <f>IFERROR(__xludf.DUMMYFUNCTION("""COMPUTED_VALUE"""),"Made in Dubai: new real estate reality show on UK's Channel 4")</f>
        <v>Made in Dubai: new real estate reality show on UK's Channel 4</v>
      </c>
      <c r="E219" s="507" t="str">
        <f>IFERROR(__xludf.DUMMYFUNCTION("""COMPUTED_VALUE"""),"https://whatson.ae/2022/11/made-in-dubai-new-real-estate-reality-show-on-uks-channel-4/")</f>
        <v>https://whatson.ae/2022/11/made-in-dubai-new-real-estate-reality-show-on-uks-channel-4/</v>
      </c>
      <c r="F219" s="368" t="str">
        <f>IFERROR(__xludf.DUMMYFUNCTION("""COMPUTED_VALUE"""),"Betterhomes")</f>
        <v>Betterhomes</v>
      </c>
    </row>
    <row r="220">
      <c r="A220" s="402">
        <f>IFERROR(__xludf.DUMMYFUNCTION("""COMPUTED_VALUE"""),44873.0)</f>
        <v>44873</v>
      </c>
      <c r="B220" s="368" t="str">
        <f>IFERROR(__xludf.DUMMYFUNCTION("""COMPUTED_VALUE"""),"Tier 2")</f>
        <v>Tier 2</v>
      </c>
      <c r="C220" s="368" t="str">
        <f>IFERROR(__xludf.DUMMYFUNCTION("""COMPUTED_VALUE"""),"The National")</f>
        <v>The National</v>
      </c>
      <c r="D220" s="368" t="str">
        <f>IFERROR(__xludf.DUMMYFUNCTION("""COMPUTED_VALUE"""),"Made in Dubai': another reality TV series set in the city announced by UK's Channel 4")</f>
        <v>Made in Dubai': another reality TV series set in the city announced by UK's Channel 4</v>
      </c>
      <c r="E220" s="507" t="str">
        <f>IFERROR(__xludf.DUMMYFUNCTION("""COMPUTED_VALUE"""),"https://www.thenationalnews.com/arts-culture/film-tv/2022/11/07/made-in-dubai-another-reality-tv-series-set-in-the-city-announced-by-uks-channel-4/")</f>
        <v>https://www.thenationalnews.com/arts-culture/film-tv/2022/11/07/made-in-dubai-another-reality-tv-series-set-in-the-city-announced-by-uks-channel-4/</v>
      </c>
      <c r="F220" s="368" t="str">
        <f>IFERROR(__xludf.DUMMYFUNCTION("""COMPUTED_VALUE"""),"Betterhomes")</f>
        <v>Betterhomes</v>
      </c>
    </row>
    <row r="221">
      <c r="A221" s="402">
        <f>IFERROR(__xludf.DUMMYFUNCTION("""COMPUTED_VALUE"""),44873.0)</f>
        <v>44873</v>
      </c>
      <c r="B221" s="368" t="str">
        <f>IFERROR(__xludf.DUMMYFUNCTION("""COMPUTED_VALUE"""),"Tier 2")</f>
        <v>Tier 2</v>
      </c>
      <c r="C221" s="368" t="str">
        <f>IFERROR(__xludf.DUMMYFUNCTION("""COMPUTED_VALUE"""),"Arab News")</f>
        <v>Arab News</v>
      </c>
      <c r="D221" s="368" t="str">
        <f>IFERROR(__xludf.DUMMYFUNCTION("""COMPUTED_VALUE"""),"UK’s Channel 4 announces new reality TV series ‘Made in Dubai’")</f>
        <v>UK’s Channel 4 announces new reality TV series ‘Made in Dubai’</v>
      </c>
      <c r="E221" s="507" t="str">
        <f>IFERROR(__xludf.DUMMYFUNCTION("""COMPUTED_VALUE"""),"https://www.arabnews.com/node/2196036/media")</f>
        <v>https://www.arabnews.com/node/2196036/media</v>
      </c>
      <c r="F221" s="368" t="str">
        <f>IFERROR(__xludf.DUMMYFUNCTION("""COMPUTED_VALUE"""),"Betterhomes")</f>
        <v>Betterhomes</v>
      </c>
    </row>
    <row r="222">
      <c r="A222" s="402">
        <f>IFERROR(__xludf.DUMMYFUNCTION("""COMPUTED_VALUE"""),44874.0)</f>
        <v>44874</v>
      </c>
      <c r="B222" s="368" t="str">
        <f>IFERROR(__xludf.DUMMYFUNCTION("""COMPUTED_VALUE"""),"Tier 2")</f>
        <v>Tier 2</v>
      </c>
      <c r="C222" s="368" t="str">
        <f>IFERROR(__xludf.DUMMYFUNCTION("""COMPUTED_VALUE"""),"Arabian Business ")</f>
        <v>Arabian Business </v>
      </c>
      <c r="D222" s="368" t="str">
        <f>IFERROR(__xludf.DUMMYFUNCTION("""COMPUTED_VALUE"""),"Dubai Bling Season 2: Dubai real estate agents join the craze")</f>
        <v>Dubai Bling Season 2: Dubai real estate agents join the craze</v>
      </c>
      <c r="E222" s="507" t="str">
        <f>IFERROR(__xludf.DUMMYFUNCTION("""COMPUTED_VALUE"""),"https://www.arabianbusiness.com/tags/angel-eye-media")</f>
        <v>https://www.arabianbusiness.com/tags/angel-eye-media</v>
      </c>
      <c r="F222" s="368" t="str">
        <f>IFERROR(__xludf.DUMMYFUNCTION("""COMPUTED_VALUE"""),"Betterhomes")</f>
        <v>Betterhomes</v>
      </c>
    </row>
    <row r="223">
      <c r="A223" s="402">
        <f>IFERROR(__xludf.DUMMYFUNCTION("""COMPUTED_VALUE"""),44874.0)</f>
        <v>44874</v>
      </c>
      <c r="B223" s="368" t="str">
        <f>IFERROR(__xludf.DUMMYFUNCTION("""COMPUTED_VALUE"""),"Tier 3")</f>
        <v>Tier 3</v>
      </c>
      <c r="C223" s="368" t="str">
        <f>IFERROR(__xludf.DUMMYFUNCTION("""COMPUTED_VALUE"""),"Ziarul Fanance (Romania)")</f>
        <v>Ziarul Fanance (Romania)</v>
      </c>
      <c r="D223" s="368" t="str">
        <f>IFERROR(__xludf.DUMMYFUNCTION("""COMPUTED_VALUE"""),"One of Dubai's most spectacular infrastructure projects to receive $4.6 billion in funding")</f>
        <v>One of Dubai's most spectacular infrastructure projects to receive $4.6 billion in funding</v>
      </c>
      <c r="E223" s="507" t="str">
        <f>IFERROR(__xludf.DUMMYFUNCTION("""COMPUTED_VALUE"""),"https://www.zf.ro/business-international/unul-dintre-cele-mai-spectaculoase-proiecte-de-infrastructura-din-21305333")</f>
        <v>https://www.zf.ro/business-international/unul-dintre-cele-mai-spectaculoase-proiecte-de-infrastructura-din-21305333</v>
      </c>
      <c r="F223" s="368" t="str">
        <f>IFERROR(__xludf.DUMMYFUNCTION("""COMPUTED_VALUE"""),"Betterhomes")</f>
        <v>Betterhomes</v>
      </c>
    </row>
    <row r="224">
      <c r="A224" s="402">
        <f>IFERROR(__xludf.DUMMYFUNCTION("""COMPUTED_VALUE"""),44874.0)</f>
        <v>44874</v>
      </c>
      <c r="B224" s="368" t="str">
        <f>IFERROR(__xludf.DUMMYFUNCTION("""COMPUTED_VALUE"""),"Tier 3")</f>
        <v>Tier 3</v>
      </c>
      <c r="C224" s="368" t="str">
        <f>IFERROR(__xludf.DUMMYFUNCTION("""COMPUTED_VALUE"""),"El Correo de Golfo (Spain)")</f>
        <v>El Correo de Golfo (Spain)</v>
      </c>
      <c r="D224" s="368" t="str">
        <f>IFERROR(__xludf.DUMMYFUNCTION("""COMPUTED_VALUE"""),"Dubai Palm Tree developer secures $4.6 billion for projects")</f>
        <v>Dubai Palm Tree developer secures $4.6 billion for projects</v>
      </c>
      <c r="E224" s="507" t="str">
        <f>IFERROR(__xludf.DUMMYFUNCTION("""COMPUTED_VALUE"""),"https://www.elcorreo.ae/articulo/economia/desarrollador-palmera-dubai-obtiene-4600-millones-dolares-proyectos/20221109100432150812.html")</f>
        <v>https://www.elcorreo.ae/articulo/economia/desarrollador-palmera-dubai-obtiene-4600-millones-dolares-proyectos/20221109100432150812.html</v>
      </c>
      <c r="F224" s="368" t="str">
        <f>IFERROR(__xludf.DUMMYFUNCTION("""COMPUTED_VALUE"""),"Betterhomes")</f>
        <v>Betterhomes</v>
      </c>
    </row>
    <row r="225">
      <c r="A225" s="402">
        <f>IFERROR(__xludf.DUMMYFUNCTION("""COMPUTED_VALUE"""),44874.0)</f>
        <v>44874</v>
      </c>
      <c r="B225" s="368" t="str">
        <f>IFERROR(__xludf.DUMMYFUNCTION("""COMPUTED_VALUE"""),"Tier 1")</f>
        <v>Tier 1</v>
      </c>
      <c r="C225" s="368" t="str">
        <f>IFERROR(__xludf.DUMMYFUNCTION("""COMPUTED_VALUE"""),"Thomson Reuters")</f>
        <v>Thomson Reuters</v>
      </c>
      <c r="D225" s="368" t="str">
        <f>IFERROR(__xludf.DUMMYFUNCTION("""COMPUTED_VALUE"""),"Dubai Palm Island developer gets $4.6 bln funding for new waterfront projects")</f>
        <v>Dubai Palm Island developer gets $4.6 bln funding for new waterfront projects</v>
      </c>
      <c r="E225" s="507" t="str">
        <f>IFERROR(__xludf.DUMMYFUNCTION("""COMPUTED_VALUE"""),"https://www.reuters.com/business/dubai-developer-nakheel-secures-17-billion-dirhams-financing-2022-11-08/")</f>
        <v>https://www.reuters.com/business/dubai-developer-nakheel-secures-17-billion-dirhams-financing-2022-11-08/</v>
      </c>
      <c r="F225" s="368" t="str">
        <f>IFERROR(__xludf.DUMMYFUNCTION("""COMPUTED_VALUE"""),"Betterhomes")</f>
        <v>Betterhomes</v>
      </c>
    </row>
    <row r="226">
      <c r="A226" s="402">
        <f>IFERROR(__xludf.DUMMYFUNCTION("""COMPUTED_VALUE"""),44874.0)</f>
        <v>44874</v>
      </c>
      <c r="B226" s="368" t="str">
        <f>IFERROR(__xludf.DUMMYFUNCTION("""COMPUTED_VALUE"""),"Tier 2")</f>
        <v>Tier 2</v>
      </c>
      <c r="C226" s="368" t="str">
        <f>IFERROR(__xludf.DUMMYFUNCTION("""COMPUTED_VALUE"""),"Zawya")</f>
        <v>Zawya</v>
      </c>
      <c r="D226" s="368" t="str">
        <f>IFERROR(__xludf.DUMMYFUNCTION("""COMPUTED_VALUE"""),"New and progressive property management software aims to bridge the communication gap between tenants and landlords")</f>
        <v>New and progressive property management software aims to bridge the communication gap between tenants and landlords</v>
      </c>
      <c r="E226" s="507" t="str">
        <f>IFERROR(__xludf.DUMMYFUNCTION("""COMPUTED_VALUE"""),"https://www.zawya.com/en/press-release/companies-news/new-and-progressive-property-management-software-aims-to-bridge-the-communication-gap-between-tenants-and-landlords-mztvbkhd")</f>
        <v>https://www.zawya.com/en/press-release/companies-news/new-and-progressive-property-management-software-aims-to-bridge-the-communication-gap-between-tenants-and-landlords-mztvbkhd</v>
      </c>
      <c r="F226" s="368" t="str">
        <f>IFERROR(__xludf.DUMMYFUNCTION("""COMPUTED_VALUE"""),"Betterhomes")</f>
        <v>Betterhomes</v>
      </c>
    </row>
    <row r="227">
      <c r="A227" s="402">
        <f>IFERROR(__xludf.DUMMYFUNCTION("""COMPUTED_VALUE"""),44874.0)</f>
        <v>44874</v>
      </c>
      <c r="B227" s="368" t="str">
        <f>IFERROR(__xludf.DUMMYFUNCTION("""COMPUTED_VALUE"""),"Tier 2")</f>
        <v>Tier 2</v>
      </c>
      <c r="C227" s="368" t="str">
        <f>IFERROR(__xludf.DUMMYFUNCTION("""COMPUTED_VALUE"""),"The National")</f>
        <v>The National</v>
      </c>
      <c r="D227" s="368" t="str">
        <f>IFERROR(__xludf.DUMMYFUNCTION("""COMPUTED_VALUE"""),"The Debt Panel: 'I lost my $5,445 short-term rental deposit'")</f>
        <v>The Debt Panel: 'I lost my $5,445 short-term rental deposit'</v>
      </c>
      <c r="E227" s="507" t="str">
        <f>IFERROR(__xludf.DUMMYFUNCTION("""COMPUTED_VALUE"""),"https://www.thenationalnews.com/business/money/2022/11/09/the-debt-panel-i-lost-my-5445-short-term-rental-deposit/")</f>
        <v>https://www.thenationalnews.com/business/money/2022/11/09/the-debt-panel-i-lost-my-5445-short-term-rental-deposit/</v>
      </c>
      <c r="F227" s="368" t="str">
        <f>IFERROR(__xludf.DUMMYFUNCTION("""COMPUTED_VALUE"""),"BetterStay")</f>
        <v>BetterStay</v>
      </c>
    </row>
    <row r="228">
      <c r="A228" s="402">
        <f>IFERROR(__xludf.DUMMYFUNCTION("""COMPUTED_VALUE"""),44874.0)</f>
        <v>44874</v>
      </c>
      <c r="B228" s="368" t="str">
        <f>IFERROR(__xludf.DUMMYFUNCTION("""COMPUTED_VALUE"""),"Tier 2")</f>
        <v>Tier 2</v>
      </c>
      <c r="C228" s="368" t="str">
        <f>IFERROR(__xludf.DUMMYFUNCTION("""COMPUTED_VALUE"""),"Arab News")</f>
        <v>Arab News</v>
      </c>
      <c r="D228" s="368" t="str">
        <f>IFERROR(__xludf.DUMMYFUNCTION("""COMPUTED_VALUE"""),"6 Middle Eastern reality TV shows to watch")</f>
        <v>6 Middle Eastern reality TV shows to watch</v>
      </c>
      <c r="E228" s="507" t="str">
        <f>IFERROR(__xludf.DUMMYFUNCTION("""COMPUTED_VALUE"""),"https://www.arabnews.com/node/2196421/6-middle-eastern-reality-tv-shows-watch")</f>
        <v>https://www.arabnews.com/node/2196421/6-middle-eastern-reality-tv-shows-watch</v>
      </c>
      <c r="F228" s="368" t="str">
        <f>IFERROR(__xludf.DUMMYFUNCTION("""COMPUTED_VALUE"""),"Betterhomes")</f>
        <v>Betterhomes</v>
      </c>
    </row>
    <row r="229">
      <c r="A229" s="402">
        <f>IFERROR(__xludf.DUMMYFUNCTION("""COMPUTED_VALUE"""),44875.0)</f>
        <v>44875</v>
      </c>
      <c r="B229" s="368" t="str">
        <f>IFERROR(__xludf.DUMMYFUNCTION("""COMPUTED_VALUE"""),"Tier 2")</f>
        <v>Tier 2</v>
      </c>
      <c r="C229" s="368" t="str">
        <f>IFERROR(__xludf.DUMMYFUNCTION("""COMPUTED_VALUE"""),"Zawya")</f>
        <v>Zawya</v>
      </c>
      <c r="D229" s="368" t="str">
        <f>IFERROR(__xludf.DUMMYFUNCTION("""COMPUTED_VALUE"""),"Dubai's leading commercial real estate, CRC, expands with a new office in Dubai Marina")</f>
        <v>Dubai's leading commercial real estate, CRC, expands with a new office in Dubai Marina</v>
      </c>
      <c r="E229" s="507" t="str">
        <f>IFERROR(__xludf.DUMMYFUNCTION("""COMPUTED_VALUE"""),"https://www.zawya.com/en/press-release/companies-news/dubais-leading-commercial-real-estate-crc-expands-with-a-new-office-in-dubai-marina-sx7jfvzz")</f>
        <v>https://www.zawya.com/en/press-release/companies-news/dubais-leading-commercial-real-estate-crc-expands-with-a-new-office-in-dubai-marina-sx7jfvzz</v>
      </c>
      <c r="F229" s="368" t="str">
        <f>IFERROR(__xludf.DUMMYFUNCTION("""COMPUTED_VALUE"""),"CRC")</f>
        <v>CRC</v>
      </c>
    </row>
    <row r="230">
      <c r="A230" s="402">
        <f>IFERROR(__xludf.DUMMYFUNCTION("""COMPUTED_VALUE"""),44876.0)</f>
        <v>44876</v>
      </c>
      <c r="B230" s="368" t="str">
        <f>IFERROR(__xludf.DUMMYFUNCTION("""COMPUTED_VALUE"""),"Tier 2")</f>
        <v>Tier 2</v>
      </c>
      <c r="C230" s="368" t="str">
        <f>IFERROR(__xludf.DUMMYFUNCTION("""COMPUTED_VALUE"""),"The Arabian Business Gulf Insight")</f>
        <v>The Arabian Business Gulf Insight</v>
      </c>
      <c r="D230" s="368" t="str">
        <f>IFERROR(__xludf.DUMMYFUNCTION("""COMPUTED_VALUE"""),"Dubai’s bricks-and-mortar stores hold their own against e-commerce")</f>
        <v>Dubai’s bricks-and-mortar stores hold their own against e-commerce</v>
      </c>
      <c r="E230" s="507" t="str">
        <f>IFERROR(__xludf.DUMMYFUNCTION("""COMPUTED_VALUE"""),"https://www.agbi.com/articles/dubais-brick-and-mortar-retailers-hold-their-own-against-online-competition/")</f>
        <v>https://www.agbi.com/articles/dubais-brick-and-mortar-retailers-hold-their-own-against-online-competition/</v>
      </c>
      <c r="F230" s="368" t="str">
        <f>IFERROR(__xludf.DUMMYFUNCTION("""COMPUTED_VALUE"""),"CRC")</f>
        <v>CRC</v>
      </c>
    </row>
    <row r="231">
      <c r="A231" s="402">
        <f>IFERROR(__xludf.DUMMYFUNCTION("""COMPUTED_VALUE"""),44876.0)</f>
        <v>44876</v>
      </c>
      <c r="B231" s="368" t="str">
        <f>IFERROR(__xludf.DUMMYFUNCTION("""COMPUTED_VALUE"""),"Tier 3")</f>
        <v>Tier 3</v>
      </c>
      <c r="C231" s="368" t="str">
        <f>IFERROR(__xludf.DUMMYFUNCTION("""COMPUTED_VALUE"""),"Aduvarul (Romania)")</f>
        <v>Aduvarul (Romania)</v>
      </c>
      <c r="D231" s="368" t="str">
        <f>IFERROR(__xludf.DUMMYFUNCTION("""COMPUTED_VALUE"""),"Romanians, in the top ten real estate buyers in Dubai")</f>
        <v>Romanians, in the top ten real estate buyers in Dubai</v>
      </c>
      <c r="E231" s="507" t="str">
        <f>IFERROR(__xludf.DUMMYFUNCTION("""COMPUTED_VALUE"""),"https://adevarul.ro/economie/romanii-in-top-zece-cumparatori-de-imobiliare-in-2219651.html")</f>
        <v>https://adevarul.ro/economie/romanii-in-top-zece-cumparatori-de-imobiliare-in-2219651.html</v>
      </c>
      <c r="F231" s="368" t="str">
        <f>IFERROR(__xludf.DUMMYFUNCTION("""COMPUTED_VALUE"""),"Betterhomes")</f>
        <v>Betterhomes</v>
      </c>
    </row>
    <row r="232">
      <c r="A232" s="402">
        <f>IFERROR(__xludf.DUMMYFUNCTION("""COMPUTED_VALUE"""),44876.0)</f>
        <v>44876</v>
      </c>
      <c r="B232" s="368" t="str">
        <f>IFERROR(__xludf.DUMMYFUNCTION("""COMPUTED_VALUE"""),"Tier 1")</f>
        <v>Tier 1</v>
      </c>
      <c r="C232" s="368" t="str">
        <f>IFERROR(__xludf.DUMMYFUNCTION("""COMPUTED_VALUE"""),"CBC (Canada)")</f>
        <v>CBC (Canada)</v>
      </c>
      <c r="D232" s="368" t="str">
        <f>IFERROR(__xludf.DUMMYFUNCTION("""COMPUTED_VALUE"""),"The unlikely geopolitical winners from Russia's war in Ukraine")</f>
        <v>The unlikely geopolitical winners from Russia's war in Ukraine</v>
      </c>
      <c r="E232" s="507" t="str">
        <f>IFERROR(__xludf.DUMMYFUNCTION("""COMPUTED_VALUE"""),"https://www.cbc.ca/news/world/russia-ukraine-war-geopolitical-winners-1.6649370")</f>
        <v>https://www.cbc.ca/news/world/russia-ukraine-war-geopolitical-winners-1.6649370</v>
      </c>
      <c r="F232" s="368" t="str">
        <f>IFERROR(__xludf.DUMMYFUNCTION("""COMPUTED_VALUE"""),"Betterhomes")</f>
        <v>Betterhomes</v>
      </c>
    </row>
    <row r="233">
      <c r="A233" s="402">
        <f>IFERROR(__xludf.DUMMYFUNCTION("""COMPUTED_VALUE"""),44879.0)</f>
        <v>44879</v>
      </c>
      <c r="B233" s="368" t="str">
        <f>IFERROR(__xludf.DUMMYFUNCTION("""COMPUTED_VALUE"""),"Tier 1")</f>
        <v>Tier 1</v>
      </c>
      <c r="C233" s="368" t="str">
        <f>IFERROR(__xludf.DUMMYFUNCTION("""COMPUTED_VALUE"""),"Thomson Reuters")</f>
        <v>Thomson Reuters</v>
      </c>
      <c r="D233" s="368" t="str">
        <f>IFERROR(__xludf.DUMMYFUNCTION("""COMPUTED_VALUE"""),"Emaar beats forecasts with 46% Q3 profit rise as Dubai rebounds")</f>
        <v>Emaar beats forecasts with 46% Q3 profit rise as Dubai rebounds</v>
      </c>
      <c r="E233" s="507" t="str">
        <f>IFERROR(__xludf.DUMMYFUNCTION("""COMPUTED_VALUE"""),"https://www.reuters.com/world/middle-east/emaar-beats-forecasts-with-46-q3-profit-rise-dubai-rebounds-2022-11-14/")</f>
        <v>https://www.reuters.com/world/middle-east/emaar-beats-forecasts-with-46-q3-profit-rise-dubai-rebounds-2022-11-14/</v>
      </c>
      <c r="F233" s="368" t="str">
        <f>IFERROR(__xludf.DUMMYFUNCTION("""COMPUTED_VALUE"""),"Betterhomes")</f>
        <v>Betterhomes</v>
      </c>
    </row>
    <row r="234">
      <c r="A234" s="402">
        <f>IFERROR(__xludf.DUMMYFUNCTION("""COMPUTED_VALUE"""),44879.0)</f>
        <v>44879</v>
      </c>
      <c r="B234" s="368" t="str">
        <f>IFERROR(__xludf.DUMMYFUNCTION("""COMPUTED_VALUE"""),"Tier 2")</f>
        <v>Tier 2</v>
      </c>
      <c r="C234" s="368" t="str">
        <f>IFERROR(__xludf.DUMMYFUNCTION("""COMPUTED_VALUE"""),"Zawya")</f>
        <v>Zawya</v>
      </c>
      <c r="D234" s="368" t="str">
        <f>IFERROR(__xludf.DUMMYFUNCTION("""COMPUTED_VALUE"""),"Real estate trends: UAE buyers rush to fix rates; cash deals are surging")</f>
        <v>Real estate trends: UAE buyers rush to fix rates; cash deals are surging</v>
      </c>
      <c r="E234" s="507" t="str">
        <f>IFERROR(__xludf.DUMMYFUNCTION("""COMPUTED_VALUE"""),"https://www.zawya.com/en/business/real-estate/real-estate-trends-uae-buyers-rush-to-fix-rates-cash-deals-are-surging-ousihn3d")</f>
        <v>https://www.zawya.com/en/business/real-estate/real-estate-trends-uae-buyers-rush-to-fix-rates-cash-deals-are-surging-ousihn3d</v>
      </c>
      <c r="F234" s="368" t="str">
        <f>IFERROR(__xludf.DUMMYFUNCTION("""COMPUTED_VALUE"""),"BH Mortgages")</f>
        <v>BH Mortgages</v>
      </c>
    </row>
    <row r="235">
      <c r="A235" s="402">
        <f>IFERROR(__xludf.DUMMYFUNCTION("""COMPUTED_VALUE"""),44879.0)</f>
        <v>44879</v>
      </c>
      <c r="B235" s="368" t="str">
        <f>IFERROR(__xludf.DUMMYFUNCTION("""COMPUTED_VALUE"""),"Tier 3")</f>
        <v>Tier 3</v>
      </c>
      <c r="C235" s="368" t="str">
        <f>IFERROR(__xludf.DUMMYFUNCTION("""COMPUTED_VALUE"""),"The GIOI &amp; Vietnam (Vietnam)")</f>
        <v>The GIOI &amp; Vietnam (Vietnam)</v>
      </c>
      <c r="D235" s="368" t="str">
        <f>IFERROR(__xludf.DUMMYFUNCTION("""COMPUTED_VALUE"""),"Energy crisis: Not the US or Norway, these are the countries that make a lot of money from the Russia-Ukraine conflict")</f>
        <v>Energy crisis: Not the US or Norway, these are the countries that make a lot of money from the Russia-Ukraine conflict</v>
      </c>
      <c r="E235" s="507" t="str">
        <f>IFERROR(__xludf.DUMMYFUNCTION("""COMPUTED_VALUE"""),"https://baoquocte.vn/khung-hoang-nang-luong-khong-phai-my-hay-na-uy-day-moi-la-nhung-nuoc-kiem-bon-tien-tu-xung-dot-nga-ukraine-205821.html")</f>
        <v>https://baoquocte.vn/khung-hoang-nang-luong-khong-phai-my-hay-na-uy-day-moi-la-nhung-nuoc-kiem-bon-tien-tu-xung-dot-nga-ukraine-205821.html</v>
      </c>
      <c r="F235" s="368" t="str">
        <f>IFERROR(__xludf.DUMMYFUNCTION("""COMPUTED_VALUE"""),"Betterhomes")</f>
        <v>Betterhomes</v>
      </c>
    </row>
    <row r="236">
      <c r="A236" s="402">
        <f>IFERROR(__xludf.DUMMYFUNCTION("""COMPUTED_VALUE"""),44879.0)</f>
        <v>44879</v>
      </c>
      <c r="B236" s="368" t="str">
        <f>IFERROR(__xludf.DUMMYFUNCTION("""COMPUTED_VALUE"""),"Tier 3")</f>
        <v>Tier 3</v>
      </c>
      <c r="C236" s="368" t="str">
        <f>IFERROR(__xludf.DUMMYFUNCTION("""COMPUTED_VALUE"""),"Hot News (Romania)")</f>
        <v>Hot News (Romania)</v>
      </c>
      <c r="D236" s="368" t="str">
        <f>IFERROR(__xludf.DUMMYFUNCTION("""COMPUTED_VALUE"""),"Romanians, in the top ten real estate buyers in Dubai")</f>
        <v>Romanians, in the top ten real estate buyers in Dubai</v>
      </c>
      <c r="E236" s="507" t="str">
        <f>IFERROR(__xludf.DUMMYFUNCTION("""COMPUTED_VALUE"""),"https://www.hotnews.ro/stiri-esential-25901100-press-report-muncitori-din-bangladesh-acuza-felul-care-sunt-tratati-sibiu-romanii-top-zece-cumparatori-imobiliare-dubai-cele-mai-bogate-comune-din-romania-guvernul-orbilor-face-romania-daca-intra-rece.htm")</f>
        <v>https://www.hotnews.ro/stiri-esential-25901100-press-report-muncitori-din-bangladesh-acuza-felul-care-sunt-tratati-sibiu-romanii-top-zece-cumparatori-imobiliare-dubai-cele-mai-bogate-comune-din-romania-guvernul-orbilor-face-romania-daca-intra-rece.htm</v>
      </c>
      <c r="F236" s="368" t="str">
        <f>IFERROR(__xludf.DUMMYFUNCTION("""COMPUTED_VALUE"""),"Betterhomes")</f>
        <v>Betterhomes</v>
      </c>
    </row>
    <row r="237">
      <c r="A237" s="402">
        <f>IFERROR(__xludf.DUMMYFUNCTION("""COMPUTED_VALUE"""),44881.0)</f>
        <v>44881</v>
      </c>
      <c r="B237" s="368" t="str">
        <f>IFERROR(__xludf.DUMMYFUNCTION("""COMPUTED_VALUE"""),"Tier 3")</f>
        <v>Tier 3</v>
      </c>
      <c r="C237" s="368" t="str">
        <f>IFERROR(__xludf.DUMMYFUNCTION("""COMPUTED_VALUE"""),"Evenmitul (Romania)")</f>
        <v>Evenmitul (Romania)</v>
      </c>
      <c r="D237" s="368" t="str">
        <f>IFERROR(__xludf.DUMMYFUNCTION("""COMPUTED_VALUE"""),"Home sales dropped dramatically by 40% compared to last year. Why don't the prices drop?")</f>
        <v>Home sales dropped dramatically by 40% compared to last year. Why don't the prices drop?</v>
      </c>
      <c r="E237" s="507" t="str">
        <f>IFERROR(__xludf.DUMMYFUNCTION("""COMPUTED_VALUE"""),"https://www.ziarulevenimentul.ro/stiri/vanzarile-de-locuinte-au-scazut-dramatic-cu-40-fata-de-anul-trecut-de-ce-nu-scad-si-preturile/vanzarile-de-locuinte-au-scazut-dramatic-cu-40-fata-de-anul-trecut-de-ce-nu-scad-si-preturile--217534779.html")</f>
        <v>https://www.ziarulevenimentul.ro/stiri/vanzarile-de-locuinte-au-scazut-dramatic-cu-40-fata-de-anul-trecut-de-ce-nu-scad-si-preturile/vanzarile-de-locuinte-au-scazut-dramatic-cu-40-fata-de-anul-trecut-de-ce-nu-scad-si-preturile--217534779.html</v>
      </c>
      <c r="F237" s="368" t="str">
        <f>IFERROR(__xludf.DUMMYFUNCTION("""COMPUTED_VALUE"""),"Betterhomes")</f>
        <v>Betterhomes</v>
      </c>
    </row>
    <row r="238">
      <c r="A238" s="402">
        <f>IFERROR(__xludf.DUMMYFUNCTION("""COMPUTED_VALUE"""),44882.0)</f>
        <v>44882</v>
      </c>
      <c r="B238" s="368" t="str">
        <f>IFERROR(__xludf.DUMMYFUNCTION("""COMPUTED_VALUE"""),"Tier 3")</f>
        <v>Tier 3</v>
      </c>
      <c r="C238" s="368" t="str">
        <f>IFERROR(__xludf.DUMMYFUNCTION("""COMPUTED_VALUE"""),"The Washington Post (US)")</f>
        <v>The Washington Post (US)</v>
      </c>
      <c r="D238" s="368" t="str">
        <f>IFERROR(__xludf.DUMMYFUNCTION("""COMPUTED_VALUE"""),"In the UAE, Russians fleeing Ukraine war seek success in ‘Dubaisk’")</f>
        <v>In the UAE, Russians fleeing Ukraine war seek success in ‘Dubaisk’</v>
      </c>
      <c r="E238" s="507" t="str">
        <f>IFERROR(__xludf.DUMMYFUNCTION("""COMPUTED_VALUE"""),"https://www.washingtonpost.com/world/2022/11/17/uae-dubai-russia-ukraine-war/")</f>
        <v>https://www.washingtonpost.com/world/2022/11/17/uae-dubai-russia-ukraine-war/</v>
      </c>
      <c r="F238" s="368" t="str">
        <f>IFERROR(__xludf.DUMMYFUNCTION("""COMPUTED_VALUE"""),"Betterhomes")</f>
        <v>Betterhomes</v>
      </c>
    </row>
    <row r="239">
      <c r="A239" s="402">
        <f>IFERROR(__xludf.DUMMYFUNCTION("""COMPUTED_VALUE"""),44886.0)</f>
        <v>44886</v>
      </c>
      <c r="B239" s="368" t="str">
        <f>IFERROR(__xludf.DUMMYFUNCTION("""COMPUTED_VALUE"""),"Tier 2")</f>
        <v>Tier 2</v>
      </c>
      <c r="C239" s="368" t="str">
        <f>IFERROR(__xludf.DUMMYFUNCTION("""COMPUTED_VALUE"""),"Gulf News")</f>
        <v>Gulf News</v>
      </c>
      <c r="D239" s="368" t="str">
        <f>IFERROR(__xludf.DUMMYFUNCTION("""COMPUTED_VALUE"""),"In Dubai, new 1-year rental listings drop as landlords chase short-term rentals")</f>
        <v>In Dubai, new 1-year rental listings drop as landlords chase short-term rentals</v>
      </c>
      <c r="E239" s="507" t="str">
        <f>IFERROR(__xludf.DUMMYFUNCTION("""COMPUTED_VALUE"""),"https://gulfnews.com/business/property/in-dubai-new-1-year-rental-listings-drop-as-landlords-chase-short-term-rentals-1.1669003557826")</f>
        <v>https://gulfnews.com/business/property/in-dubai-new-1-year-rental-listings-drop-as-landlords-chase-short-term-rentals-1.1669003557826</v>
      </c>
      <c r="F239" s="368" t="str">
        <f>IFERROR(__xludf.DUMMYFUNCTION("""COMPUTED_VALUE"""),"Betterhomes")</f>
        <v>Betterhomes</v>
      </c>
    </row>
    <row r="240">
      <c r="A240" s="402">
        <f>IFERROR(__xludf.DUMMYFUNCTION("""COMPUTED_VALUE"""),44887.0)</f>
        <v>44887</v>
      </c>
      <c r="B240" s="368" t="str">
        <f>IFERROR(__xludf.DUMMYFUNCTION("""COMPUTED_VALUE"""),"Tier 2")</f>
        <v>Tier 2</v>
      </c>
      <c r="C240" s="368" t="str">
        <f>IFERROR(__xludf.DUMMYFUNCTION("""COMPUTED_VALUE"""),"ME Contruction News")</f>
        <v>ME Contruction News</v>
      </c>
      <c r="D240" s="368" t="str">
        <f>IFERROR(__xludf.DUMMYFUNCTION("""COMPUTED_VALUE"""),"Betterhomes purchases full floor in Motor City office tower")</f>
        <v>Betterhomes purchases full floor in Motor City office tower</v>
      </c>
      <c r="E240" s="507" t="str">
        <f>IFERROR(__xludf.DUMMYFUNCTION("""COMPUTED_VALUE"""),"https://meconstructionnews.com/55507/betterhomes-purchases-full-floor-in-motor-city-office-tower")</f>
        <v>https://meconstructionnews.com/55507/betterhomes-purchases-full-floor-in-motor-city-office-tower</v>
      </c>
      <c r="F240" s="368" t="str">
        <f>IFERROR(__xludf.DUMMYFUNCTION("""COMPUTED_VALUE"""),"Betterhomes")</f>
        <v>Betterhomes</v>
      </c>
    </row>
    <row r="241">
      <c r="A241" s="402">
        <f>IFERROR(__xludf.DUMMYFUNCTION("""COMPUTED_VALUE"""),44887.0)</f>
        <v>44887</v>
      </c>
      <c r="B241" s="368" t="str">
        <f>IFERROR(__xludf.DUMMYFUNCTION("""COMPUTED_VALUE"""),"Tier 2")</f>
        <v>Tier 2</v>
      </c>
      <c r="C241" s="368" t="str">
        <f>IFERROR(__xludf.DUMMYFUNCTION("""COMPUTED_VALUE"""),"Zawya")</f>
        <v>Zawya</v>
      </c>
      <c r="D241" s="368" t="str">
        <f>IFERROR(__xludf.DUMMYFUNCTION("""COMPUTED_VALUE"""),"Betterhomes focuses on Dubailand, Al Qudra sales as population grows")</f>
        <v>Betterhomes focuses on Dubailand, Al Qudra sales as population grows</v>
      </c>
      <c r="E241" s="507" t="str">
        <f>IFERROR(__xludf.DUMMYFUNCTION("""COMPUTED_VALUE"""),"https://www.zawya.com/en/business/real-estate/betterhomes-focuses-on-dubailand-al-qudra-sales-as-population-grows-wzu2tx7x")</f>
        <v>https://www.zawya.com/en/business/real-estate/betterhomes-focuses-on-dubailand-al-qudra-sales-as-population-grows-wzu2tx7x</v>
      </c>
      <c r="F241" s="368" t="str">
        <f>IFERROR(__xludf.DUMMYFUNCTION("""COMPUTED_VALUE"""),"Betterhomes")</f>
        <v>Betterhomes</v>
      </c>
    </row>
    <row r="242">
      <c r="A242" s="402">
        <f>IFERROR(__xludf.DUMMYFUNCTION("""COMPUTED_VALUE"""),44887.0)</f>
        <v>44887</v>
      </c>
      <c r="B242" s="368" t="str">
        <f>IFERROR(__xludf.DUMMYFUNCTION("""COMPUTED_VALUE"""),"Tier 2")</f>
        <v>Tier 2</v>
      </c>
      <c r="C242" s="368" t="str">
        <f>IFERROR(__xludf.DUMMYFUNCTION("""COMPUTED_VALUE"""),"Zawya")</f>
        <v>Zawya</v>
      </c>
      <c r="D242" s="368" t="str">
        <f>IFERROR(__xludf.DUMMYFUNCTION("""COMPUTED_VALUE"""),"Betterhomes acquires full floor office in Control Tower, Motor City, from Emirates NBD")</f>
        <v>Betterhomes acquires full floor office in Control Tower, Motor City, from Emirates NBD</v>
      </c>
      <c r="E242" s="507" t="str">
        <f>IFERROR(__xludf.DUMMYFUNCTION("""COMPUTED_VALUE"""),"https://www.zawya.com/en/press-release/companies-news/betterhomes-acquires-full-floor-office-in-control-tower-motor-city-from-emirates-nbd-tyqxw12e")</f>
        <v>https://www.zawya.com/en/press-release/companies-news/betterhomes-acquires-full-floor-office-in-control-tower-motor-city-from-emirates-nbd-tyqxw12e</v>
      </c>
      <c r="F242" s="368" t="str">
        <f>IFERROR(__xludf.DUMMYFUNCTION("""COMPUTED_VALUE"""),"Betterhomes")</f>
        <v>Betterhomes</v>
      </c>
    </row>
    <row r="243">
      <c r="A243" s="402">
        <f>IFERROR(__xludf.DUMMYFUNCTION("""COMPUTED_VALUE"""),44888.0)</f>
        <v>44888</v>
      </c>
      <c r="B243" s="368" t="str">
        <f>IFERROR(__xludf.DUMMYFUNCTION("""COMPUTED_VALUE"""),"Tier 2")</f>
        <v>Tier 2</v>
      </c>
      <c r="C243" s="368" t="str">
        <f>IFERROR(__xludf.DUMMYFUNCTION("""COMPUTED_VALUE"""),"Al Arabiya")</f>
        <v>Al Arabiya</v>
      </c>
      <c r="D243" s="368" t="str">
        <f>IFERROR(__xludf.DUMMYFUNCTION("""COMPUTED_VALUE"""),"Dubai records huge short-term rental boom in months leading up to Qatar World Cup")</f>
        <v>Dubai records huge short-term rental boom in months leading up to Qatar World Cup</v>
      </c>
      <c r="E243" s="507" t="str">
        <f>IFERROR(__xludf.DUMMYFUNCTION("""COMPUTED_VALUE"""),"https://english.alarabiya.net/business/property/2022/11/23/Dubai-records-huge-short-term-rental-boom-in-months-leading-up-to-Qatar-World-Cup")</f>
        <v>https://english.alarabiya.net/business/property/2022/11/23/Dubai-records-huge-short-term-rental-boom-in-months-leading-up-to-Qatar-World-Cup</v>
      </c>
      <c r="F243" s="368" t="str">
        <f>IFERROR(__xludf.DUMMYFUNCTION("""COMPUTED_VALUE"""),"BetterStay")</f>
        <v>BetterStay</v>
      </c>
    </row>
    <row r="244">
      <c r="A244" s="402">
        <f>IFERROR(__xludf.DUMMYFUNCTION("""COMPUTED_VALUE"""),44888.0)</f>
        <v>44888</v>
      </c>
      <c r="B244" s="368" t="str">
        <f>IFERROR(__xludf.DUMMYFUNCTION("""COMPUTED_VALUE"""),"Tier 2")</f>
        <v>Tier 2</v>
      </c>
      <c r="C244" s="368" t="str">
        <f>IFERROR(__xludf.DUMMYFUNCTION("""COMPUTED_VALUE"""),"Gulf News")</f>
        <v>Gulf News</v>
      </c>
      <c r="D244" s="368" t="str">
        <f>IFERROR(__xludf.DUMMYFUNCTION("""COMPUTED_VALUE"""),"Dubai home rent increases could cool if 'star rating' for buildings determines Rental Index")</f>
        <v>Dubai home rent increases could cool if 'star rating' for buildings determines Rental Index</v>
      </c>
      <c r="E244" s="507" t="str">
        <f>IFERROR(__xludf.DUMMYFUNCTION("""COMPUTED_VALUE"""),"https://gulfnews.com/business/property/dubai-home-rent-increases-could-cool-if-star-rating-for-buildings-determines-rental-index-1.1669176870570")</f>
        <v>https://gulfnews.com/business/property/dubai-home-rent-increases-could-cool-if-star-rating-for-buildings-determines-rental-index-1.1669176870570</v>
      </c>
      <c r="F244" s="368" t="str">
        <f>IFERROR(__xludf.DUMMYFUNCTION("""COMPUTED_VALUE"""),"Betterhomes")</f>
        <v>Betterhomes</v>
      </c>
    </row>
    <row r="245">
      <c r="A245" s="402">
        <f>IFERROR(__xludf.DUMMYFUNCTION("""COMPUTED_VALUE"""),44890.0)</f>
        <v>44890</v>
      </c>
      <c r="B245" s="368" t="str">
        <f>IFERROR(__xludf.DUMMYFUNCTION("""COMPUTED_VALUE"""),"Tier 2")</f>
        <v>Tier 2</v>
      </c>
      <c r="C245" s="368" t="str">
        <f>IFERROR(__xludf.DUMMYFUNCTION("""COMPUTED_VALUE"""),"Zawya")</f>
        <v>Zawya</v>
      </c>
      <c r="D245" s="368" t="str">
        <f>IFERROR(__xludf.DUMMYFUNCTION("""COMPUTED_VALUE"""),"Short-stay rentals heat up in Dubai thanks to World Cup")</f>
        <v>Short-stay rentals heat up in Dubai thanks to World Cup</v>
      </c>
      <c r="E245" s="507" t="str">
        <f>IFERROR(__xludf.DUMMYFUNCTION("""COMPUTED_VALUE"""),"https://www.zawya.com/en/multimedia/videos/short-stay-rentals-heat-up-in-dubai-thanks-to-world-cup-hk0q0adz")</f>
        <v>https://www.zawya.com/en/multimedia/videos/short-stay-rentals-heat-up-in-dubai-thanks-to-world-cup-hk0q0adz</v>
      </c>
      <c r="F245" s="368" t="str">
        <f>IFERROR(__xludf.DUMMYFUNCTION("""COMPUTED_VALUE"""),"BetterStay")</f>
        <v>BetterStay</v>
      </c>
    </row>
    <row r="246">
      <c r="A246" s="402">
        <f>IFERROR(__xludf.DUMMYFUNCTION("""COMPUTED_VALUE"""),44890.0)</f>
        <v>44890</v>
      </c>
      <c r="B246" s="368" t="str">
        <f>IFERROR(__xludf.DUMMYFUNCTION("""COMPUTED_VALUE"""),"Tier 2")</f>
        <v>Tier 2</v>
      </c>
      <c r="C246" s="368" t="str">
        <f>IFERROR(__xludf.DUMMYFUNCTION("""COMPUTED_VALUE"""),"Zawya YouTube")</f>
        <v>Zawya YouTube</v>
      </c>
      <c r="D246" s="368" t="str">
        <f>IFERROR(__xludf.DUMMYFUNCTION("""COMPUTED_VALUE"""),"Short-stay rentals heat up in Dubai thanks to World Cup")</f>
        <v>Short-stay rentals heat up in Dubai thanks to World Cup</v>
      </c>
      <c r="E246" s="507" t="str">
        <f>IFERROR(__xludf.DUMMYFUNCTION("""COMPUTED_VALUE"""),"https://www.youtube.com/watch?v=Na8U_eNGIJQ")</f>
        <v>https://www.youtube.com/watch?v=Na8U_eNGIJQ</v>
      </c>
      <c r="F246" s="368" t="str">
        <f>IFERROR(__xludf.DUMMYFUNCTION("""COMPUTED_VALUE"""),"BetterStay")</f>
        <v>BetterStay</v>
      </c>
    </row>
    <row r="247">
      <c r="A247" s="402">
        <f>IFERROR(__xludf.DUMMYFUNCTION("""COMPUTED_VALUE"""),44897.0)</f>
        <v>44897</v>
      </c>
      <c r="B247" s="368" t="str">
        <f>IFERROR(__xludf.DUMMYFUNCTION("""COMPUTED_VALUE"""),"Tier 3")</f>
        <v>Tier 3</v>
      </c>
      <c r="C247" s="368" t="str">
        <f>IFERROR(__xludf.DUMMYFUNCTION("""COMPUTED_VALUE"""),"DC News (Romania)")</f>
        <v>DC News (Romania)</v>
      </c>
      <c r="D247" s="368" t="str">
        <f>IFERROR(__xludf.DUMMYFUNCTION("""COMPUTED_VALUE"""),"The New House program continues in 2023. Good news for Romanians who want to buy a home. How many guarantees were given in 2022")</f>
        <v>The New House program continues in 2023. Good news for Romanians who want to buy a home. How many guarantees were given in 2022</v>
      </c>
      <c r="E247" s="507" t="str">
        <f>IFERROR(__xludf.DUMMYFUNCTION("""COMPUTED_VALUE"""),"https://www.dcnews.ro/programul-noua-casa-continua-si-in-2023-vesti-bune-pentru-romanii-care-vor-sa-isi-cumpere-o-locuinta-cate-garantii-s-au-dat-in-2022_897305.html")</f>
        <v>https://www.dcnews.ro/programul-noua-casa-continua-si-in-2023-vesti-bune-pentru-romanii-care-vor-sa-isi-cumpere-o-locuinta-cate-garantii-s-au-dat-in-2022_897305.html</v>
      </c>
      <c r="F247" s="368" t="str">
        <f>IFERROR(__xludf.DUMMYFUNCTION("""COMPUTED_VALUE"""),"Betterhomes")</f>
        <v>Betterhomes</v>
      </c>
    </row>
    <row r="248">
      <c r="A248" s="402">
        <f>IFERROR(__xludf.DUMMYFUNCTION("""COMPUTED_VALUE"""),44902.0)</f>
        <v>44902</v>
      </c>
      <c r="B248" s="368" t="str">
        <f>IFERROR(__xludf.DUMMYFUNCTION("""COMPUTED_VALUE"""),"Tier 3")</f>
        <v>Tier 3</v>
      </c>
      <c r="C248" s="368" t="str">
        <f>IFERROR(__xludf.DUMMYFUNCTION("""COMPUTED_VALUE"""),"Investing.com  (Russia)")</f>
        <v>Investing.com  (Russia)</v>
      </c>
      <c r="D248" s="368" t="str">
        <f>IFERROR(__xludf.DUMMYFUNCTION("""COMPUTED_VALUE"""),"Investing in Dubai real estate: what realtors won't tell you")</f>
        <v>Investing in Dubai real estate: what realtors won't tell you</v>
      </c>
      <c r="E248" s="507" t="str">
        <f>IFERROR(__xludf.DUMMYFUNCTION("""COMPUTED_VALUE"""),"https://ru.investing.com/analysis/article-200298866")</f>
        <v>https://ru.investing.com/analysis/article-200298866</v>
      </c>
      <c r="F248" s="368" t="str">
        <f>IFERROR(__xludf.DUMMYFUNCTION("""COMPUTED_VALUE"""),"Betterhomes")</f>
        <v>Betterhomes</v>
      </c>
    </row>
    <row r="249">
      <c r="A249" s="402">
        <f>IFERROR(__xludf.DUMMYFUNCTION("""COMPUTED_VALUE"""),44902.0)</f>
        <v>44902</v>
      </c>
      <c r="B249" s="368" t="str">
        <f>IFERROR(__xludf.DUMMYFUNCTION("""COMPUTED_VALUE"""),"Tier 2")</f>
        <v>Tier 2</v>
      </c>
      <c r="C249" s="368" t="str">
        <f>IFERROR(__xludf.DUMMYFUNCTION("""COMPUTED_VALUE"""),"Al Arabiya")</f>
        <v>Al Arabiya</v>
      </c>
      <c r="D249" s="368" t="str">
        <f>IFERROR(__xludf.DUMMYFUNCTION("""COMPUTED_VALUE"""),"Dubai residents forced to move as soaring rents ‘far outstrip’ salary increases")</f>
        <v>Dubai residents forced to move as soaring rents ‘far outstrip’ salary increases</v>
      </c>
      <c r="E249" s="507" t="str">
        <f>IFERROR(__xludf.DUMMYFUNCTION("""COMPUTED_VALUE"""),"https://english.alarabiya.net/features/2022/12/07/DNP-Dubai-residents-forced-to-move-as-soaring-rents-far-outstrip-salary-increases-")</f>
        <v>https://english.alarabiya.net/features/2022/12/07/DNP-Dubai-residents-forced-to-move-as-soaring-rents-far-outstrip-salary-increases-</v>
      </c>
      <c r="F249" s="368" t="str">
        <f>IFERROR(__xludf.DUMMYFUNCTION("""COMPUTED_VALUE"""),"Betterhomes")</f>
        <v>Betterhomes</v>
      </c>
    </row>
    <row r="250">
      <c r="A250" s="402">
        <f>IFERROR(__xludf.DUMMYFUNCTION("""COMPUTED_VALUE"""),44921.0)</f>
        <v>44921</v>
      </c>
      <c r="B250" s="368" t="str">
        <f>IFERROR(__xludf.DUMMYFUNCTION("""COMPUTED_VALUE"""),"Tier 2")</f>
        <v>Tier 2</v>
      </c>
      <c r="C250" s="368" t="str">
        <f>IFERROR(__xludf.DUMMYFUNCTION("""COMPUTED_VALUE"""),"Khaleej Times")</f>
        <v>Khaleej Times</v>
      </c>
      <c r="D250" s="368" t="str">
        <f>IFERROR(__xludf.DUMMYFUNCTION("""COMPUTED_VALUE"""),"Dubai: Most affordable areas as rents set to rise further in 2023")</f>
        <v>Dubai: Most affordable areas as rents set to rise further in 2023</v>
      </c>
      <c r="E250" s="507" t="str">
        <f>IFERROR(__xludf.DUMMYFUNCTION("""COMPUTED_VALUE"""),"https://www.khaleejtimes.com/business/property/dubai-most-affordable-areas-as-rents-set-to-rise-further-in-2023?_refresh=true")</f>
        <v>https://www.khaleejtimes.com/business/property/dubai-most-affordable-areas-as-rents-set-to-rise-further-in-2023?_refresh=true</v>
      </c>
      <c r="F250" s="368" t="str">
        <f>IFERROR(__xludf.DUMMYFUNCTION("""COMPUTED_VALUE"""),"Betterhomes")</f>
        <v>Betterhomes</v>
      </c>
    </row>
    <row r="251">
      <c r="A251" s="402">
        <f>IFERROR(__xludf.DUMMYFUNCTION("""COMPUTED_VALUE"""),44921.0)</f>
        <v>44921</v>
      </c>
      <c r="B251" s="368" t="str">
        <f>IFERROR(__xludf.DUMMYFUNCTION("""COMPUTED_VALUE"""),"Tier 2")</f>
        <v>Tier 2</v>
      </c>
      <c r="C251" s="368" t="str">
        <f>IFERROR(__xludf.DUMMYFUNCTION("""COMPUTED_VALUE"""),"Zawya")</f>
        <v>Zawya</v>
      </c>
      <c r="D251" s="368" t="str">
        <f>IFERROR(__xludf.DUMMYFUNCTION("""COMPUTED_VALUE"""),"Dubai: Most affordable areas as rents set to rise further in 2023")</f>
        <v>Dubai: Most affordable areas as rents set to rise further in 2023</v>
      </c>
      <c r="E251" s="507" t="str">
        <f>IFERROR(__xludf.DUMMYFUNCTION("""COMPUTED_VALUE"""),"https://www.zawya.com/en/business/real-estate/dubai-most-affordable-areas-as-rents-set-to-rise-further-in-2023-iki3ms8s")</f>
        <v>https://www.zawya.com/en/business/real-estate/dubai-most-affordable-areas-as-rents-set-to-rise-further-in-2023-iki3ms8s</v>
      </c>
      <c r="F251" s="368" t="str">
        <f>IFERROR(__xludf.DUMMYFUNCTION("""COMPUTED_VALUE"""),"Betterhomes")</f>
        <v>Betterhomes</v>
      </c>
    </row>
    <row r="252">
      <c r="A252" s="402">
        <f>IFERROR(__xludf.DUMMYFUNCTION("""COMPUTED_VALUE"""),44925.0)</f>
        <v>44925</v>
      </c>
      <c r="B252" s="368" t="str">
        <f>IFERROR(__xludf.DUMMYFUNCTION("""COMPUTED_VALUE"""),"Tier 2")</f>
        <v>Tier 2</v>
      </c>
      <c r="C252" s="368" t="str">
        <f>IFERROR(__xludf.DUMMYFUNCTION("""COMPUTED_VALUE"""),"The National ")</f>
        <v>The National </v>
      </c>
      <c r="D252" s="368" t="str">
        <f>IFERROR(__xludf.DUMMYFUNCTION("""COMPUTED_VALUE"""),"What would you do if you won Dh200m?")</f>
        <v>What would you do if you won Dh200m?</v>
      </c>
      <c r="E252" s="507" t="str">
        <f>IFERROR(__xludf.DUMMYFUNCTION("""COMPUTED_VALUE"""),"https://www.thenationalnews.com/business/money/2022/12/30/what-would-you-do-if-you-won-dh200m/")</f>
        <v>https://www.thenationalnews.com/business/money/2022/12/30/what-would-you-do-if-you-won-dh200m/</v>
      </c>
      <c r="F252" s="368" t="str">
        <f>IFERROR(__xludf.DUMMYFUNCTION("""COMPUTED_VALUE"""),"Betterhomes")</f>
        <v>Betterhomes</v>
      </c>
    </row>
    <row r="253">
      <c r="A253" s="402">
        <f>IFERROR(__xludf.DUMMYFUNCTION("""COMPUTED_VALUE"""),44925.0)</f>
        <v>44925</v>
      </c>
      <c r="B253" s="368" t="str">
        <f>IFERROR(__xludf.DUMMYFUNCTION("""COMPUTED_VALUE"""),"Tier 2")</f>
        <v>Tier 2</v>
      </c>
      <c r="C253" s="368" t="str">
        <f>IFERROR(__xludf.DUMMYFUNCTION("""COMPUTED_VALUE"""),"The National ")</f>
        <v>The National </v>
      </c>
      <c r="D253" s="368" t="str">
        <f>IFERROR(__xludf.DUMMYFUNCTION("""COMPUTED_VALUE"""),"How will Dubai and Abu Dhabi property markets perform in 2023?")</f>
        <v>How will Dubai and Abu Dhabi property markets perform in 2023?</v>
      </c>
      <c r="E253" s="507" t="str">
        <f>IFERROR(__xludf.DUMMYFUNCTION("""COMPUTED_VALUE"""),"https://www.thenationalnews.com/business/property/2022/12/28/how-will-dubai-and-abu-dhabi-property-markets-perform-in-2023/")</f>
        <v>https://www.thenationalnews.com/business/property/2022/12/28/how-will-dubai-and-abu-dhabi-property-markets-perform-in-2023/</v>
      </c>
      <c r="F253" s="368" t="str">
        <f>IFERROR(__xludf.DUMMYFUNCTION("""COMPUTED_VALUE"""),"Betterhomes")</f>
        <v>Betterhomes</v>
      </c>
    </row>
    <row r="254">
      <c r="A254" s="402">
        <f>IFERROR(__xludf.DUMMYFUNCTION("""COMPUTED_VALUE"""),44925.0)</f>
        <v>44925</v>
      </c>
      <c r="B254" s="368" t="str">
        <f>IFERROR(__xludf.DUMMYFUNCTION("""COMPUTED_VALUE"""),"Tier 2")</f>
        <v>Tier 2</v>
      </c>
      <c r="C254" s="368" t="str">
        <f>IFERROR(__xludf.DUMMYFUNCTION("""COMPUTED_VALUE"""),"The National ")</f>
        <v>The National </v>
      </c>
      <c r="D254" s="368" t="str">
        <f>IFERROR(__xludf.DUMMYFUNCTION("""COMPUTED_VALUE"""),"Can the Dubai real estate market defy a global downturn in 2023?")</f>
        <v>Can the Dubai real estate market defy a global downturn in 2023?</v>
      </c>
      <c r="E254" s="507" t="str">
        <f>IFERROR(__xludf.DUMMYFUNCTION("""COMPUTED_VALUE"""),"https://www.thenationalnews.com/weekend/2022/12/30/can-the-dubai-real-estate-market-outrun-a-global-downturn-in-2023/")</f>
        <v>https://www.thenationalnews.com/weekend/2022/12/30/can-the-dubai-real-estate-market-outrun-a-global-downturn-in-2023/</v>
      </c>
      <c r="F254" s="368" t="str">
        <f>IFERROR(__xludf.DUMMYFUNCTION("""COMPUTED_VALUE"""),"Betterhomes")</f>
        <v>Betterhomes</v>
      </c>
    </row>
    <row r="255">
      <c r="A255" s="402">
        <f>IFERROR(__xludf.DUMMYFUNCTION("""COMPUTED_VALUE"""),44926.0)</f>
        <v>44926</v>
      </c>
      <c r="B255" s="368" t="str">
        <f>IFERROR(__xludf.DUMMYFUNCTION("""COMPUTED_VALUE"""),"Tier 2")</f>
        <v>Tier 2</v>
      </c>
      <c r="C255" s="368" t="str">
        <f>IFERROR(__xludf.DUMMYFUNCTION("""COMPUTED_VALUE"""),"Gulf News")</f>
        <v>Gulf News</v>
      </c>
      <c r="D255" s="368" t="str">
        <f>IFERROR(__xludf.DUMMYFUNCTION("""COMPUTED_VALUE"""),"UAE Corporate Tax: Businesses have some early preparations to do")</f>
        <v>UAE Corporate Tax: Businesses have some early preparations to do</v>
      </c>
      <c r="E255" s="507" t="str">
        <f>IFERROR(__xludf.DUMMYFUNCTION("""COMPUTED_VALUE"""),"https://gulfnews.com/business/analysis/uae-corporate-tax-businesses-have-some-early-preparations-to-do-1.92961154")</f>
        <v>https://gulfnews.com/business/analysis/uae-corporate-tax-businesses-have-some-early-preparations-to-do-1.92961154</v>
      </c>
      <c r="F255" s="368" t="str">
        <f>IFERROR(__xludf.DUMMYFUNCTION("""COMPUTED_VALUE"""),"OpenHub")</f>
        <v>OpenHub</v>
      </c>
    </row>
    <row r="256">
      <c r="A256" s="402">
        <f>IFERROR(__xludf.DUMMYFUNCTION("""COMPUTED_VALUE"""),44941.0)</f>
        <v>44941</v>
      </c>
      <c r="B256" s="368" t="str">
        <f>IFERROR(__xludf.DUMMYFUNCTION("""COMPUTED_VALUE"""),"Tier 1")</f>
        <v>Tier 1</v>
      </c>
      <c r="C256" s="368" t="str">
        <f>IFERROR(__xludf.DUMMYFUNCTION("""COMPUTED_VALUE"""),"Thomson Reuters")</f>
        <v>Thomson Reuters</v>
      </c>
      <c r="D256" s="368" t="str">
        <f>IFERROR(__xludf.DUMMYFUNCTION("""COMPUTED_VALUE"""),"Dubai property price rises may slow further in 2023, real-estate consultancy says")</f>
        <v>Dubai property price rises may slow further in 2023, real-estate consultancy says</v>
      </c>
      <c r="E256" s="507" t="str">
        <f>IFERROR(__xludf.DUMMYFUNCTION("""COMPUTED_VALUE"""),"https://www.reuters.com/world/middle-east/dubai-property-price-rises-seen-slowing-further-2023-betterhomes-2023-01-15/")</f>
        <v>https://www.reuters.com/world/middle-east/dubai-property-price-rises-seen-slowing-further-2023-betterhomes-2023-01-15/</v>
      </c>
      <c r="F256" s="368" t="str">
        <f>IFERROR(__xludf.DUMMYFUNCTION("""COMPUTED_VALUE"""),"Betterhomes")</f>
        <v>Betterhomes</v>
      </c>
    </row>
    <row r="257">
      <c r="A257" s="402">
        <f>IFERROR(__xludf.DUMMYFUNCTION("""COMPUTED_VALUE"""),44941.0)</f>
        <v>44941</v>
      </c>
      <c r="B257" s="368" t="str">
        <f>IFERROR(__xludf.DUMMYFUNCTION("""COMPUTED_VALUE"""),"Tier 3")</f>
        <v>Tier 3</v>
      </c>
      <c r="C257" s="368" t="str">
        <f>IFERROR(__xludf.DUMMYFUNCTION("""COMPUTED_VALUE"""),"Latest LY ")</f>
        <v>Latest LY </v>
      </c>
      <c r="D257" s="368" t="str">
        <f>IFERROR(__xludf.DUMMYFUNCTION("""COMPUTED_VALUE"""),"Dubai Property Price Rises Seen Slowing Further in 2023 - Betterhomes")</f>
        <v>Dubai Property Price Rises Seen Slowing Further in 2023 - Betterhomes</v>
      </c>
      <c r="E257" s="507" t="str">
        <f>IFERROR(__xludf.DUMMYFUNCTION("""COMPUTED_VALUE"""),"https://www.latestly.com/socially/sports/cricket/virat-kohli-does-a-ms-dhoni-star-india-batter-hits-helicopter-shot-for-six-in-ind-vs-sl-3rd-odi-2023-watch-video-4716180.html")</f>
        <v>https://www.latestly.com/socially/sports/cricket/virat-kohli-does-a-ms-dhoni-star-india-batter-hits-helicopter-shot-for-six-in-ind-vs-sl-3rd-odi-2023-watch-video-4716180.html</v>
      </c>
      <c r="F257" s="368" t="str">
        <f>IFERROR(__xludf.DUMMYFUNCTION("""COMPUTED_VALUE"""),"Betterhomes")</f>
        <v>Betterhomes</v>
      </c>
    </row>
    <row r="258">
      <c r="A258" s="402">
        <f>IFERROR(__xludf.DUMMYFUNCTION("""COMPUTED_VALUE"""),44941.0)</f>
        <v>44941</v>
      </c>
      <c r="B258" s="368" t="str">
        <f>IFERROR(__xludf.DUMMYFUNCTION("""COMPUTED_VALUE"""),"Tier 3")</f>
        <v>Tier 3</v>
      </c>
      <c r="C258" s="368" t="str">
        <f>IFERROR(__xludf.DUMMYFUNCTION("""COMPUTED_VALUE"""),"Zone Bourse (France)")</f>
        <v>Zone Bourse (France)</v>
      </c>
      <c r="D258" s="368" t="str">
        <f>IFERROR(__xludf.DUMMYFUNCTION("""COMPUTED_VALUE"""),"Dubai property price growth set to slow further in 2023")</f>
        <v>Dubai property price growth set to slow further in 2023</v>
      </c>
      <c r="E258" s="507" t="str">
        <f>IFERROR(__xludf.DUMMYFUNCTION("""COMPUTED_VALUE"""),"https://www.zonebourse.com/actualite-bourse/La-hausse-des-prix-de-l-immobilier-a-Dubai-devrait-encore-ralentir-en-2023-Betterhomes--42738330/?utm_medium=RSS&amp;utm_content=20230115")</f>
        <v>https://www.zonebourse.com/actualite-bourse/La-hausse-des-prix-de-l-immobilier-a-Dubai-devrait-encore-ralentir-en-2023-Betterhomes--42738330/?utm_medium=RSS&amp;utm_content=20230115</v>
      </c>
      <c r="F258" s="368" t="str">
        <f>IFERROR(__xludf.DUMMYFUNCTION("""COMPUTED_VALUE"""),"Betterhomes")</f>
        <v>Betterhomes</v>
      </c>
    </row>
    <row r="259">
      <c r="A259" s="402">
        <f>IFERROR(__xludf.DUMMYFUNCTION("""COMPUTED_VALUE"""),44941.0)</f>
        <v>44941</v>
      </c>
      <c r="B259" s="368" t="str">
        <f>IFERROR(__xludf.DUMMYFUNCTION("""COMPUTED_VALUE"""),"Tier 2")</f>
        <v>Tier 2</v>
      </c>
      <c r="C259" s="368" t="str">
        <f>IFERROR(__xludf.DUMMYFUNCTION("""COMPUTED_VALUE"""),"Khaleej Times")</f>
        <v>Khaleej Times</v>
      </c>
      <c r="D259" s="368" t="str">
        <f>IFERROR(__xludf.DUMMYFUNCTION("""COMPUTED_VALUE"""),"Dubai property price rises seen slowing further in 2023: Betterhomes")</f>
        <v>Dubai property price rises seen slowing further in 2023: Betterhomes</v>
      </c>
      <c r="E259" s="507" t="str">
        <f>IFERROR(__xludf.DUMMYFUNCTION("""COMPUTED_VALUE"""),"https://www.khaleejtimes.com/business/dubai-property-price-rises-seen-slowing-further-in-2023-betterhomes")</f>
        <v>https://www.khaleejtimes.com/business/dubai-property-price-rises-seen-slowing-further-in-2023-betterhomes</v>
      </c>
      <c r="F259" s="368" t="str">
        <f>IFERROR(__xludf.DUMMYFUNCTION("""COMPUTED_VALUE"""),"Betterhomes")</f>
        <v>Betterhomes</v>
      </c>
    </row>
    <row r="260">
      <c r="A260" s="402">
        <f>IFERROR(__xludf.DUMMYFUNCTION("""COMPUTED_VALUE"""),44942.0)</f>
        <v>44942</v>
      </c>
      <c r="B260" s="368" t="str">
        <f>IFERROR(__xludf.DUMMYFUNCTION("""COMPUTED_VALUE"""),"Tier 3")</f>
        <v>Tier 3</v>
      </c>
      <c r="C260" s="368" t="str">
        <f>IFERROR(__xludf.DUMMYFUNCTION("""COMPUTED_VALUE"""),"Manager (Bulgaria)")</f>
        <v>Manager (Bulgaria)</v>
      </c>
      <c r="D260" s="368" t="str">
        <f>IFERROR(__xludf.DUMMYFUNCTION("""COMPUTED_VALUE"""),"Russians have become the biggest buyers of luxury properties in Dubai")</f>
        <v>Russians have become the biggest buyers of luxury properties in Dubai</v>
      </c>
      <c r="E260" s="507" t="str">
        <f>IFERROR(__xludf.DUMMYFUNCTION("""COMPUTED_VALUE"""),"https://manager.bg/%D0%B1%D0%B8%D0%B7%D0%BD%D0%B5%D1%81/rusnacite-stanaha-nai-golemite-kupuvachi-na-luksozni-imoti-v-dubai")</f>
        <v>https://manager.bg/%D0%B1%D0%B8%D0%B7%D0%BD%D0%B5%D1%81/rusnacite-stanaha-nai-golemite-kupuvachi-na-luksozni-imoti-v-dubai</v>
      </c>
      <c r="F260" s="368" t="str">
        <f>IFERROR(__xludf.DUMMYFUNCTION("""COMPUTED_VALUE"""),"Betterhomes")</f>
        <v>Betterhomes</v>
      </c>
    </row>
    <row r="261">
      <c r="A261" s="402">
        <f>IFERROR(__xludf.DUMMYFUNCTION("""COMPUTED_VALUE"""),44942.0)</f>
        <v>44942</v>
      </c>
      <c r="B261" s="368" t="str">
        <f>IFERROR(__xludf.DUMMYFUNCTION("""COMPUTED_VALUE"""),"Tier 3")</f>
        <v>Tier 3</v>
      </c>
      <c r="C261" s="368" t="str">
        <f>IFERROR(__xludf.DUMMYFUNCTION("""COMPUTED_VALUE"""),"Titulares (Spain)")</f>
        <v>Titulares (Spain)</v>
      </c>
      <c r="D261" s="368" t="str">
        <f>IFERROR(__xludf.DUMMYFUNCTION("""COMPUTED_VALUE"""),"Dubai reaches record number of real estate transactions of more than $143,000 million after years of crisis")</f>
        <v>Dubai reaches record number of real estate transactions of more than $143,000 million after years of crisis</v>
      </c>
      <c r="E261" s="507" t="str">
        <f>IFERROR(__xludf.DUMMYFUNCTION("""COMPUTED_VALUE"""),"https://titulares.ar/dubai-alcanza-cifra-record-de-transacciones-inmobiliarias-de-mas-de-143-000-millones-tras-anos-de-crisis/")</f>
        <v>https://titulares.ar/dubai-alcanza-cifra-record-de-transacciones-inmobiliarias-de-mas-de-143-000-millones-tras-anos-de-crisis/</v>
      </c>
      <c r="F261" s="368" t="str">
        <f>IFERROR(__xludf.DUMMYFUNCTION("""COMPUTED_VALUE"""),"Betterhomes")</f>
        <v>Betterhomes</v>
      </c>
    </row>
    <row r="262">
      <c r="A262" s="402">
        <f>IFERROR(__xludf.DUMMYFUNCTION("""COMPUTED_VALUE"""),44942.0)</f>
        <v>44942</v>
      </c>
      <c r="B262" s="368" t="str">
        <f>IFERROR(__xludf.DUMMYFUNCTION("""COMPUTED_VALUE"""),"Tier 3")</f>
        <v>Tier 3</v>
      </c>
      <c r="C262" s="368" t="str">
        <f>IFERROR(__xludf.DUMMYFUNCTION("""COMPUTED_VALUE"""),"Foco (Spain)")</f>
        <v>Foco (Spain)</v>
      </c>
      <c r="D262" s="368" t="str">
        <f>IFERROR(__xludf.DUMMYFUNCTION("""COMPUTED_VALUE"""),"Why did Dubai achieve record real estate transactions in 2022?")</f>
        <v>Why did Dubai achieve record real estate transactions in 2022?</v>
      </c>
      <c r="E262" s="507" t="str">
        <f>IFERROR(__xludf.DUMMYFUNCTION("""COMPUTED_VALUE"""),"https://foco.lanacion.com.py/2023/01/16/por-que-dubai-logro-record-de-transacciones-inmobiliarias-en-2022/")</f>
        <v>https://foco.lanacion.com.py/2023/01/16/por-que-dubai-logro-record-de-transacciones-inmobiliarias-en-2022/</v>
      </c>
      <c r="F262" s="368" t="str">
        <f>IFERROR(__xludf.DUMMYFUNCTION("""COMPUTED_VALUE"""),"Betterhomes")</f>
        <v>Betterhomes</v>
      </c>
    </row>
    <row r="263">
      <c r="A263" s="402">
        <f>IFERROR(__xludf.DUMMYFUNCTION("""COMPUTED_VALUE"""),44942.0)</f>
        <v>44942</v>
      </c>
      <c r="B263" s="368" t="str">
        <f>IFERROR(__xludf.DUMMYFUNCTION("""COMPUTED_VALUE"""),"Tier 2")</f>
        <v>Tier 2</v>
      </c>
      <c r="C263" s="368" t="str">
        <f>IFERROR(__xludf.DUMMYFUNCTION("""COMPUTED_VALUE"""),"Arab News")</f>
        <v>Arab News</v>
      </c>
      <c r="D263" s="368" t="str">
        <f>IFERROR(__xludf.DUMMYFUNCTION("""COMPUTED_VALUE"""),"UAE In-Focus — US, UAE allocate $20bn to fund 15 GW of clean energy projects")</f>
        <v>UAE In-Focus — US, UAE allocate $20bn to fund 15 GW of clean energy projects</v>
      </c>
      <c r="E263" s="507" t="str">
        <f>IFERROR(__xludf.DUMMYFUNCTION("""COMPUTED_VALUE"""),"https://www.arabnews.com/node/2233301/business-economy")</f>
        <v>https://www.arabnews.com/node/2233301/business-economy</v>
      </c>
      <c r="F263" s="368" t="str">
        <f>IFERROR(__xludf.DUMMYFUNCTION("""COMPUTED_VALUE"""),"Betterhomes")</f>
        <v>Betterhomes</v>
      </c>
    </row>
    <row r="264">
      <c r="A264" s="402">
        <f>IFERROR(__xludf.DUMMYFUNCTION("""COMPUTED_VALUE"""),44942.0)</f>
        <v>44942</v>
      </c>
      <c r="B264" s="368" t="str">
        <f>IFERROR(__xludf.DUMMYFUNCTION("""COMPUTED_VALUE"""),"Tier 3")</f>
        <v>Tier 3</v>
      </c>
      <c r="C264" s="368" t="str">
        <f>IFERROR(__xludf.DUMMYFUNCTION("""COMPUTED_VALUE"""),"Dagens Industri (Sweeden)")</f>
        <v>Dagens Industri (Sweeden)</v>
      </c>
      <c r="D264" s="368" t="str">
        <f>IFERROR(__xludf.DUMMYFUNCTION("""COMPUTED_VALUE"""),"Russian money drugs Dubai's real estate market - reaches new record level")</f>
        <v>Russian money drugs Dubai's real estate market - reaches new record level</v>
      </c>
      <c r="E264" s="507" t="str">
        <f>IFERROR(__xludf.DUMMYFUNCTION("""COMPUTED_VALUE"""),"https://www.di.se/live/ryska-pengar-dopar-dubais-fastighetsmarknad-nar-ny-rekordniva/")</f>
        <v>https://www.di.se/live/ryska-pengar-dopar-dubais-fastighetsmarknad-nar-ny-rekordniva/</v>
      </c>
      <c r="F264" s="368" t="str">
        <f>IFERROR(__xludf.DUMMYFUNCTION("""COMPUTED_VALUE"""),"Betterhomes")</f>
        <v>Betterhomes</v>
      </c>
    </row>
    <row r="265">
      <c r="A265" s="402">
        <f>IFERROR(__xludf.DUMMYFUNCTION("""COMPUTED_VALUE"""),44942.0)</f>
        <v>44942</v>
      </c>
      <c r="B265" s="368" t="str">
        <f>IFERROR(__xludf.DUMMYFUNCTION("""COMPUTED_VALUE"""),"Tier 3")</f>
        <v>Tier 3</v>
      </c>
      <c r="C265" s="368" t="str">
        <f>IFERROR(__xludf.DUMMYFUNCTION("""COMPUTED_VALUE"""),"Finanzemarkt (Germany)")</f>
        <v>Finanzemarkt (Germany)</v>
      </c>
      <c r="D265" s="368" t="str">
        <f>IFERROR(__xludf.DUMMYFUNCTION("""COMPUTED_VALUE"""),"Real estate: That's how massive Russian money is pouring into Dubai")</f>
        <v>Real estate: That's how massive Russian money is pouring into Dubai</v>
      </c>
      <c r="E265" s="507" t="str">
        <f>IFERROR(__xludf.DUMMYFUNCTION("""COMPUTED_VALUE"""),"https://finanzmarktwelt.de/immobilien-so-massiv-stroemt-russisches-geld-nach-dubai-258253/")</f>
        <v>https://finanzmarktwelt.de/immobilien-so-massiv-stroemt-russisches-geld-nach-dubai-258253/</v>
      </c>
      <c r="F265" s="368" t="str">
        <f>IFERROR(__xludf.DUMMYFUNCTION("""COMPUTED_VALUE"""),"Betterhomes")</f>
        <v>Betterhomes</v>
      </c>
    </row>
    <row r="266">
      <c r="A266" s="402">
        <f>IFERROR(__xludf.DUMMYFUNCTION("""COMPUTED_VALUE"""),44942.0)</f>
        <v>44942</v>
      </c>
      <c r="B266" s="368" t="str">
        <f>IFERROR(__xludf.DUMMYFUNCTION("""COMPUTED_VALUE"""),"Tier 3")</f>
        <v>Tier 3</v>
      </c>
      <c r="C266" s="368" t="str">
        <f>IFERROR(__xludf.DUMMYFUNCTION("""COMPUTED_VALUE"""),"Il Matinno (Italy)")</f>
        <v>Il Matinno (Italy)</v>
      </c>
      <c r="D266" s="368" t="str">
        <f>IFERROR(__xludf.DUMMYFUNCTION("""COMPUTED_VALUE"""),"Abramovich, Rybolovlev and the others: the anti-sanctions moves. Here's how (and how much) Russian oligarchs invest in Dubai")</f>
        <v>Abramovich, Rybolovlev and the others: the anti-sanctions moves. Here's how (and how much) Russian oligarchs invest in Dubai</v>
      </c>
      <c r="E266" s="507" t="str">
        <f>IFERROR(__xludf.DUMMYFUNCTION("""COMPUTED_VALUE"""),"https://www.ilmattino.it/primopiano/esteri/abramovich_oligarchi_russi_investimenti_dubai_cosa_sta_succedendo-7173231.html")</f>
        <v>https://www.ilmattino.it/primopiano/esteri/abramovich_oligarchi_russi_investimenti_dubai_cosa_sta_succedendo-7173231.html</v>
      </c>
      <c r="F266" s="368" t="str">
        <f>IFERROR(__xludf.DUMMYFUNCTION("""COMPUTED_VALUE"""),"Betterhomes")</f>
        <v>Betterhomes</v>
      </c>
    </row>
    <row r="267">
      <c r="A267" s="402">
        <f>IFERROR(__xludf.DUMMYFUNCTION("""COMPUTED_VALUE"""),44942.0)</f>
        <v>44942</v>
      </c>
      <c r="B267" s="368" t="str">
        <f>IFERROR(__xludf.DUMMYFUNCTION("""COMPUTED_VALUE"""),"Tier 1")</f>
        <v>Tier 1</v>
      </c>
      <c r="C267" s="368" t="str">
        <f>IFERROR(__xludf.DUMMYFUNCTION("""COMPUTED_VALUE"""),"Forbes (Ukarain)")</f>
        <v>Forbes (Ukarain)</v>
      </c>
      <c r="D267" s="368" t="str">
        <f>IFERROR(__xludf.DUMMYFUNCTION("""COMPUTED_VALUE"""),"Property sales in Dubai have risen to a record high due to an increase in the number of buyers from Russia ")</f>
        <v>Property sales in Dubai have risen to a record high due to an increase in the number of buyers from Russia </v>
      </c>
      <c r="E267" s="507" t="str">
        <f>IFERROR(__xludf.DUMMYFUNCTION("""COMPUTED_VALUE"""),"https://forbes.ua/news/prodazh-nerukhomosti-v-dubai-zris-do-rekordnogo-rivnya-cherez-zbilshennya-kilkosti-pokuptsiv-z-rosii-16012023-11091")</f>
        <v>https://forbes.ua/news/prodazh-nerukhomosti-v-dubai-zris-do-rekordnogo-rivnya-cherez-zbilshennya-kilkosti-pokuptsiv-z-rosii-16012023-11091</v>
      </c>
      <c r="F267" s="368" t="str">
        <f>IFERROR(__xludf.DUMMYFUNCTION("""COMPUTED_VALUE"""),"Betterhomes")</f>
        <v>Betterhomes</v>
      </c>
    </row>
    <row r="268">
      <c r="A268" s="402">
        <f>IFERROR(__xludf.DUMMYFUNCTION("""COMPUTED_VALUE"""),44942.0)</f>
        <v>44942</v>
      </c>
      <c r="B268" s="368" t="str">
        <f>IFERROR(__xludf.DUMMYFUNCTION("""COMPUTED_VALUE"""),"Tier 3")</f>
        <v>Tier 3</v>
      </c>
      <c r="C268" s="368" t="str">
        <f>IFERROR(__xludf.DUMMYFUNCTION("""COMPUTED_VALUE"""),"Kumparan (Indonasia)")</f>
        <v>Kumparan (Indonasia)</v>
      </c>
      <c r="D268" s="368" t="str">
        <f>IFERROR(__xludf.DUMMYFUNCTION("""COMPUTED_VALUE"""),"Property Prices in Dubai Expected to Slow Down in 2023")</f>
        <v>Property Prices in Dubai Expected to Slow Down in 2023</v>
      </c>
      <c r="E268" s="507" t="str">
        <f>IFERROR(__xludf.DUMMYFUNCTION("""COMPUTED_VALUE"""),"https://kumparan.com/kabar-bisnis/harga-properti-di-dubai-diperkirakan-melambat-di-2023-1zeDE6UsPlZ?ref=register")</f>
        <v>https://kumparan.com/kabar-bisnis/harga-properti-di-dubai-diperkirakan-melambat-di-2023-1zeDE6UsPlZ?ref=register</v>
      </c>
      <c r="F268" s="368" t="str">
        <f>IFERROR(__xludf.DUMMYFUNCTION("""COMPUTED_VALUE"""),"Betterhomes")</f>
        <v>Betterhomes</v>
      </c>
    </row>
    <row r="269">
      <c r="A269" s="402">
        <f>IFERROR(__xludf.DUMMYFUNCTION("""COMPUTED_VALUE"""),44942.0)</f>
        <v>44942</v>
      </c>
      <c r="B269" s="368" t="str">
        <f>IFERROR(__xludf.DUMMYFUNCTION("""COMPUTED_VALUE"""),"Tier 1")</f>
        <v>Tier 1</v>
      </c>
      <c r="C269" s="368" t="str">
        <f>IFERROR(__xludf.DUMMYFUNCTION("""COMPUTED_VALUE"""),"Forbes (Russia)")</f>
        <v>Forbes (Russia)</v>
      </c>
      <c r="D269" s="368" t="str">
        <f>IFERROR(__xludf.DUMMYFUNCTION("""COMPUTED_VALUE"""),"Property sales in Dubai rise to record levels due to increased number of buyers from Russia")</f>
        <v>Property sales in Dubai rise to record levels due to increased number of buyers from Russia</v>
      </c>
      <c r="E269" s="507" t="str">
        <f>IFERROR(__xludf.DUMMYFUNCTION("""COMPUTED_VALUE"""),"https://forbes.ua/ru/news/prodazh-nerukhomosti-v-dubai-zris-do-rekordnogo-rivnya-cherez-zbilshennya-kilkosti-pokuptsiv-z-rosii-16012023-11091")</f>
        <v>https://forbes.ua/ru/news/prodazh-nerukhomosti-v-dubai-zris-do-rekordnogo-rivnya-cherez-zbilshennya-kilkosti-pokuptsiv-z-rosii-16012023-11091</v>
      </c>
      <c r="F269" s="368" t="str">
        <f>IFERROR(__xludf.DUMMYFUNCTION("""COMPUTED_VALUE"""),"Betterhomes")</f>
        <v>Betterhomes</v>
      </c>
    </row>
    <row r="270">
      <c r="A270" s="402">
        <f>IFERROR(__xludf.DUMMYFUNCTION("""COMPUTED_VALUE"""),44942.0)</f>
        <v>44942</v>
      </c>
      <c r="B270" s="368" t="str">
        <f>IFERROR(__xludf.DUMMYFUNCTION("""COMPUTED_VALUE"""),"Tier 3")</f>
        <v>Tier 3</v>
      </c>
      <c r="C270" s="368" t="str">
        <f>IFERROR(__xludf.DUMMYFUNCTION("""COMPUTED_VALUE"""),"Profit (Romania)")</f>
        <v>Profit (Romania)</v>
      </c>
      <c r="D270" s="368" t="str">
        <f>IFERROR(__xludf.DUMMYFUNCTION("""COMPUTED_VALUE"""),"Property price growth in Dubai may slow down")</f>
        <v>Property price growth in Dubai may slow down</v>
      </c>
      <c r="E270" s="507" t="str">
        <f>IFERROR(__xludf.DUMMYFUNCTION("""COMPUTED_VALUE"""),"https://www.profit.ro/povesti-cu-profit/real-estate-constructii/cresterea-preturilor-proprietatilor-imobiliare-din-dubai-ar-putea-incetini-20983668")</f>
        <v>https://www.profit.ro/povesti-cu-profit/real-estate-constructii/cresterea-preturilor-proprietatilor-imobiliare-din-dubai-ar-putea-incetini-20983668</v>
      </c>
      <c r="F270" s="368" t="str">
        <f>IFERROR(__xludf.DUMMYFUNCTION("""COMPUTED_VALUE"""),"Betterhomes")</f>
        <v>Betterhomes</v>
      </c>
    </row>
    <row r="271">
      <c r="A271" s="402">
        <f>IFERROR(__xludf.DUMMYFUNCTION("""COMPUTED_VALUE"""),44942.0)</f>
        <v>44942</v>
      </c>
      <c r="B271" s="368" t="str">
        <f>IFERROR(__xludf.DUMMYFUNCTION("""COMPUTED_VALUE"""),"Tier 3")</f>
        <v>Tier 3</v>
      </c>
      <c r="C271" s="368" t="str">
        <f>IFERROR(__xludf.DUMMYFUNCTION("""COMPUTED_VALUE"""),"Market Screener (Netherlands)")</f>
        <v>Market Screener (Netherlands)</v>
      </c>
      <c r="D271" s="368" t="str">
        <f>IFERROR(__xludf.DUMMYFUNCTION("""COMPUTED_VALUE"""),"Dubai real estate price rise further slowed in 2023 - Betterhomes")</f>
        <v>Dubai real estate price rise further slowed in 2023 - Betterhomes</v>
      </c>
      <c r="E271" s="507" t="str">
        <f>IFERROR(__xludf.DUMMYFUNCTION("""COMPUTED_VALUE"""),"https://nl.marketscreener.com/beursnieuws/laatste/Prijsstijging-vastgoed-Dubai-verder-vertraagd-in-2023-Betterhomes--42738330/")</f>
        <v>https://nl.marketscreener.com/beursnieuws/laatste/Prijsstijging-vastgoed-Dubai-verder-vertraagd-in-2023-Betterhomes--42738330/</v>
      </c>
      <c r="F271" s="368" t="str">
        <f>IFERROR(__xludf.DUMMYFUNCTION("""COMPUTED_VALUE"""),"Betterhomes")</f>
        <v>Betterhomes</v>
      </c>
    </row>
    <row r="272">
      <c r="A272" s="402">
        <f>IFERROR(__xludf.DUMMYFUNCTION("""COMPUTED_VALUE"""),44942.0)</f>
        <v>44942</v>
      </c>
      <c r="B272" s="368" t="str">
        <f>IFERROR(__xludf.DUMMYFUNCTION("""COMPUTED_VALUE"""),"Tier 3")</f>
        <v>Tier 3</v>
      </c>
      <c r="C272" s="368" t="str">
        <f>IFERROR(__xludf.DUMMYFUNCTION("""COMPUTED_VALUE"""),"Finansavisen (Norway)")</f>
        <v>Finansavisen (Norway)</v>
      </c>
      <c r="D272" s="368" t="str">
        <f>IFERROR(__xludf.DUMMYFUNCTION("""COMPUTED_VALUE"""),"The Russians contributed to a new record")</f>
        <v>The Russians contributed to a new record</v>
      </c>
      <c r="E272" s="507" t="str">
        <f>IFERROR(__xludf.DUMMYFUNCTION("""COMPUTED_VALUE"""),"https://www.finansavisen.no/bolig/2023/01/16/7977177/russerne-bidro-til-ny-rekord?zephr_sso_ott=Ltz99Z")</f>
        <v>https://www.finansavisen.no/bolig/2023/01/16/7977177/russerne-bidro-til-ny-rekord?zephr_sso_ott=Ltz99Z</v>
      </c>
      <c r="F272" s="368" t="str">
        <f>IFERROR(__xludf.DUMMYFUNCTION("""COMPUTED_VALUE"""),"Betterhomes")</f>
        <v>Betterhomes</v>
      </c>
    </row>
    <row r="273">
      <c r="A273" s="402">
        <f>IFERROR(__xludf.DUMMYFUNCTION("""COMPUTED_VALUE"""),44942.0)</f>
        <v>44942</v>
      </c>
      <c r="B273" s="368" t="str">
        <f>IFERROR(__xludf.DUMMYFUNCTION("""COMPUTED_VALUE"""),"Tier 3")</f>
        <v>Tier 3</v>
      </c>
      <c r="C273" s="368" t="str">
        <f>IFERROR(__xludf.DUMMYFUNCTION("""COMPUTED_VALUE"""),"Samaa")</f>
        <v>Samaa</v>
      </c>
      <c r="D273" s="368" t="str">
        <f>IFERROR(__xludf.DUMMYFUNCTION("""COMPUTED_VALUE"""),"Dubai real estate transactions hit record high")</f>
        <v>Dubai real estate transactions hit record high</v>
      </c>
      <c r="E273" s="507" t="str">
        <f>IFERROR(__xludf.DUMMYFUNCTION("""COMPUTED_VALUE"""),"https://www.samaaenglish.tv/news/40025569")</f>
        <v>https://www.samaaenglish.tv/news/40025569</v>
      </c>
      <c r="F273" s="368" t="str">
        <f>IFERROR(__xludf.DUMMYFUNCTION("""COMPUTED_VALUE"""),"Betterhomes")</f>
        <v>Betterhomes</v>
      </c>
    </row>
    <row r="274">
      <c r="A274" s="402">
        <f>IFERROR(__xludf.DUMMYFUNCTION("""COMPUTED_VALUE"""),44942.0)</f>
        <v>44942</v>
      </c>
      <c r="B274" s="368" t="str">
        <f>IFERROR(__xludf.DUMMYFUNCTION("""COMPUTED_VALUE"""),"Tier 1")</f>
        <v>Tier 1</v>
      </c>
      <c r="C274" s="368" t="str">
        <f>IFERROR(__xludf.DUMMYFUNCTION("""COMPUTED_VALUE"""),"Bloomberg")</f>
        <v>Bloomberg</v>
      </c>
      <c r="D274" s="368" t="str">
        <f>IFERROR(__xludf.DUMMYFUNCTION("""COMPUTED_VALUE"""),"Egyptian Pound’s Dramatic Plunge")</f>
        <v>Egyptian Pound’s Dramatic Plunge</v>
      </c>
      <c r="E274" s="507" t="str">
        <f>IFERROR(__xludf.DUMMYFUNCTION("""COMPUTED_VALUE"""),"https://www.bloomberg.com/news/newsletters/2023-01-16/egypt-pound-s-egp-usd-plunge-dubai-s-housing-boom-erdogan-s-nato-moves")</f>
        <v>https://www.bloomberg.com/news/newsletters/2023-01-16/egypt-pound-s-egp-usd-plunge-dubai-s-housing-boom-erdogan-s-nato-moves</v>
      </c>
      <c r="F274" s="368" t="str">
        <f>IFERROR(__xludf.DUMMYFUNCTION("""COMPUTED_VALUE"""),"Betterhomes")</f>
        <v>Betterhomes</v>
      </c>
    </row>
    <row r="275">
      <c r="A275" s="402">
        <f>IFERROR(__xludf.DUMMYFUNCTION("""COMPUTED_VALUE"""),44942.0)</f>
        <v>44942</v>
      </c>
      <c r="B275" s="368" t="str">
        <f>IFERROR(__xludf.DUMMYFUNCTION("""COMPUTED_VALUE"""),"Tier 1")</f>
        <v>Tier 1</v>
      </c>
      <c r="C275" s="368" t="str">
        <f>IFERROR(__xludf.DUMMYFUNCTION("""COMPUTED_VALUE"""),"Bloomberg")</f>
        <v>Bloomberg</v>
      </c>
      <c r="D275" s="368" t="str">
        <f>IFERROR(__xludf.DUMMYFUNCTION("""COMPUTED_VALUE"""),"Dubai property deals surge 76% to $144bln in 2022")</f>
        <v>Dubai property deals surge 76% to $144bln in 2022</v>
      </c>
      <c r="E275" s="507" t="str">
        <f>IFERROR(__xludf.DUMMYFUNCTION("""COMPUTED_VALUE"""),"https://www.bloomberg.com/news/articles/2023-01-16/russian-buyers-help-to-propel-dubai-s-property-sales-to-record")</f>
        <v>https://www.bloomberg.com/news/articles/2023-01-16/russian-buyers-help-to-propel-dubai-s-property-sales-to-record</v>
      </c>
      <c r="F275" s="368" t="str">
        <f>IFERROR(__xludf.DUMMYFUNCTION("""COMPUTED_VALUE"""),"Betterhomes")</f>
        <v>Betterhomes</v>
      </c>
    </row>
    <row r="276">
      <c r="A276" s="402">
        <f>IFERROR(__xludf.DUMMYFUNCTION("""COMPUTED_VALUE"""),44942.0)</f>
        <v>44942</v>
      </c>
      <c r="B276" s="368" t="str">
        <f>IFERROR(__xludf.DUMMYFUNCTION("""COMPUTED_VALUE"""),"Tier 2")</f>
        <v>Tier 2</v>
      </c>
      <c r="C276" s="368" t="str">
        <f>IFERROR(__xludf.DUMMYFUNCTION("""COMPUTED_VALUE"""),"Zawya ")</f>
        <v>Zawya </v>
      </c>
      <c r="D276" s="368" t="str">
        <f>IFERROR(__xludf.DUMMYFUNCTION("""COMPUTED_VALUE"""),"Dubai property price rises seen slowing further in 2023 - Betterhomes")</f>
        <v>Dubai property price rises seen slowing further in 2023 - Betterhomes</v>
      </c>
      <c r="E276" s="507" t="str">
        <f>IFERROR(__xludf.DUMMYFUNCTION("""COMPUTED_VALUE"""),"https://www.zawya.com/en/business/real-estate/dubai-property-price-rises-seen-slowing-further-in-2023-betterhomes-o3nd1qy9")</f>
        <v>https://www.zawya.com/en/business/real-estate/dubai-property-price-rises-seen-slowing-further-in-2023-betterhomes-o3nd1qy9</v>
      </c>
      <c r="F276" s="368" t="str">
        <f>IFERROR(__xludf.DUMMYFUNCTION("""COMPUTED_VALUE"""),"Betterhomes")</f>
        <v>Betterhomes</v>
      </c>
    </row>
    <row r="277">
      <c r="A277" s="402">
        <f>IFERROR(__xludf.DUMMYFUNCTION("""COMPUTED_VALUE"""),44943.0)</f>
        <v>44943</v>
      </c>
      <c r="B277" s="368" t="str">
        <f>IFERROR(__xludf.DUMMYFUNCTION("""COMPUTED_VALUE"""),"Tier 2")</f>
        <v>Tier 2</v>
      </c>
      <c r="C277" s="368" t="str">
        <f>IFERROR(__xludf.DUMMYFUNCTION("""COMPUTED_VALUE"""),"Arabian Business")</f>
        <v>Arabian Business</v>
      </c>
      <c r="D277" s="368" t="str">
        <f>IFERROR(__xludf.DUMMYFUNCTION("""COMPUTED_VALUE"""),"Russia chases Saudi Arabia, Bahrain, Oman visa-free entry: Diplomat")</f>
        <v>Russia chases Saudi Arabia, Bahrain, Oman visa-free entry: Diplomat</v>
      </c>
      <c r="E277" s="507" t="str">
        <f>IFERROR(__xludf.DUMMYFUNCTION("""COMPUTED_VALUE"""),"https://www.arabianbusiness.com/industries/travel-hospitality/russia-chases-saudi-arabia-bahrain-oman-visa-free-entry-diplomat")</f>
        <v>https://www.arabianbusiness.com/industries/travel-hospitality/russia-chases-saudi-arabia-bahrain-oman-visa-free-entry-diplomat</v>
      </c>
      <c r="F277" s="368" t="str">
        <f>IFERROR(__xludf.DUMMYFUNCTION("""COMPUTED_VALUE"""),"Betterhomes")</f>
        <v>Betterhomes</v>
      </c>
    </row>
    <row r="278">
      <c r="A278" s="402">
        <f>IFERROR(__xludf.DUMMYFUNCTION("""COMPUTED_VALUE"""),44943.0)</f>
        <v>44943</v>
      </c>
      <c r="B278" s="368" t="str">
        <f>IFERROR(__xludf.DUMMYFUNCTION("""COMPUTED_VALUE"""),"Tier 2")</f>
        <v>Tier 2</v>
      </c>
      <c r="C278" s="368" t="str">
        <f>IFERROR(__xludf.DUMMYFUNCTION("""COMPUTED_VALUE"""),"Gulf News")</f>
        <v>Gulf News</v>
      </c>
      <c r="D278" s="368" t="str">
        <f>IFERROR(__xludf.DUMMYFUNCTION("""COMPUTED_VALUE"""),"More Dubai landlords now want one-cheque payments with their rental deals")</f>
        <v>More Dubai landlords now want one-cheque payments with their rental deals</v>
      </c>
      <c r="E278" s="507" t="str">
        <f>IFERROR(__xludf.DUMMYFUNCTION("""COMPUTED_VALUE"""),"https://gulfnews.com/business/property/more-dubai-landlords-now-want-one-cheque-payments-with-their-rental-deals-1.1673930156220")</f>
        <v>https://gulfnews.com/business/property/more-dubai-landlords-now-want-one-cheque-payments-with-their-rental-deals-1.1673930156220</v>
      </c>
      <c r="F278" s="368" t="str">
        <f>IFERROR(__xludf.DUMMYFUNCTION("""COMPUTED_VALUE"""),"Betterhomes")</f>
        <v>Betterhomes</v>
      </c>
    </row>
    <row r="279">
      <c r="A279" s="402">
        <f>IFERROR(__xludf.DUMMYFUNCTION("""COMPUTED_VALUE"""),44944.0)</f>
        <v>44944</v>
      </c>
      <c r="B279" s="368" t="str">
        <f>IFERROR(__xludf.DUMMYFUNCTION("""COMPUTED_VALUE"""),"Tier 3")</f>
        <v>Tier 3</v>
      </c>
      <c r="C279" s="368" t="str">
        <f>IFERROR(__xludf.DUMMYFUNCTION("""COMPUTED_VALUE"""),"Banking News (Greece)")</f>
        <v>Banking News (Greece)</v>
      </c>
      <c r="D279" s="368" t="str">
        <f>IFERROR(__xludf.DUMMYFUNCTION("""COMPUTED_VALUE"""),"What are Russians looking for in Dubai? - The sheikh's role in Moscow-Kiev relations")</f>
        <v>What are Russians looking for in Dubai? - The sheikh's role in Moscow-Kiev relations</v>
      </c>
      <c r="E279" s="507" t="str">
        <f>IFERROR(__xludf.DUMMYFUNCTION("""COMPUTED_VALUE"""),"https://www.bankingnews.gr/diethni/articles/661165/ti-anazitoyn-oi-rosoi-sto-doumpai-o-rolos-tou-seixi-stis-sxeseis-mosxas-kievou")</f>
        <v>https://www.bankingnews.gr/diethni/articles/661165/ti-anazitoyn-oi-rosoi-sto-doumpai-o-rolos-tou-seixi-stis-sxeseis-mosxas-kievou</v>
      </c>
      <c r="F279" s="368" t="str">
        <f>IFERROR(__xludf.DUMMYFUNCTION("""COMPUTED_VALUE"""),"Betterhomes")</f>
        <v>Betterhomes</v>
      </c>
    </row>
    <row r="280">
      <c r="A280" s="402">
        <f>IFERROR(__xludf.DUMMYFUNCTION("""COMPUTED_VALUE"""),44944.0)</f>
        <v>44944</v>
      </c>
      <c r="B280" s="368" t="str">
        <f>IFERROR(__xludf.DUMMYFUNCTION("""COMPUTED_VALUE"""),"Tier 3")</f>
        <v>Tier 3</v>
      </c>
      <c r="C280" s="368" t="str">
        <f>IFERROR(__xludf.DUMMYFUNCTION("""COMPUTED_VALUE"""),"Kaz Inform (Russia)")</f>
        <v>Kaz Inform (Russia)</v>
      </c>
      <c r="D280" s="368" t="str">
        <f>IFERROR(__xludf.DUMMYFUNCTION("""COMPUTED_VALUE"""),"Dubai real estate market breaks records: why it happened and what to expect in 2023")</f>
        <v>Dubai real estate market breaks records: why it happened and what to expect in 2023</v>
      </c>
      <c r="E280" s="507" t="str">
        <f>IFERROR(__xludf.DUMMYFUNCTION("""COMPUTED_VALUE"""),"https://www.inform.kz/ru/rynok-nedvizhimosti-dubaya-b-et-rekordy-pochemu-eto-sluchilos-i-chego-zhdat-v-2023-godu_a4025063")</f>
        <v>https://www.inform.kz/ru/rynok-nedvizhimosti-dubaya-b-et-rekordy-pochemu-eto-sluchilos-i-chego-zhdat-v-2023-godu_a4025063</v>
      </c>
      <c r="F280" s="368" t="str">
        <f>IFERROR(__xludf.DUMMYFUNCTION("""COMPUTED_VALUE"""),"Betterhomes")</f>
        <v>Betterhomes</v>
      </c>
    </row>
    <row r="281">
      <c r="A281" s="402">
        <f>IFERROR(__xludf.DUMMYFUNCTION("""COMPUTED_VALUE"""),44944.0)</f>
        <v>44944</v>
      </c>
      <c r="B281" s="368" t="str">
        <f>IFERROR(__xludf.DUMMYFUNCTION("""COMPUTED_VALUE"""),"Tier 3")</f>
        <v>Tier 3</v>
      </c>
      <c r="C281" s="368" t="str">
        <f>IFERROR(__xludf.DUMMYFUNCTION("""COMPUTED_VALUE"""),"Russia Matters")</f>
        <v>Russia Matters</v>
      </c>
      <c r="D281" s="368" t="str">
        <f>IFERROR(__xludf.DUMMYFUNCTION("""COMPUTED_VALUE"""),"Russia in Review")</f>
        <v>Russia in Review</v>
      </c>
      <c r="E281" s="507" t="str">
        <f>IFERROR(__xludf.DUMMYFUNCTION("""COMPUTED_VALUE"""),"https://www.russiamatters.org/news/russia-review/russia-review-jan-13-20-2023")</f>
        <v>https://www.russiamatters.org/news/russia-review/russia-review-jan-13-20-2023</v>
      </c>
      <c r="F281" s="368" t="str">
        <f>IFERROR(__xludf.DUMMYFUNCTION("""COMPUTED_VALUE"""),"Betterhomes")</f>
        <v>Betterhomes</v>
      </c>
    </row>
    <row r="282">
      <c r="A282" s="402">
        <f>IFERROR(__xludf.DUMMYFUNCTION("""COMPUTED_VALUE"""),44944.0)</f>
        <v>44944</v>
      </c>
      <c r="B282" s="368" t="str">
        <f>IFERROR(__xludf.DUMMYFUNCTION("""COMPUTED_VALUE"""),"Tier 3")</f>
        <v>Tier 3</v>
      </c>
      <c r="C282" s="368" t="str">
        <f>IFERROR(__xludf.DUMMYFUNCTION("""COMPUTED_VALUE"""),"Toitre (Vietnam)")</f>
        <v>Toitre (Vietnam)</v>
      </c>
      <c r="D282" s="368" t="str">
        <f>IFERROR(__xludf.DUMMYFUNCTION("""COMPUTED_VALUE"""),"Russians drive record Dubai property sales")</f>
        <v>Russians drive record Dubai property sales</v>
      </c>
      <c r="E282" s="507" t="str">
        <f>IFERROR(__xludf.DUMMYFUNCTION("""COMPUTED_VALUE"""),"https://tuoitre.vn/nguoi-nga-thuc-day-doanh-so-ban-bat-dong-san-dubai-dat-ky-luc-20230117142503266.htm")</f>
        <v>https://tuoitre.vn/nguoi-nga-thuc-day-doanh-so-ban-bat-dong-san-dubai-dat-ky-luc-20230117142503266.htm</v>
      </c>
      <c r="F282" s="368" t="str">
        <f>IFERROR(__xludf.DUMMYFUNCTION("""COMPUTED_VALUE"""),"Betterhomes")</f>
        <v>Betterhomes</v>
      </c>
    </row>
    <row r="283">
      <c r="A283" s="402">
        <f>IFERROR(__xludf.DUMMYFUNCTION("""COMPUTED_VALUE"""),44944.0)</f>
        <v>44944</v>
      </c>
      <c r="B283" s="368" t="str">
        <f>IFERROR(__xludf.DUMMYFUNCTION("""COMPUTED_VALUE"""),"Tier 3")</f>
        <v>Tier 3</v>
      </c>
      <c r="C283" s="368" t="str">
        <f>IFERROR(__xludf.DUMMYFUNCTION("""COMPUTED_VALUE"""),"Al Arabyia ")</f>
        <v>Al Arabyia </v>
      </c>
      <c r="D283" s="368" t="str">
        <f>IFERROR(__xludf.DUMMYFUNCTION("""COMPUTED_VALUE"""),"Dubai-based Tabby raises $58 million in funding round, valued at $660 million")</f>
        <v>Dubai-based Tabby raises $58 million in funding round, valued at $660 million</v>
      </c>
      <c r="E283" s="507" t="str">
        <f>IFERROR(__xludf.DUMMYFUNCTION("""COMPUTED_VALUE"""),"https://english.alarabiya.net/business/technology/2023/01/18/Dubai-based-Tabby-raises-58-million-in-funding-round-valued-at-660-million-")</f>
        <v>https://english.alarabiya.net/business/technology/2023/01/18/Dubai-based-Tabby-raises-58-million-in-funding-round-valued-at-660-million-</v>
      </c>
      <c r="F283" s="368" t="str">
        <f>IFERROR(__xludf.DUMMYFUNCTION("""COMPUTED_VALUE"""),"Betterhomes")</f>
        <v>Betterhomes</v>
      </c>
    </row>
    <row r="284">
      <c r="A284" s="402">
        <f>IFERROR(__xludf.DUMMYFUNCTION("""COMPUTED_VALUE"""),44945.0)</f>
        <v>44945</v>
      </c>
      <c r="B284" s="368" t="str">
        <f>IFERROR(__xludf.DUMMYFUNCTION("""COMPUTED_VALUE"""),"Tier 3")</f>
        <v>Tier 3</v>
      </c>
      <c r="C284" s="368" t="str">
        <f>IFERROR(__xludf.DUMMYFUNCTION("""COMPUTED_VALUE"""),"UKR Haber (Turkey)")</f>
        <v>UKR Haber (Turkey)</v>
      </c>
      <c r="D284" s="368" t="str">
        <f>IFERROR(__xludf.DUMMYFUNCTION("""COMPUTED_VALUE"""),"How do Russians influence the global real estate market?")</f>
        <v>How do Russians influence the global real estate market?</v>
      </c>
      <c r="E284" s="507" t="str">
        <f>IFERROR(__xludf.DUMMYFUNCTION("""COMPUTED_VALUE"""),"https://www.ukrhaber.com/blog/ruslar-kuresel-emlak-piyasasini-nasil-etkiliyor/#.Y9j7OXZBy5c")</f>
        <v>https://www.ukrhaber.com/blog/ruslar-kuresel-emlak-piyasasini-nasil-etkiliyor/#.Y9j7OXZBy5c</v>
      </c>
      <c r="F284" s="368" t="str">
        <f>IFERROR(__xludf.DUMMYFUNCTION("""COMPUTED_VALUE"""),"Betterhomes")</f>
        <v>Betterhomes</v>
      </c>
    </row>
    <row r="285">
      <c r="A285" s="402">
        <f>IFERROR(__xludf.DUMMYFUNCTION("""COMPUTED_VALUE"""),44945.0)</f>
        <v>44945</v>
      </c>
      <c r="B285" s="368" t="str">
        <f>IFERROR(__xludf.DUMMYFUNCTION("""COMPUTED_VALUE"""),"Tier 3")</f>
        <v>Tier 3</v>
      </c>
      <c r="C285" s="368" t="str">
        <f>IFERROR(__xludf.DUMMYFUNCTION("""COMPUTED_VALUE"""),"Ziarul National (Romania)")</f>
        <v>Ziarul National (Romania)</v>
      </c>
      <c r="D285" s="368" t="str">
        <f>IFERROR(__xludf.DUMMYFUNCTION("""COMPUTED_VALUE"""),"Luxury with cash. Dubai remains the great real estate haven this year as well")</f>
        <v>Luxury with cash. Dubai remains the great real estate haven this year as well</v>
      </c>
      <c r="E285" s="507" t="str">
        <f>IFERROR(__xludf.DUMMYFUNCTION("""COMPUTED_VALUE"""),"https://www.national.ro/afaceri/lux-cu-bani-gheata-dubai-ramane-marele-refugiu-imobiliar-si-in-acest-an-784646.html")</f>
        <v>https://www.national.ro/afaceri/lux-cu-bani-gheata-dubai-ramane-marele-refugiu-imobiliar-si-in-acest-an-784646.html</v>
      </c>
      <c r="F285" s="368" t="str">
        <f>IFERROR(__xludf.DUMMYFUNCTION("""COMPUTED_VALUE"""),"Betterhomes")</f>
        <v>Betterhomes</v>
      </c>
    </row>
    <row r="286">
      <c r="A286" s="402">
        <f>IFERROR(__xludf.DUMMYFUNCTION("""COMPUTED_VALUE"""),44946.0)</f>
        <v>44946</v>
      </c>
      <c r="B286" s="368" t="str">
        <f>IFERROR(__xludf.DUMMYFUNCTION("""COMPUTED_VALUE"""),"Tier 3")</f>
        <v>Tier 3</v>
      </c>
      <c r="C286" s="368" t="str">
        <f>IFERROR(__xludf.DUMMYFUNCTION("""COMPUTED_VALUE"""),"Interia (Poland)")</f>
        <v>Interia (Poland)</v>
      </c>
      <c r="D286" s="368" t="str">
        <f>IFERROR(__xludf.DUMMYFUNCTION("""COMPUTED_VALUE"""),"Little Russia in Dubai. Escaping Western sanctions fuels the economy")</f>
        <v>Little Russia in Dubai. Escaping Western sanctions fuels the economy</v>
      </c>
      <c r="E286" s="507" t="str">
        <f>IFERROR(__xludf.DUMMYFUNCTION("""COMPUTED_VALUE"""),"https://wydarzenia.interia.pl/raport-media-zagraniczne/news-mala-rosja-w-dubaju-ucieczka-przed-sankcjami-zachodu-napedza,nId,6544444")</f>
        <v>https://wydarzenia.interia.pl/raport-media-zagraniczne/news-mala-rosja-w-dubaju-ucieczka-przed-sankcjami-zachodu-napedza,nId,6544444</v>
      </c>
      <c r="F286" s="368" t="str">
        <f>IFERROR(__xludf.DUMMYFUNCTION("""COMPUTED_VALUE"""),"Betterhomes")</f>
        <v>Betterhomes</v>
      </c>
    </row>
    <row r="287">
      <c r="A287" s="402">
        <f>IFERROR(__xludf.DUMMYFUNCTION("""COMPUTED_VALUE"""),44948.0)</f>
        <v>44948</v>
      </c>
      <c r="B287" s="368" t="str">
        <f>IFERROR(__xludf.DUMMYFUNCTION("""COMPUTED_VALUE"""),"Tier 3")</f>
        <v>Tier 3</v>
      </c>
      <c r="C287" s="368" t="str">
        <f>IFERROR(__xludf.DUMMYFUNCTION("""COMPUTED_VALUE"""),"Gazette Duvar (Turkey)")</f>
        <v>Gazette Duvar (Turkey)</v>
      </c>
      <c r="D287" s="368" t="str">
        <f>IFERROR(__xludf.DUMMYFUNCTION("""COMPUTED_VALUE"""),"Last week in the Russian press: 'Russian citizens bought 16312 real estate in Turkey in 2022'")</f>
        <v>Last week in the Russian press: 'Russian citizens bought 16312 real estate in Turkey in 2022'</v>
      </c>
      <c r="E287" s="507" t="str">
        <f>IFERROR(__xludf.DUMMYFUNCTION("""COMPUTED_VALUE"""),"https://www.gazeteduvar.com.tr/rusya-basininda-gecen-hafta-rusya-vatandaslari-2022de-turkiyede-16312-gayrimenkul-aldilar-haber-1599565")</f>
        <v>https://www.gazeteduvar.com.tr/rusya-basininda-gecen-hafta-rusya-vatandaslari-2022de-turkiyede-16312-gayrimenkul-aldilar-haber-1599565</v>
      </c>
      <c r="F287" s="368" t="str">
        <f>IFERROR(__xludf.DUMMYFUNCTION("""COMPUTED_VALUE"""),"Betterhomes")</f>
        <v>Betterhomes</v>
      </c>
    </row>
    <row r="288">
      <c r="A288" s="402">
        <f>IFERROR(__xludf.DUMMYFUNCTION("""COMPUTED_VALUE"""),44949.0)</f>
        <v>44949</v>
      </c>
      <c r="B288" s="368" t="str">
        <f>IFERROR(__xludf.DUMMYFUNCTION("""COMPUTED_VALUE"""),"Tier 3")</f>
        <v>Tier 3</v>
      </c>
      <c r="C288" s="368" t="str">
        <f>IFERROR(__xludf.DUMMYFUNCTION("""COMPUTED_VALUE"""),"Open PR")</f>
        <v>Open PR</v>
      </c>
      <c r="D288" s="368" t="str">
        <f>IFERROR(__xludf.DUMMYFUNCTION("""COMPUTED_VALUE"""),"UAE Real Estate companies list, engineering firms in dubai, list of engineering companies in abu dhabi, Engineering firms in Dubai, list of Engineering companies in ABU Dhabi, civil engineering consultants in abu dhabi")</f>
        <v>UAE Real Estate companies list, engineering firms in dubai, list of engineering companies in abu dhabi, Engineering firms in Dubai, list of Engineering companies in ABU Dhabi, civil engineering consultants in abu dhabi</v>
      </c>
      <c r="E288" s="507" t="str">
        <f>IFERROR(__xludf.DUMMYFUNCTION("""COMPUTED_VALUE"""),"https://www.openpr.com/news/2893895/uae-real-estate-companies-list-engineering-firms-in-dubai-list")</f>
        <v>https://www.openpr.com/news/2893895/uae-real-estate-companies-list-engineering-firms-in-dubai-list</v>
      </c>
      <c r="F288" s="368" t="str">
        <f>IFERROR(__xludf.DUMMYFUNCTION("""COMPUTED_VALUE"""),"Betterhomes")</f>
        <v>Betterhomes</v>
      </c>
    </row>
    <row r="289">
      <c r="A289" s="402">
        <f>IFERROR(__xludf.DUMMYFUNCTION("""COMPUTED_VALUE"""),44950.0)</f>
        <v>44950</v>
      </c>
      <c r="B289" s="368" t="str">
        <f>IFERROR(__xludf.DUMMYFUNCTION("""COMPUTED_VALUE"""),"Tier 3")</f>
        <v>Tier 3</v>
      </c>
      <c r="C289" s="368" t="str">
        <f>IFERROR(__xludf.DUMMYFUNCTION("""COMPUTED_VALUE"""),"Challenges (France)")</f>
        <v>Challenges (France)</v>
      </c>
      <c r="D289" s="368" t="str">
        <f>IFERROR(__xludf.DUMMYFUNCTION("""COMPUTED_VALUE"""),"Russians are blowing up real estate in Dubai")</f>
        <v>Russians are blowing up real estate in Dubai</v>
      </c>
      <c r="E289" s="507" t="str">
        <f>IFERROR(__xludf.DUMMYFUNCTION("""COMPUTED_VALUE"""),"https://www.challenges.fr/immobilier/l-immobilier-flambe-a-dubai_843005")</f>
        <v>https://www.challenges.fr/immobilier/l-immobilier-flambe-a-dubai_843005</v>
      </c>
      <c r="F289" s="368" t="str">
        <f>IFERROR(__xludf.DUMMYFUNCTION("""COMPUTED_VALUE"""),"Betterhomes")</f>
        <v>Betterhomes</v>
      </c>
    </row>
    <row r="290">
      <c r="A290" s="402">
        <f>IFERROR(__xludf.DUMMYFUNCTION("""COMPUTED_VALUE"""),44951.0)</f>
        <v>44951</v>
      </c>
      <c r="B290" s="368" t="str">
        <f>IFERROR(__xludf.DUMMYFUNCTION("""COMPUTED_VALUE"""),"Tier 2")</f>
        <v>Tier 2</v>
      </c>
      <c r="C290" s="368" t="str">
        <f>IFERROR(__xludf.DUMMYFUNCTION("""COMPUTED_VALUE"""),"The National ")</f>
        <v>The National </v>
      </c>
      <c r="D290" s="368" t="str">
        <f>IFERROR(__xludf.DUMMYFUNCTION("""COMPUTED_VALUE"""),"Dubai property: Top three areas where expats prefer to buy apartments")</f>
        <v>Dubai property: Top three areas where expats prefer to buy apartments</v>
      </c>
      <c r="E290" s="507" t="str">
        <f>IFERROR(__xludf.DUMMYFUNCTION("""COMPUTED_VALUE"""),"https://www.thenationalnews.com/uae/2023/01/25/dubai-property-top-three-areas-where-expats-prefer-to-buy-apartments/")</f>
        <v>https://www.thenationalnews.com/uae/2023/01/25/dubai-property-top-three-areas-where-expats-prefer-to-buy-apartments/</v>
      </c>
      <c r="F290" s="368" t="str">
        <f>IFERROR(__xludf.DUMMYFUNCTION("""COMPUTED_VALUE"""),"Betterhomes")</f>
        <v>Betterhomes</v>
      </c>
    </row>
    <row r="291">
      <c r="A291" s="402">
        <f>IFERROR(__xludf.DUMMYFUNCTION("""COMPUTED_VALUE"""),44951.0)</f>
        <v>44951</v>
      </c>
      <c r="B291" s="368" t="str">
        <f>IFERROR(__xludf.DUMMYFUNCTION("""COMPUTED_VALUE"""),"Tier 2")</f>
        <v>Tier 2</v>
      </c>
      <c r="C291" s="368" t="str">
        <f>IFERROR(__xludf.DUMMYFUNCTION("""COMPUTED_VALUE"""),"Zawya ")</f>
        <v>Zawya </v>
      </c>
      <c r="D291" s="368" t="str">
        <f>IFERROR(__xludf.DUMMYFUNCTION("""COMPUTED_VALUE"""),"Dubai property deals surge 76% to $144bln in 2022")</f>
        <v>Dubai property deals surge 76% to $144bln in 2022</v>
      </c>
      <c r="E291" s="507" t="str">
        <f>IFERROR(__xludf.DUMMYFUNCTION("""COMPUTED_VALUE"""),"https://www.zawya.com/en/business/real-estate/dubai-property-deals-surge-76-to-144bln-in-2022-spwo2ai5")</f>
        <v>https://www.zawya.com/en/business/real-estate/dubai-property-deals-surge-76-to-144bln-in-2022-spwo2ai5</v>
      </c>
      <c r="F291" s="368" t="str">
        <f>IFERROR(__xludf.DUMMYFUNCTION("""COMPUTED_VALUE"""),"Betterhomes")</f>
        <v>Betterhomes</v>
      </c>
    </row>
    <row r="292">
      <c r="A292" s="402">
        <f>IFERROR(__xludf.DUMMYFUNCTION("""COMPUTED_VALUE"""),44953.0)</f>
        <v>44953</v>
      </c>
      <c r="B292" s="368" t="str">
        <f>IFERROR(__xludf.DUMMYFUNCTION("""COMPUTED_VALUE"""),"Tier 3")</f>
        <v>Tier 3</v>
      </c>
      <c r="C292" s="368" t="str">
        <f>IFERROR(__xludf.DUMMYFUNCTION("""COMPUTED_VALUE"""),"El Correo de Golfo (Spain)")</f>
        <v>El Correo de Golfo (Spain)</v>
      </c>
      <c r="D292" s="368" t="str">
        <f>IFERROR(__xludf.DUMMYFUNCTION("""COMPUTED_VALUE"""),"Learn about the three areas of Dubai where expats buy apartments")</f>
        <v>Learn about the three areas of Dubai where expats buy apartments</v>
      </c>
      <c r="E292" s="507" t="str">
        <f>IFERROR(__xludf.DUMMYFUNCTION("""COMPUTED_VALUE"""),"https://www.elcorreo.ae/articulo/economia/conozca-zonas-dubai-donde-expatriados-compran-apartamentos/20230127092502152882.html")</f>
        <v>https://www.elcorreo.ae/articulo/economia/conozca-zonas-dubai-donde-expatriados-compran-apartamentos/20230127092502152882.html</v>
      </c>
      <c r="F292" s="368" t="str">
        <f>IFERROR(__xludf.DUMMYFUNCTION("""COMPUTED_VALUE"""),"Betterhomes")</f>
        <v>Betterhomes</v>
      </c>
    </row>
    <row r="293">
      <c r="A293" s="402">
        <f>IFERROR(__xludf.DUMMYFUNCTION("""COMPUTED_VALUE"""),44953.0)</f>
        <v>44953</v>
      </c>
      <c r="B293" s="368" t="str">
        <f>IFERROR(__xludf.DUMMYFUNCTION("""COMPUTED_VALUE"""),"Tier 2")</f>
        <v>Tier 2</v>
      </c>
      <c r="C293" s="368" t="str">
        <f>IFERROR(__xludf.DUMMYFUNCTION("""COMPUTED_VALUE"""),"Zawya ")</f>
        <v>Zawya </v>
      </c>
      <c r="D293" s="368" t="str">
        <f>IFERROR(__xludf.DUMMYFUNCTION("""COMPUTED_VALUE"""),"Dubai realtor haus &amp; haus eyes expansion; to hire 150 new staff")</f>
        <v>Dubai realtor haus &amp; haus eyes expansion; to hire 150 new staff</v>
      </c>
      <c r="E293" s="507" t="str">
        <f>IFERROR(__xludf.DUMMYFUNCTION("""COMPUTED_VALUE"""),"https://www.zawya.com/en/business/real-estate/dubai-realtor-haus-and-haus-eyes-expansion-to-hire-150-new-staff-r6be9cf7")</f>
        <v>https://www.zawya.com/en/business/real-estate/dubai-realtor-haus-and-haus-eyes-expansion-to-hire-150-new-staff-r6be9cf7</v>
      </c>
      <c r="F293" s="368" t="str">
        <f>IFERROR(__xludf.DUMMYFUNCTION("""COMPUTED_VALUE"""),"Betterhomes")</f>
        <v>Betterhomes</v>
      </c>
    </row>
    <row r="294">
      <c r="A294" s="402">
        <f>IFERROR(__xludf.DUMMYFUNCTION("""COMPUTED_VALUE"""),44957.0)</f>
        <v>44957</v>
      </c>
      <c r="B294" s="368" t="str">
        <f>IFERROR(__xludf.DUMMYFUNCTION("""COMPUTED_VALUE"""),"Tier 3")</f>
        <v>Tier 3</v>
      </c>
      <c r="C294" s="368" t="str">
        <f>IFERROR(__xludf.DUMMYFUNCTION("""COMPUTED_VALUE"""),"ABC Money ")</f>
        <v>ABC Money </v>
      </c>
      <c r="D294" s="368" t="str">
        <f>IFERROR(__xludf.DUMMYFUNCTION("""COMPUTED_VALUE"""),"Sheikh Youssef Al Shelash Discusses Trends and Upcoming Developments in the Middle East")</f>
        <v>Sheikh Youssef Al Shelash Discusses Trends and Upcoming Developments in the Middle East</v>
      </c>
      <c r="E294" s="507" t="str">
        <f>IFERROR(__xludf.DUMMYFUNCTION("""COMPUTED_VALUE"""),"https://www.abcmoney.co.uk/2023/01/sheikh-youssef-al-shelash-discusses-trends-and-upcoming-developments-in-the-middle-east/")</f>
        <v>https://www.abcmoney.co.uk/2023/01/sheikh-youssef-al-shelash-discusses-trends-and-upcoming-developments-in-the-middle-east/</v>
      </c>
      <c r="F294" s="368" t="str">
        <f>IFERROR(__xludf.DUMMYFUNCTION("""COMPUTED_VALUE"""),"Betterhomes")</f>
        <v>Betterhomes</v>
      </c>
    </row>
    <row r="295">
      <c r="A295" s="402">
        <f>IFERROR(__xludf.DUMMYFUNCTION("""COMPUTED_VALUE"""),44960.0)</f>
        <v>44960</v>
      </c>
      <c r="B295" s="368" t="str">
        <f>IFERROR(__xludf.DUMMYFUNCTION("""COMPUTED_VALUE"""),"Tier 3")</f>
        <v>Tier 3</v>
      </c>
      <c r="C295" s="368" t="str">
        <f>IFERROR(__xludf.DUMMYFUNCTION("""COMPUTED_VALUE"""),"The DoGoodPress")</f>
        <v>The DoGoodPress</v>
      </c>
      <c r="D295" s="368" t="str">
        <f>IFERROR(__xludf.DUMMYFUNCTION("""COMPUTED_VALUE"""),"Ryan Mahoney (Dubai, UAE): Dubai’s Secondary Real Estate Market Boom")</f>
        <v>Ryan Mahoney (Dubai, UAE): Dubai’s Secondary Real Estate Market Boom</v>
      </c>
      <c r="E295" s="507" t="str">
        <f>IFERROR(__xludf.DUMMYFUNCTION("""COMPUTED_VALUE"""),"https://thedogoodpress.com/property/4836/ryan-mahoney-dubai-uae-dubais-secondary-real-estate-market-boom/")</f>
        <v>https://thedogoodpress.com/property/4836/ryan-mahoney-dubai-uae-dubais-secondary-real-estate-market-boom/</v>
      </c>
      <c r="F295" s="368" t="str">
        <f>IFERROR(__xludf.DUMMYFUNCTION("""COMPUTED_VALUE"""),"Betterhomes")</f>
        <v>Betterhomes</v>
      </c>
    </row>
    <row r="296">
      <c r="A296" s="402">
        <f>IFERROR(__xludf.DUMMYFUNCTION("""COMPUTED_VALUE"""),44963.0)</f>
        <v>44963</v>
      </c>
      <c r="B296" s="368" t="str">
        <f>IFERROR(__xludf.DUMMYFUNCTION("""COMPUTED_VALUE"""),"Tier 2")</f>
        <v>Tier 2</v>
      </c>
      <c r="C296" s="368" t="str">
        <f>IFERROR(__xludf.DUMMYFUNCTION("""COMPUTED_VALUE"""),"Zawya ")</f>
        <v>Zawya </v>
      </c>
      <c r="D296" s="368" t="str">
        <f>IFERROR(__xludf.DUMMYFUNCTION("""COMPUTED_VALUE"""),"Five cheapest places to rent a flat in Dubai")</f>
        <v>Five cheapest places to rent a flat in Dubai</v>
      </c>
      <c r="E296" s="507" t="str">
        <f>IFERROR(__xludf.DUMMYFUNCTION("""COMPUTED_VALUE"""),"https://www.zawya.com/en/business/real-estate/five-cheapest-places-to-rent-a-flat-in-dubai-g1kn1kd8")</f>
        <v>https://www.zawya.com/en/business/real-estate/five-cheapest-places-to-rent-a-flat-in-dubai-g1kn1kd8</v>
      </c>
      <c r="F296" s="368" t="str">
        <f>IFERROR(__xludf.DUMMYFUNCTION("""COMPUTED_VALUE"""),"Betterhomes")</f>
        <v>Betterhomes</v>
      </c>
    </row>
    <row r="297">
      <c r="A297" s="402">
        <f>IFERROR(__xludf.DUMMYFUNCTION("""COMPUTED_VALUE"""),44963.0)</f>
        <v>44963</v>
      </c>
      <c r="B297" s="368" t="str">
        <f>IFERROR(__xludf.DUMMYFUNCTION("""COMPUTED_VALUE"""),"Tier 2")</f>
        <v>Tier 2</v>
      </c>
      <c r="C297" s="368" t="str">
        <f>IFERROR(__xludf.DUMMYFUNCTION("""COMPUTED_VALUE"""),"Khaleej Times")</f>
        <v>Khaleej Times</v>
      </c>
      <c r="D297" s="368" t="str">
        <f>IFERROR(__xludf.DUMMYFUNCTION("""COMPUTED_VALUE"""),"Dubai: Tenants could negotiate monthly rent payments with new direct debit system")</f>
        <v>Dubai: Tenants could negotiate monthly rent payments with new direct debit system</v>
      </c>
      <c r="E297" s="507" t="str">
        <f>IFERROR(__xludf.DUMMYFUNCTION("""COMPUTED_VALUE"""),"https://www.khaleejtimes.com/business/property/dubai-tenants-could-negotiate-monthly-rent-payments-with-new-direct-debit-system")</f>
        <v>https://www.khaleejtimes.com/business/property/dubai-tenants-could-negotiate-monthly-rent-payments-with-new-direct-debit-system</v>
      </c>
      <c r="F297" s="368" t="str">
        <f>IFERROR(__xludf.DUMMYFUNCTION("""COMPUTED_VALUE"""),"Betterhomes")</f>
        <v>Betterhomes</v>
      </c>
    </row>
    <row r="298">
      <c r="A298" s="402">
        <f>IFERROR(__xludf.DUMMYFUNCTION("""COMPUTED_VALUE"""),44964.0)</f>
        <v>44964</v>
      </c>
      <c r="B298" s="368" t="str">
        <f>IFERROR(__xludf.DUMMYFUNCTION("""COMPUTED_VALUE"""),"Tier 1")</f>
        <v>Tier 1</v>
      </c>
      <c r="C298" s="368" t="str">
        <f>IFERROR(__xludf.DUMMYFUNCTION("""COMPUTED_VALUE"""),"Bloomberg")</f>
        <v>Bloomberg</v>
      </c>
      <c r="D298" s="368" t="str">
        <f>IFERROR(__xludf.DUMMYFUNCTION("""COMPUTED_VALUE"""),"UAE grants banking license to Russia’s MTS Bank")</f>
        <v>UAE grants banking license to Russia’s MTS Bank</v>
      </c>
      <c r="E298" s="507" t="str">
        <f>IFERROR(__xludf.DUMMYFUNCTION("""COMPUTED_VALUE"""),"https://www.bloomberg.com/news/articles/2023-02-08/uae-grants-banking-license-to-russia-s-mts-bank")</f>
        <v>https://www.bloomberg.com/news/articles/2023-02-08/uae-grants-banking-license-to-russia-s-mts-bank</v>
      </c>
      <c r="F298" s="368" t="str">
        <f>IFERROR(__xludf.DUMMYFUNCTION("""COMPUTED_VALUE"""),"Betterhomes")</f>
        <v>Betterhomes</v>
      </c>
    </row>
    <row r="299">
      <c r="A299" s="402">
        <f>IFERROR(__xludf.DUMMYFUNCTION("""COMPUTED_VALUE"""),44965.0)</f>
        <v>44965</v>
      </c>
      <c r="B299" s="368" t="str">
        <f>IFERROR(__xludf.DUMMYFUNCTION("""COMPUTED_VALUE"""),"Tier 2")</f>
        <v>Tier 2</v>
      </c>
      <c r="C299" s="368" t="str">
        <f>IFERROR(__xludf.DUMMYFUNCTION("""COMPUTED_VALUE"""),"Khaleej Times")</f>
        <v>Khaleej Times</v>
      </c>
      <c r="D299" s="368" t="str">
        <f>IFERROR(__xludf.DUMMYFUNCTION("""COMPUTED_VALUE"""),"UAE central bank granted licence to Russia’s MTS bank")</f>
        <v>UAE central bank granted licence to Russia’s MTS bank</v>
      </c>
      <c r="E299" s="507" t="str">
        <f>IFERROR(__xludf.DUMMYFUNCTION("""COMPUTED_VALUE"""),"https://www.khaleejtimes.com/business/uae-central-bank-granted-licence-to-russias-mts-bank")</f>
        <v>https://www.khaleejtimes.com/business/uae-central-bank-granted-licence-to-russias-mts-bank</v>
      </c>
      <c r="F299" s="368" t="str">
        <f>IFERROR(__xludf.DUMMYFUNCTION("""COMPUTED_VALUE"""),"Betterhomes")</f>
        <v>Betterhomes</v>
      </c>
    </row>
    <row r="300">
      <c r="A300" s="402">
        <f>IFERROR(__xludf.DUMMYFUNCTION("""COMPUTED_VALUE"""),44965.0)</f>
        <v>44965</v>
      </c>
      <c r="B300" s="368" t="str">
        <f>IFERROR(__xludf.DUMMYFUNCTION("""COMPUTED_VALUE"""),"Tier 1")</f>
        <v>Tier 1</v>
      </c>
      <c r="C300" s="368" t="str">
        <f>IFERROR(__xludf.DUMMYFUNCTION("""COMPUTED_VALUE"""),"Reuters")</f>
        <v>Reuters</v>
      </c>
      <c r="D300" s="368" t="str">
        <f>IFERROR(__xludf.DUMMYFUNCTION("""COMPUTED_VALUE"""),"Russia's MTS bank has UAE licence -central bank website")</f>
        <v>Russia's MTS bank has UAE licence -central bank website</v>
      </c>
      <c r="E300" s="507" t="str">
        <f>IFERROR(__xludf.DUMMYFUNCTION("""COMPUTED_VALUE"""),"https://www.reuters.com/business/finance/russias-mts-bank-has-uae-licence-central-bank-website-2023-02-08/")</f>
        <v>https://www.reuters.com/business/finance/russias-mts-bank-has-uae-licence-central-bank-website-2023-02-08/</v>
      </c>
      <c r="F300" s="368" t="str">
        <f>IFERROR(__xludf.DUMMYFUNCTION("""COMPUTED_VALUE"""),"Betterhomes")</f>
        <v>Betterhomes</v>
      </c>
    </row>
    <row r="301">
      <c r="A301" s="402">
        <f>IFERROR(__xludf.DUMMYFUNCTION("""COMPUTED_VALUE"""),44966.0)</f>
        <v>44966</v>
      </c>
      <c r="B301" s="368" t="str">
        <f>IFERROR(__xludf.DUMMYFUNCTION("""COMPUTED_VALUE"""),"Tier 2")</f>
        <v>Tier 2</v>
      </c>
      <c r="C301" s="368" t="str">
        <f>IFERROR(__xludf.DUMMYFUNCTION("""COMPUTED_VALUE"""),"Al Arabiya")</f>
        <v>Al Arabiya</v>
      </c>
      <c r="D301" s="368" t="str">
        <f>IFERROR(__xludf.DUMMYFUNCTION("""COMPUTED_VALUE"""),"UAE grants banking license to Russia’s MTS Bank")</f>
        <v>UAE grants banking license to Russia’s MTS Bank</v>
      </c>
      <c r="E301" s="507" t="str">
        <f>IFERROR(__xludf.DUMMYFUNCTION("""COMPUTED_VALUE"""),"https://english.alarabiya.net/News/gulf/2023/02/09/UAE-grants-banking-license-to-Russia-s-MTS-Bank")</f>
        <v>https://english.alarabiya.net/News/gulf/2023/02/09/UAE-grants-banking-license-to-Russia-s-MTS-Bank</v>
      </c>
      <c r="F301" s="368" t="str">
        <f>IFERROR(__xludf.DUMMYFUNCTION("""COMPUTED_VALUE"""),"Betterhomes")</f>
        <v>Betterhomes</v>
      </c>
    </row>
    <row r="302">
      <c r="A302" s="402">
        <f>IFERROR(__xludf.DUMMYFUNCTION("""COMPUTED_VALUE"""),44970.0)</f>
        <v>44970</v>
      </c>
      <c r="B302" s="368" t="str">
        <f>IFERROR(__xludf.DUMMYFUNCTION("""COMPUTED_VALUE"""),"Tier 3")</f>
        <v>Tier 3</v>
      </c>
      <c r="C302" s="368" t="str">
        <f>IFERROR(__xludf.DUMMYFUNCTION("""COMPUTED_VALUE"""),"ABC News")</f>
        <v>ABC News</v>
      </c>
      <c r="D302" s="368" t="str">
        <f>IFERROR(__xludf.DUMMYFUNCTION("""COMPUTED_VALUE"""),"Dubai boom sees Russian cash, high rents and reborn projects")</f>
        <v>Dubai boom sees Russian cash, high rents and reborn projects</v>
      </c>
      <c r="E302" s="507" t="str">
        <f>IFERROR(__xludf.DUMMYFUNCTION("""COMPUTED_VALUE"""),"https://abcnews.go.com/Business/wireStory/dubai-boom-sees-russian-cash-high-rents-reborn-97074165")</f>
        <v>https://abcnews.go.com/Business/wireStory/dubai-boom-sees-russian-cash-high-rents-reborn-97074165</v>
      </c>
      <c r="F302" s="368" t="str">
        <f>IFERROR(__xludf.DUMMYFUNCTION("""COMPUTED_VALUE"""),"Betterhomes")</f>
        <v>Betterhomes</v>
      </c>
    </row>
    <row r="303">
      <c r="A303" s="402">
        <f>IFERROR(__xludf.DUMMYFUNCTION("""COMPUTED_VALUE"""),44970.0)</f>
        <v>44970</v>
      </c>
      <c r="B303" s="368" t="str">
        <f>IFERROR(__xludf.DUMMYFUNCTION("""COMPUTED_VALUE"""),"Tier 3")</f>
        <v>Tier 3</v>
      </c>
      <c r="C303" s="368" t="str">
        <f>IFERROR(__xludf.DUMMYFUNCTION("""COMPUTED_VALUE"""),"VOA News")</f>
        <v>VOA News</v>
      </c>
      <c r="D303" s="368" t="str">
        <f>IFERROR(__xludf.DUMMYFUNCTION("""COMPUTED_VALUE"""),"Latest Developments in Ukraine")</f>
        <v>Latest Developments in Ukraine</v>
      </c>
      <c r="E303" s="507" t="str">
        <f>IFERROR(__xludf.DUMMYFUNCTION("""COMPUTED_VALUE"""),"https://www.voanews.com/a/latest-developments-in-ukraine-feb-13/6960220.html")</f>
        <v>https://www.voanews.com/a/latest-developments-in-ukraine-feb-13/6960220.html</v>
      </c>
      <c r="F303" s="368" t="str">
        <f>IFERROR(__xludf.DUMMYFUNCTION("""COMPUTED_VALUE"""),"Betterhomes")</f>
        <v>Betterhomes</v>
      </c>
    </row>
    <row r="304">
      <c r="A304" s="402">
        <f>IFERROR(__xludf.DUMMYFUNCTION("""COMPUTED_VALUE"""),44970.0)</f>
        <v>44970</v>
      </c>
      <c r="B304" s="368" t="str">
        <f>IFERROR(__xludf.DUMMYFUNCTION("""COMPUTED_VALUE"""),"Tier 3")</f>
        <v>Tier 3</v>
      </c>
      <c r="C304" s="368" t="str">
        <f>IFERROR(__xludf.DUMMYFUNCTION("""COMPUTED_VALUE"""),"Blue News (Germany)")</f>
        <v>Blue News (Germany)</v>
      </c>
      <c r="D304" s="368" t="str">
        <f>IFERROR(__xludf.DUMMYFUNCTION("""COMPUTED_VALUE"""),"How Dubai once again benefits from a crisis")</f>
        <v>How Dubai once again benefits from a crisis</v>
      </c>
      <c r="E304" s="507" t="str">
        <f>IFERROR(__xludf.DUMMYFUNCTION("""COMPUTED_VALUE"""),"https://www.bluewin.ch/de/news/international/wie-dubai-wieder-einmal-von-einer-krise-profitiert-1628020.html")</f>
        <v>https://www.bluewin.ch/de/news/international/wie-dubai-wieder-einmal-von-einer-krise-profitiert-1628020.html</v>
      </c>
      <c r="F304" s="368" t="str">
        <f>IFERROR(__xludf.DUMMYFUNCTION("""COMPUTED_VALUE"""),"Betterhomes")</f>
        <v>Betterhomes</v>
      </c>
    </row>
    <row r="305">
      <c r="A305" s="402">
        <f>IFERROR(__xludf.DUMMYFUNCTION("""COMPUTED_VALUE"""),44970.0)</f>
        <v>44970</v>
      </c>
      <c r="B305" s="368" t="str">
        <f>IFERROR(__xludf.DUMMYFUNCTION("""COMPUTED_VALUE"""),"Tier 3")</f>
        <v>Tier 3</v>
      </c>
      <c r="C305" s="368" t="str">
        <f>IFERROR(__xludf.DUMMYFUNCTION("""COMPUTED_VALUE"""),"Biz Live (Vietnam)")</f>
        <v>Biz Live (Vietnam)</v>
      </c>
      <c r="D305" s="368" t="str">
        <f>IFERROR(__xludf.DUMMYFUNCTION("""COMPUTED_VALUE"""),"Dubai real estate boomed again with strong money from Russia")</f>
        <v>Dubai real estate boomed again with strong money from Russia</v>
      </c>
      <c r="E305" s="507" t="str">
        <f>IFERROR(__xludf.DUMMYFUNCTION("""COMPUTED_VALUE"""),"https://nhipsongkinhdoanh.vn/bat-dong-san-dubai-bung-no-tro-lai-voi-nguon-tien-manh-tu-nga-post3107017.html")</f>
        <v>https://nhipsongkinhdoanh.vn/bat-dong-san-dubai-bung-no-tro-lai-voi-nguon-tien-manh-tu-nga-post3107017.html</v>
      </c>
      <c r="F305" s="368" t="str">
        <f>IFERROR(__xludf.DUMMYFUNCTION("""COMPUTED_VALUE"""),"Betterhomes")</f>
        <v>Betterhomes</v>
      </c>
    </row>
    <row r="306">
      <c r="A306" s="402">
        <f>IFERROR(__xludf.DUMMYFUNCTION("""COMPUTED_VALUE"""),44970.0)</f>
        <v>44970</v>
      </c>
      <c r="B306" s="368" t="str">
        <f>IFERROR(__xludf.DUMMYFUNCTION("""COMPUTED_VALUE"""),"Tier 2")</f>
        <v>Tier 2</v>
      </c>
      <c r="C306" s="368" t="str">
        <f>IFERROR(__xludf.DUMMYFUNCTION("""COMPUTED_VALUE"""),"Khaleej Times")</f>
        <v>Khaleej Times</v>
      </c>
      <c r="D306" s="368" t="str">
        <f>IFERROR(__xludf.DUMMYFUNCTION("""COMPUTED_VALUE"""),"What are the red flags when buying a flat in Dubai?")</f>
        <v>What are the red flags when buying a flat in Dubai?</v>
      </c>
      <c r="E306" s="507" t="str">
        <f>IFERROR(__xludf.DUMMYFUNCTION("""COMPUTED_VALUE"""),"https://www.khaleejtimes.com/business/what-are-the-red-flags-when-buying-a-flat-in-dubai")</f>
        <v>https://www.khaleejtimes.com/business/what-are-the-red-flags-when-buying-a-flat-in-dubai</v>
      </c>
      <c r="F306" s="368" t="str">
        <f>IFERROR(__xludf.DUMMYFUNCTION("""COMPUTED_VALUE"""),"Betterhomes")</f>
        <v>Betterhomes</v>
      </c>
    </row>
    <row r="307">
      <c r="A307" s="402">
        <f>IFERROR(__xludf.DUMMYFUNCTION("""COMPUTED_VALUE"""),44972.0)</f>
        <v>44972</v>
      </c>
      <c r="B307" s="368" t="str">
        <f>IFERROR(__xludf.DUMMYFUNCTION("""COMPUTED_VALUE"""),"Tier 2")</f>
        <v>Tier 2</v>
      </c>
      <c r="C307" s="368" t="str">
        <f>IFERROR(__xludf.DUMMYFUNCTION("""COMPUTED_VALUE"""),"Gulf News")</f>
        <v>Gulf News</v>
      </c>
      <c r="D307" s="368" t="str">
        <f>IFERROR(__xludf.DUMMYFUNCTION("""COMPUTED_VALUE"""),"No more rental cheques? Tenants in Dubai now have the option to pay for rent via direct debit – here’s how")</f>
        <v>No more rental cheques? Tenants in Dubai now have the option to pay for rent via direct debit – here’s how</v>
      </c>
      <c r="E307" s="507" t="str">
        <f>IFERROR(__xludf.DUMMYFUNCTION("""COMPUTED_VALUE"""),"https://gulfnews.com/living-in-uae/housing/no-more-rental-cheques-tenants-in-dubai-now-have-the-option-to-pay-for-rent-via-direct-debit--heres-how-1.1676445697131")</f>
        <v>https://gulfnews.com/living-in-uae/housing/no-more-rental-cheques-tenants-in-dubai-now-have-the-option-to-pay-for-rent-via-direct-debit--heres-how-1.1676445697131</v>
      </c>
      <c r="F307" s="368" t="str">
        <f>IFERROR(__xludf.DUMMYFUNCTION("""COMPUTED_VALUE"""),"Betterhomes")</f>
        <v>Betterhomes</v>
      </c>
    </row>
    <row r="308">
      <c r="A308" s="402">
        <f>IFERROR(__xludf.DUMMYFUNCTION("""COMPUTED_VALUE"""),44972.0)</f>
        <v>44972</v>
      </c>
      <c r="B308" s="368" t="str">
        <f>IFERROR(__xludf.DUMMYFUNCTION("""COMPUTED_VALUE"""),"Tier 1")</f>
        <v>Tier 1</v>
      </c>
      <c r="C308" s="368" t="str">
        <f>IFERROR(__xludf.DUMMYFUNCTION("""COMPUTED_VALUE"""),"AP News")</f>
        <v>AP News</v>
      </c>
      <c r="D308" s="368" t="str">
        <f>IFERROR(__xludf.DUMMYFUNCTION("""COMPUTED_VALUE"""),"Dubai boom sees Russian cash, high rents and reborn projects")</f>
        <v>Dubai boom sees Russian cash, high rents and reborn projects</v>
      </c>
      <c r="E308" s="507" t="str">
        <f>IFERROR(__xludf.DUMMYFUNCTION("""COMPUTED_VALUE"""),"https://apnews.com/article/us-department-of-the-treasury-business-united-arab-emirates-dubai-middle-east-192fbc4638f38d9334ad2508cae1eef4")</f>
        <v>https://apnews.com/article/us-department-of-the-treasury-business-united-arab-emirates-dubai-middle-east-192fbc4638f38d9334ad2508cae1eef4</v>
      </c>
      <c r="F308" s="368" t="str">
        <f>IFERROR(__xludf.DUMMYFUNCTION("""COMPUTED_VALUE"""),"Betterhomes")</f>
        <v>Betterhomes</v>
      </c>
    </row>
    <row r="309">
      <c r="A309" s="402">
        <f>IFERROR(__xludf.DUMMYFUNCTION("""COMPUTED_VALUE"""),44977.0)</f>
        <v>44977</v>
      </c>
      <c r="B309" s="368" t="str">
        <f>IFERROR(__xludf.DUMMYFUNCTION("""COMPUTED_VALUE"""),"Tier 3")</f>
        <v>Tier 3</v>
      </c>
      <c r="C309" s="368" t="str">
        <f>IFERROR(__xludf.DUMMYFUNCTION("""COMPUTED_VALUE"""),"The Independant (Spain)")</f>
        <v>The Independant (Spain)</v>
      </c>
      <c r="D309" s="368" t="str">
        <f>IFERROR(__xludf.DUMMYFUNCTION("""COMPUTED_VALUE"""),"Dubai, the golden haven of Russian millionaires")</f>
        <v>Dubai, the golden haven of Russian millionaires</v>
      </c>
      <c r="E309" s="507" t="str">
        <f>IFERROR(__xludf.DUMMYFUNCTION("""COMPUTED_VALUE"""),"https://www.elindependiente.com/internacional/2023/02/20/dubai-el-refugio-dorado-de-los-millonarios-rusos/")</f>
        <v>https://www.elindependiente.com/internacional/2023/02/20/dubai-el-refugio-dorado-de-los-millonarios-rusos/</v>
      </c>
      <c r="F309" s="368" t="str">
        <f>IFERROR(__xludf.DUMMYFUNCTION("""COMPUTED_VALUE"""),"Betterhomes")</f>
        <v>Betterhomes</v>
      </c>
    </row>
    <row r="310">
      <c r="A310" s="402">
        <f>IFERROR(__xludf.DUMMYFUNCTION("""COMPUTED_VALUE"""),44978.0)</f>
        <v>44978</v>
      </c>
      <c r="B310" s="368" t="str">
        <f>IFERROR(__xludf.DUMMYFUNCTION("""COMPUTED_VALUE"""),"Tier 3")</f>
        <v>Tier 3</v>
      </c>
      <c r="C310" s="368" t="str">
        <f>IFERROR(__xludf.DUMMYFUNCTION("""COMPUTED_VALUE"""),"Jordan Times")</f>
        <v>Jordan Times</v>
      </c>
      <c r="D310" s="368" t="str">
        <f>IFERROR(__xludf.DUMMYFUNCTION("""COMPUTED_VALUE"""),"Dubai airport sees surge in arrivals bolstered by Russian influx")</f>
        <v>Dubai airport sees surge in arrivals bolstered by Russian influx</v>
      </c>
      <c r="E310" s="507" t="str">
        <f>IFERROR(__xludf.DUMMYFUNCTION("""COMPUTED_VALUE"""),"https://jordantimes.com/news/business/dubai-airport-sees-surge-arrivals-bolstered-russian-influx")</f>
        <v>https://jordantimes.com/news/business/dubai-airport-sees-surge-arrivals-bolstered-russian-influx</v>
      </c>
      <c r="F310" s="368" t="str">
        <f>IFERROR(__xludf.DUMMYFUNCTION("""COMPUTED_VALUE"""),"Betterhomes")</f>
        <v>Betterhomes</v>
      </c>
    </row>
    <row r="311">
      <c r="A311" s="402">
        <f>IFERROR(__xludf.DUMMYFUNCTION("""COMPUTED_VALUE"""),44978.0)</f>
        <v>44978</v>
      </c>
      <c r="B311" s="368" t="str">
        <f>IFERROR(__xludf.DUMMYFUNCTION("""COMPUTED_VALUE"""),"Tier 2")</f>
        <v>Tier 2</v>
      </c>
      <c r="C311" s="368" t="str">
        <f>IFERROR(__xludf.DUMMYFUNCTION("""COMPUTED_VALUE"""),"Khaleej Times")</f>
        <v>Khaleej Times</v>
      </c>
      <c r="D311" s="368" t="str">
        <f>IFERROR(__xludf.DUMMYFUNCTION("""COMPUTED_VALUE"""),"Dubai: Should I hire a property company to lease my villa as I relocate to my country?")</f>
        <v>Dubai: Should I hire a property company to lease my villa as I relocate to my country?</v>
      </c>
      <c r="E311" s="507" t="str">
        <f>IFERROR(__xludf.DUMMYFUNCTION("""COMPUTED_VALUE"""),"https://www.khaleejtimes.com/business/property/dubai-should-i-hire-a-property-company-to-lease-my-villa-as-i-relocate-to-my-country")</f>
        <v>https://www.khaleejtimes.com/business/property/dubai-should-i-hire-a-property-company-to-lease-my-villa-as-i-relocate-to-my-country</v>
      </c>
      <c r="F311" s="368" t="str">
        <f>IFERROR(__xludf.DUMMYFUNCTION("""COMPUTED_VALUE"""),"PM Betterhomes")</f>
        <v>PM Betterhomes</v>
      </c>
    </row>
    <row r="312">
      <c r="A312" s="402">
        <f>IFERROR(__xludf.DUMMYFUNCTION("""COMPUTED_VALUE"""),44978.0)</f>
        <v>44978</v>
      </c>
      <c r="B312" s="368" t="str">
        <f>IFERROR(__xludf.DUMMYFUNCTION("""COMPUTED_VALUE"""),"Tier 3")</f>
        <v>Tier 3</v>
      </c>
      <c r="C312" s="368" t="str">
        <f>IFERROR(__xludf.DUMMYFUNCTION("""COMPUTED_VALUE"""),"NPR ")</f>
        <v>NPR </v>
      </c>
      <c r="D312" s="368" t="str">
        <f>IFERROR(__xludf.DUMMYFUNCTION("""COMPUTED_VALUE"""),"For Ukrainians in Dubai, a new restaurant offers a taste of home")</f>
        <v>For Ukrainians in Dubai, a new restaurant offers a taste of home</v>
      </c>
      <c r="E312" s="507" t="str">
        <f>IFERROR(__xludf.DUMMYFUNCTION("""COMPUTED_VALUE"""),"https://www.npr.org/2023/02/26/1152488159/ukrainian-food-dubai-yoy-restaurant")</f>
        <v>https://www.npr.org/2023/02/26/1152488159/ukrainian-food-dubai-yoy-restaurant</v>
      </c>
      <c r="F312" s="368" t="str">
        <f>IFERROR(__xludf.DUMMYFUNCTION("""COMPUTED_VALUE"""),"Betterhomes")</f>
        <v>Betterhomes</v>
      </c>
    </row>
    <row r="313">
      <c r="A313" s="402">
        <f>IFERROR(__xludf.DUMMYFUNCTION("""COMPUTED_VALUE"""),44978.0)</f>
        <v>44978</v>
      </c>
      <c r="B313" s="368" t="str">
        <f>IFERROR(__xludf.DUMMYFUNCTION("""COMPUTED_VALUE"""),"Tier 2")</f>
        <v>Tier 2</v>
      </c>
      <c r="C313" s="368" t="str">
        <f>IFERROR(__xludf.DUMMYFUNCTION("""COMPUTED_VALUE"""),"The Business Times")</f>
        <v>The Business Times</v>
      </c>
      <c r="D313" s="368" t="str">
        <f>IFERROR(__xludf.DUMMYFUNCTION("""COMPUTED_VALUE"""),"Dubai airport sees surge in arrivals, bolstered by Russian influx")</f>
        <v>Dubai airport sees surge in arrivals, bolstered by Russian influx</v>
      </c>
      <c r="E313" s="507" t="str">
        <f>IFERROR(__xludf.DUMMYFUNCTION("""COMPUTED_VALUE"""),"https://www.businesstimes.com.sg/international/dubai-airport-sees-surge-arrivals-bolstered-russian-influx")</f>
        <v>https://www.businesstimes.com.sg/international/dubai-airport-sees-surge-arrivals-bolstered-russian-influx</v>
      </c>
      <c r="F313" s="368" t="str">
        <f>IFERROR(__xludf.DUMMYFUNCTION("""COMPUTED_VALUE"""),"Betterhomes")</f>
        <v>Betterhomes</v>
      </c>
    </row>
    <row r="314">
      <c r="A314" s="402">
        <f>IFERROR(__xludf.DUMMYFUNCTION("""COMPUTED_VALUE"""),44980.0)</f>
        <v>44980</v>
      </c>
      <c r="B314" s="368" t="str">
        <f>IFERROR(__xludf.DUMMYFUNCTION("""COMPUTED_VALUE"""),"Tier 3")</f>
        <v>Tier 3</v>
      </c>
      <c r="C314" s="368" t="str">
        <f>IFERROR(__xludf.DUMMYFUNCTION("""COMPUTED_VALUE"""),"Dubai Economic Times (India)")</f>
        <v>Dubai Economic Times (India)</v>
      </c>
      <c r="D314" s="368" t="str">
        <f>IFERROR(__xludf.DUMMYFUNCTION("""COMPUTED_VALUE"""),"Dubai housing boom buoys buyers, burdens tenants")</f>
        <v>Dubai housing boom buoys buyers, burdens tenants</v>
      </c>
      <c r="E314" s="507" t="str">
        <f>IFERROR(__xludf.DUMMYFUNCTION("""COMPUTED_VALUE"""),"https://economictimes.indiatimes.com/nri/invest/dubai-housing-boom-buoys-buyers-burdens-tenants/articleshow/98170301.cms")</f>
        <v>https://economictimes.indiatimes.com/nri/invest/dubai-housing-boom-buoys-buyers-burdens-tenants/articleshow/98170301.cms</v>
      </c>
      <c r="F314" s="368" t="str">
        <f>IFERROR(__xludf.DUMMYFUNCTION("""COMPUTED_VALUE"""),"Betterhomes")</f>
        <v>Betterhomes</v>
      </c>
    </row>
    <row r="315">
      <c r="A315" s="402">
        <f>IFERROR(__xludf.DUMMYFUNCTION("""COMPUTED_VALUE"""),44980.0)</f>
        <v>44980</v>
      </c>
      <c r="B315" s="368" t="str">
        <f>IFERROR(__xludf.DUMMYFUNCTION("""COMPUTED_VALUE"""),"Tier 3")</f>
        <v>Tier 3</v>
      </c>
      <c r="C315" s="368" t="str">
        <f>IFERROR(__xludf.DUMMYFUNCTION("""COMPUTED_VALUE"""),"Vietnam Bizz (Vietnam)")</f>
        <v>Vietnam Bizz (Vietnam)</v>
      </c>
      <c r="D315" s="368" t="str">
        <f>IFERROR(__xludf.DUMMYFUNCTION("""COMPUTED_VALUE"""),"Dubai witnessed a record number of real estate transactions in 2022")</f>
        <v>Dubai witnessed a record number of real estate transactions in 2022</v>
      </c>
      <c r="E315" s="507" t="str">
        <f>IFERROR(__xludf.DUMMYFUNCTION("""COMPUTED_VALUE"""),"https://vietnambiz.vn/dubai-chung-kien-luong-giao-dich-bat-dong-san-ky-luc-trong-nam-2022-2023223222756601.htm")</f>
        <v>https://vietnambiz.vn/dubai-chung-kien-luong-giao-dich-bat-dong-san-ky-luc-trong-nam-2022-2023223222756601.htm</v>
      </c>
      <c r="F315" s="368" t="str">
        <f>IFERROR(__xludf.DUMMYFUNCTION("""COMPUTED_VALUE"""),"Betterhomes")</f>
        <v>Betterhomes</v>
      </c>
    </row>
    <row r="316">
      <c r="A316" s="402">
        <f>IFERROR(__xludf.DUMMYFUNCTION("""COMPUTED_VALUE"""),44980.0)</f>
        <v>44980</v>
      </c>
      <c r="B316" s="368" t="str">
        <f>IFERROR(__xludf.DUMMYFUNCTION("""COMPUTED_VALUE"""),"Tier 3")</f>
        <v>Tier 3</v>
      </c>
      <c r="C316" s="368" t="str">
        <f>IFERROR(__xludf.DUMMYFUNCTION("""COMPUTED_VALUE"""),"Zaman (Turkey)")</f>
        <v>Zaman (Turkey)</v>
      </c>
      <c r="D316" s="368" t="str">
        <f>IFERROR(__xludf.DUMMYFUNCTION("""COMPUTED_VALUE"""),"Dubai housing boom floats buyers, strains tenants")</f>
        <v>Dubai housing boom floats buyers, strains tenants</v>
      </c>
      <c r="E316" s="507" t="str">
        <f>IFERROR(__xludf.DUMMYFUNCTION("""COMPUTED_VALUE"""),"https://zamanbelcika.be/ekonomi/dubai-konut-patlamasi-alicilari-samandiralar-kiracilari-zorlar/93593/")</f>
        <v>https://zamanbelcika.be/ekonomi/dubai-konut-patlamasi-alicilari-samandiralar-kiracilari-zorlar/93593/</v>
      </c>
      <c r="F316" s="368" t="str">
        <f>IFERROR(__xludf.DUMMYFUNCTION("""COMPUTED_VALUE"""),"Betterhomes")</f>
        <v>Betterhomes</v>
      </c>
    </row>
    <row r="317">
      <c r="A317" s="402">
        <f>IFERROR(__xludf.DUMMYFUNCTION("""COMPUTED_VALUE"""),44981.0)</f>
        <v>44981</v>
      </c>
      <c r="B317" s="368" t="str">
        <f>IFERROR(__xludf.DUMMYFUNCTION("""COMPUTED_VALUE"""),"Tier 3")</f>
        <v>Tier 3</v>
      </c>
      <c r="C317" s="368" t="str">
        <f>IFERROR(__xludf.DUMMYFUNCTION("""COMPUTED_VALUE"""),"Yahoo Finance")</f>
        <v>Yahoo Finance</v>
      </c>
      <c r="D317" s="368" t="str">
        <f>IFERROR(__xludf.DUMMYFUNCTION("""COMPUTED_VALUE"""),"US Targets Bank With UAE Ties in New Phase of Russia Sanctions")</f>
        <v>US Targets Bank With UAE Ties in New Phase of Russia Sanctions</v>
      </c>
      <c r="E317" s="507" t="str">
        <f>IFERROR(__xludf.DUMMYFUNCTION("""COMPUTED_VALUE"""),"https://finance.yahoo.com/news/g-7-sanctions-target-key-100000648.html?guccounter=1&amp;guce_referrer=aHR0cHM6Ly93d3cuZ29vZ2xlLmNvbS8&amp;guce_referrer_sig=AQAAANuRxrMPOhqOn5MEnoNAKUL86axWbGapzrkoX5cCD9T9DKehlHWNel1fiG4EzF1yW4Hg4YHNnxWWMQkY1fszEhPFGiL8AHhFHfGht_d"&amp;"n0gPU1ZxlxqGN27BeZJfxWSZDyKPVpEln1_SZdZNR6LN_JCztuZM0eMuGXTSUSctbUfSP")</f>
        <v>https://finance.yahoo.com/news/g-7-sanctions-target-key-100000648.html?guccounter=1&amp;guce_referrer=aHR0cHM6Ly93d3cuZ29vZ2xlLmNvbS8&amp;guce_referrer_sig=AQAAANuRxrMPOhqOn5MEnoNAKUL86axWbGapzrkoX5cCD9T9DKehlHWNel1fiG4EzF1yW4Hg4YHNnxWWMQkY1fszEhPFGiL8AHhFHfGht_dn0gPU1ZxlxqGN27BeZJfxWSZDyKPVpEln1_SZdZNR6LN_JCztuZM0eMuGXTSUSctbUfSP</v>
      </c>
      <c r="F317" s="368" t="str">
        <f>IFERROR(__xludf.DUMMYFUNCTION("""COMPUTED_VALUE"""),"Betterhomes")</f>
        <v>Betterhomes</v>
      </c>
    </row>
    <row r="318">
      <c r="A318" s="402">
        <f>IFERROR(__xludf.DUMMYFUNCTION("""COMPUTED_VALUE"""),44981.0)</f>
        <v>44981</v>
      </c>
      <c r="B318" s="368" t="str">
        <f>IFERROR(__xludf.DUMMYFUNCTION("""COMPUTED_VALUE"""),"Tier 3")</f>
        <v>Tier 3</v>
      </c>
      <c r="C318" s="368" t="str">
        <f>IFERROR(__xludf.DUMMYFUNCTION("""COMPUTED_VALUE"""),"BFM TV (France)")</f>
        <v>BFM TV (France)</v>
      </c>
      <c r="D318" s="368" t="str">
        <f>IFERROR(__xludf.DUMMYFUNCTION("""COMPUTED_VALUE"""),"IN DUBAI, TENANTS SUFFER FROM SHARP INCREASES IN PROPERTY PRICES")</f>
        <v>IN DUBAI, TENANTS SUFFER FROM SHARP INCREASES IN PROPERTY PRICES</v>
      </c>
      <c r="E318" s="507" t="str">
        <f>IFERROR(__xludf.DUMMYFUNCTION("""COMPUTED_VALUE"""),"https://www.bfmtv.com/immobilier/international-etranger/a-dubai-les-locataires-subissent-les-fortes-hausses-des-prix-de-l-immobilier_AD-202302230202.html")</f>
        <v>https://www.bfmtv.com/immobilier/international-etranger/a-dubai-les-locataires-subissent-les-fortes-hausses-des-prix-de-l-immobilier_AD-202302230202.html</v>
      </c>
      <c r="F318" s="368" t="str">
        <f>IFERROR(__xludf.DUMMYFUNCTION("""COMPUTED_VALUE"""),"Betterhomes")</f>
        <v>Betterhomes</v>
      </c>
    </row>
    <row r="319">
      <c r="A319" s="402">
        <f>IFERROR(__xludf.DUMMYFUNCTION("""COMPUTED_VALUE"""),44981.0)</f>
        <v>44981</v>
      </c>
      <c r="B319" s="368" t="str">
        <f>IFERROR(__xludf.DUMMYFUNCTION("""COMPUTED_VALUE"""),"Tier 1")</f>
        <v>Tier 1</v>
      </c>
      <c r="C319" s="368" t="str">
        <f>IFERROR(__xludf.DUMMYFUNCTION("""COMPUTED_VALUE"""),"Forbes India")</f>
        <v>Forbes India</v>
      </c>
      <c r="D319" s="368" t="str">
        <f>IFERROR(__xludf.DUMMYFUNCTION("""COMPUTED_VALUE"""),"Dubai housing boom buoys buyers, burdens tenants")</f>
        <v>Dubai housing boom buoys buyers, burdens tenants</v>
      </c>
      <c r="E319" s="507" t="str">
        <f>IFERROR(__xludf.DUMMYFUNCTION("""COMPUTED_VALUE"""),"https://www.forbesindia.com/article/lifes/dubai-housing-boom-buoys-buyers-burdens-tenants/83411/1")</f>
        <v>https://www.forbesindia.com/article/lifes/dubai-housing-boom-buoys-buyers-burdens-tenants/83411/1</v>
      </c>
      <c r="F319" s="368" t="str">
        <f>IFERROR(__xludf.DUMMYFUNCTION("""COMPUTED_VALUE"""),"Betterhomes")</f>
        <v>Betterhomes</v>
      </c>
    </row>
    <row r="320">
      <c r="A320" s="402">
        <f>IFERROR(__xludf.DUMMYFUNCTION("""COMPUTED_VALUE"""),44981.0)</f>
        <v>44981</v>
      </c>
      <c r="B320" s="368" t="str">
        <f>IFERROR(__xludf.DUMMYFUNCTION("""COMPUTED_VALUE"""),"Tier 1")</f>
        <v>Tier 1</v>
      </c>
      <c r="C320" s="368" t="str">
        <f>IFERROR(__xludf.DUMMYFUNCTION("""COMPUTED_VALUE"""),"Forbes Middle East (Instagram)")</f>
        <v>Forbes Middle East (Instagram)</v>
      </c>
      <c r="D320" s="368" t="str">
        <f>IFERROR(__xludf.DUMMYFUNCTION("""COMPUTED_VALUE"""),"Property prices in Dubai have soared, allowing the sector to rake in more than $140 billion in 2022. However, rising prices have left tenants facing a 20% increase in rent.")</f>
        <v>Property prices in Dubai have soared, allowing the sector to rake in more than $140 billion in 2022. However, rising prices have left tenants facing a 20% increase in rent.</v>
      </c>
      <c r="E320" s="507" t="str">
        <f>IFERROR(__xludf.DUMMYFUNCTION("""COMPUTED_VALUE"""),"https://www.instagram.com/reel/CpCbCVLAlhj/?id=3045115205483911267_1544565637")</f>
        <v>https://www.instagram.com/reel/CpCbCVLAlhj/?id=3045115205483911267_1544565637</v>
      </c>
      <c r="F320" s="368" t="str">
        <f>IFERROR(__xludf.DUMMYFUNCTION("""COMPUTED_VALUE"""),"Betterhomes")</f>
        <v>Betterhomes</v>
      </c>
    </row>
    <row r="321">
      <c r="A321" s="402">
        <f>IFERROR(__xludf.DUMMYFUNCTION("""COMPUTED_VALUE"""),44982.0)</f>
        <v>44982</v>
      </c>
      <c r="B321" s="368" t="str">
        <f>IFERROR(__xludf.DUMMYFUNCTION("""COMPUTED_VALUE"""),"Tier 3")</f>
        <v>Tier 3</v>
      </c>
      <c r="C321" s="368" t="str">
        <f>IFERROR(__xludf.DUMMYFUNCTION("""COMPUTED_VALUE"""),"Mena FN")</f>
        <v>Mena FN</v>
      </c>
      <c r="D321" s="368" t="str">
        <f>IFERROR(__xludf.DUMMYFUNCTION("""COMPUTED_VALUE"""),"Dubai Airport Sees Surge In Arrivals Bolstered By Russian Influx")</f>
        <v>Dubai Airport Sees Surge In Arrivals Bolstered By Russian Influx</v>
      </c>
      <c r="E321" s="507" t="str">
        <f>IFERROR(__xludf.DUMMYFUNCTION("""COMPUTED_VALUE"""),"https://menafn.com/1105644812/Dubai-Airport-Sees-Surge-In-Arrivals-Bolstered-By-Russian-Influx")</f>
        <v>https://menafn.com/1105644812/Dubai-Airport-Sees-Surge-In-Arrivals-Bolstered-By-Russian-Influx</v>
      </c>
      <c r="F321" s="368" t="str">
        <f>IFERROR(__xludf.DUMMYFUNCTION("""COMPUTED_VALUE"""),"Betterhomes")</f>
        <v>Betterhomes</v>
      </c>
    </row>
    <row r="322">
      <c r="A322" s="402">
        <f>IFERROR(__xludf.DUMMYFUNCTION("""COMPUTED_VALUE"""),44986.0)</f>
        <v>44986</v>
      </c>
      <c r="B322" s="368" t="str">
        <f>IFERROR(__xludf.DUMMYFUNCTION("""COMPUTED_VALUE"""),"Tier 2")</f>
        <v>Tier 2</v>
      </c>
      <c r="C322" s="368" t="str">
        <f>IFERROR(__xludf.DUMMYFUNCTION("""COMPUTED_VALUE"""),"Gulf News")</f>
        <v>Gulf News</v>
      </c>
      <c r="D322" s="368" t="str">
        <f>IFERROR(__xludf.DUMMYFUNCTION("""COMPUTED_VALUE"""),"Dubai’s luxury property market is closing in on New York, Los Angeles")</f>
        <v>Dubai’s luxury property market is closing in on New York, Los Angeles</v>
      </c>
      <c r="E322" s="507" t="str">
        <f>IFERROR(__xludf.DUMMYFUNCTION("""COMPUTED_VALUE"""),"https://gulfnews.com/business/property/dubais-luxury-property-market-is-closing-in-on-new-york-los-angeles-1.94169475")</f>
        <v>https://gulfnews.com/business/property/dubais-luxury-property-market-is-closing-in-on-new-york-los-angeles-1.94169475</v>
      </c>
      <c r="F322" s="368" t="str">
        <f>IFERROR(__xludf.DUMMYFUNCTION("""COMPUTED_VALUE"""),"Betterhomes")</f>
        <v>Betterhomes</v>
      </c>
    </row>
    <row r="323">
      <c r="A323" s="402">
        <f>IFERROR(__xludf.DUMMYFUNCTION("""COMPUTED_VALUE"""),44986.0)</f>
        <v>44986</v>
      </c>
      <c r="B323" s="368" t="str">
        <f>IFERROR(__xludf.DUMMYFUNCTION("""COMPUTED_VALUE"""),"Tier 1")</f>
        <v>Tier 1</v>
      </c>
      <c r="C323" s="368" t="str">
        <f>IFERROR(__xludf.DUMMYFUNCTION("""COMPUTED_VALUE"""),"Bloomberg")</f>
        <v>Bloomberg</v>
      </c>
      <c r="D323" s="368" t="str">
        <f>IFERROR(__xludf.DUMMYFUNCTION("""COMPUTED_VALUE"""),"Dubai’s Luxury Homes Lead the World’s Best (and Worst) Property Markets")</f>
        <v>Dubai’s Luxury Homes Lead the World’s Best (and Worst) Property Markets</v>
      </c>
      <c r="E323" s="507" t="str">
        <f>IFERROR(__xludf.DUMMYFUNCTION("""COMPUTED_VALUE"""),"https://www.bloomberg.com/news/articles/2023-03-01/dubai-s-luxury-property-market-is-closing-in-on-new-york-london?utm_source=twitter&amp;utm_content=business&amp;utm_medium=social&amp;utm_campaign=socialflow-organic&amp;cmpid%3D=socialflow-twitter-pursuits&amp;cmpid=socialf"&amp;"low-twitter-business&amp;leadSource=uverify%20wall")</f>
        <v>https://www.bloomberg.com/news/articles/2023-03-01/dubai-s-luxury-property-market-is-closing-in-on-new-york-london?utm_source=twitter&amp;utm_content=business&amp;utm_medium=social&amp;utm_campaign=socialflow-organic&amp;cmpid%3D=socialflow-twitter-pursuits&amp;cmpid=socialflow-twitter-business&amp;leadSource=uverify%20wall</v>
      </c>
      <c r="F323" s="368" t="str">
        <f>IFERROR(__xludf.DUMMYFUNCTION("""COMPUTED_VALUE"""),"Betterhomes")</f>
        <v>Betterhomes</v>
      </c>
    </row>
    <row r="324">
      <c r="A324" s="402">
        <f>IFERROR(__xludf.DUMMYFUNCTION("""COMPUTED_VALUE"""),44986.0)</f>
        <v>44986</v>
      </c>
      <c r="B324" s="368" t="str">
        <f>IFERROR(__xludf.DUMMYFUNCTION("""COMPUTED_VALUE"""),"Tier 2")</f>
        <v>Tier 2</v>
      </c>
      <c r="C324" s="368" t="str">
        <f>IFERROR(__xludf.DUMMYFUNCTION("""COMPUTED_VALUE"""),"The Business Times")</f>
        <v>The Business Times</v>
      </c>
      <c r="D324" s="368" t="str">
        <f>IFERROR(__xludf.DUMMYFUNCTION("""COMPUTED_VALUE"""),"Dubai’s luxury property market closing in on New York, LA")</f>
        <v>Dubai’s luxury property market closing in on New York, LA</v>
      </c>
      <c r="E324" s="507" t="str">
        <f>IFERROR(__xludf.DUMMYFUNCTION("""COMPUTED_VALUE"""),"https://www.businesstimes.com.sg/property/dubais-luxury-property-market-closing-new-york-la")</f>
        <v>https://www.businesstimes.com.sg/property/dubais-luxury-property-market-closing-new-york-la</v>
      </c>
      <c r="F324" s="368" t="str">
        <f>IFERROR(__xludf.DUMMYFUNCTION("""COMPUTED_VALUE"""),"Betterhomes")</f>
        <v>Betterhomes</v>
      </c>
    </row>
    <row r="325">
      <c r="A325" s="402">
        <f>IFERROR(__xludf.DUMMYFUNCTION("""COMPUTED_VALUE"""),44986.0)</f>
        <v>44986</v>
      </c>
      <c r="B325" s="368" t="str">
        <f>IFERROR(__xludf.DUMMYFUNCTION("""COMPUTED_VALUE"""),"Tier 3")</f>
        <v>Tier 3</v>
      </c>
      <c r="C325" s="368" t="str">
        <f>IFERROR(__xludf.DUMMYFUNCTION("""COMPUTED_VALUE"""),"La Republica (Spain)")</f>
        <v>La Republica (Spain)</v>
      </c>
      <c r="D325" s="368" t="str">
        <f>IFERROR(__xludf.DUMMYFUNCTION("""COMPUTED_VALUE"""),"Dubai luxury homes lead the best (and worst) real estate markets")</f>
        <v>Dubai luxury homes lead the best (and worst) real estate markets</v>
      </c>
      <c r="E325" s="507" t="str">
        <f>IFERROR(__xludf.DUMMYFUNCTION("""COMPUTED_VALUE"""),"https://www.larepublica.co/ocio/las-casas-de-lujo-de-dubai-lideran-los-mejores-y-peores-mercados-inmobiliarios-del-mundo-3558753")</f>
        <v>https://www.larepublica.co/ocio/las-casas-de-lujo-de-dubai-lideran-los-mejores-y-peores-mercados-inmobiliarios-del-mundo-3558753</v>
      </c>
      <c r="F325" s="368" t="str">
        <f>IFERROR(__xludf.DUMMYFUNCTION("""COMPUTED_VALUE"""),"Betterhomes")</f>
        <v>Betterhomes</v>
      </c>
    </row>
    <row r="326">
      <c r="A326" s="402">
        <f>IFERROR(__xludf.DUMMYFUNCTION("""COMPUTED_VALUE"""),44988.0)</f>
        <v>44988</v>
      </c>
      <c r="B326" s="368" t="str">
        <f>IFERROR(__xludf.DUMMYFUNCTION("""COMPUTED_VALUE"""),"Tier 1")</f>
        <v>Tier 1</v>
      </c>
      <c r="C326" s="368" t="str">
        <f>IFERROR(__xludf.DUMMYFUNCTION("""COMPUTED_VALUE"""),"Financial Times")</f>
        <v>Financial Times</v>
      </c>
      <c r="D326" s="368" t="str">
        <f>IFERROR(__xludf.DUMMYFUNCTION("""COMPUTED_VALUE"""),"Where Russian homebuyers went next")</f>
        <v>Where Russian homebuyers went next</v>
      </c>
      <c r="E326" s="507" t="str">
        <f>IFERROR(__xludf.DUMMYFUNCTION("""COMPUTED_VALUE"""),"https://www.ft.com/content/5ccb498b-9d6c-4a67-87aa-69f7e3f17092")</f>
        <v>https://www.ft.com/content/5ccb498b-9d6c-4a67-87aa-69f7e3f17092</v>
      </c>
      <c r="F326" s="368" t="str">
        <f>IFERROR(__xludf.DUMMYFUNCTION("""COMPUTED_VALUE"""),"Betterhomes")</f>
        <v>Betterhomes</v>
      </c>
    </row>
    <row r="327">
      <c r="A327" s="402">
        <f>IFERROR(__xludf.DUMMYFUNCTION("""COMPUTED_VALUE"""),44988.0)</f>
        <v>44988</v>
      </c>
      <c r="B327" s="368" t="str">
        <f>IFERROR(__xludf.DUMMYFUNCTION("""COMPUTED_VALUE"""),"Tier 3")</f>
        <v>Tier 3</v>
      </c>
      <c r="C327" s="368" t="str">
        <f>IFERROR(__xludf.DUMMYFUNCTION("""COMPUTED_VALUE"""),"Irytas (Lithuania)")</f>
        <v>Irytas (Lithuania)</v>
      </c>
      <c r="D327" s="368" t="str">
        <f>IFERROR(__xludf.DUMMYFUNCTION("""COMPUTED_VALUE"""),"The rich fleeing from Russia have distorted the real estate market in Dubai")</f>
        <v>The rich fleeing from Russia have distorted the real estate market in Dubai</v>
      </c>
      <c r="E327" s="507" t="str">
        <f>IFERROR(__xludf.DUMMYFUNCTION("""COMPUTED_VALUE"""),"https://www.lrytas.lt/bustas/nekilnojamasis-turtas/2023/03/08/news/is-rusijos-begantys-turciai-iskraipe-nt-rinka-dubajuje-uz-bustus-ne-nesideredami-jie-moka-beprotiskas-sumas-26342315")</f>
        <v>https://www.lrytas.lt/bustas/nekilnojamasis-turtas/2023/03/08/news/is-rusijos-begantys-turciai-iskraipe-nt-rinka-dubajuje-uz-bustus-ne-nesideredami-jie-moka-beprotiskas-sumas-26342315</v>
      </c>
      <c r="F327" s="368" t="str">
        <f>IFERROR(__xludf.DUMMYFUNCTION("""COMPUTED_VALUE"""),"Betterhomes")</f>
        <v>Betterhomes</v>
      </c>
    </row>
    <row r="328">
      <c r="A328" s="402">
        <f>IFERROR(__xludf.DUMMYFUNCTION("""COMPUTED_VALUE"""),44988.0)</f>
        <v>44988</v>
      </c>
      <c r="B328" s="368" t="str">
        <f>IFERROR(__xludf.DUMMYFUNCTION("""COMPUTED_VALUE"""),"Tier 3")</f>
        <v>Tier 3</v>
      </c>
      <c r="C328" s="368" t="str">
        <f>IFERROR(__xludf.DUMMYFUNCTION("""COMPUTED_VALUE"""),"House Fun (China)")</f>
        <v>House Fun (China)</v>
      </c>
      <c r="D328" s="368" t="str">
        <f>IFERROR(__xludf.DUMMYFUNCTION("""COMPUTED_VALUE"""),"Dubai real estate construction project revives")</f>
        <v>Dubai real estate construction project revives</v>
      </c>
      <c r="E328" s="507" t="str">
        <f>IFERROR(__xludf.DUMMYFUNCTION("""COMPUTED_VALUE"""),"https://news.housefun.com.tw/news/article/569264367691.html")</f>
        <v>https://news.housefun.com.tw/news/article/569264367691.html</v>
      </c>
      <c r="F328" s="368" t="str">
        <f>IFERROR(__xludf.DUMMYFUNCTION("""COMPUTED_VALUE"""),"Betterhomes")</f>
        <v>Betterhomes</v>
      </c>
    </row>
    <row r="329">
      <c r="A329" s="402">
        <f>IFERROR(__xludf.DUMMYFUNCTION("""COMPUTED_VALUE"""),44991.0)</f>
        <v>44991</v>
      </c>
      <c r="B329" s="368" t="str">
        <f>IFERROR(__xludf.DUMMYFUNCTION("""COMPUTED_VALUE"""),"Tier 2")</f>
        <v>Tier 2</v>
      </c>
      <c r="C329" s="368" t="str">
        <f>IFERROR(__xludf.DUMMYFUNCTION("""COMPUTED_VALUE"""),"Zawya ")</f>
        <v>Zawya </v>
      </c>
      <c r="D329" s="368" t="str">
        <f>IFERROR(__xludf.DUMMYFUNCTION("""COMPUTED_VALUE"""),"Demand for Dubai properties is increasing, but Russian buyers are not the main drivers")</f>
        <v>Demand for Dubai properties is increasing, but Russian buyers are not the main drivers</v>
      </c>
      <c r="E329" s="507" t="str">
        <f>IFERROR(__xludf.DUMMYFUNCTION("""COMPUTED_VALUE"""),"https://www.zawya.com/en/business/real-estate/demand-for-dubai-properties-is-increasing-but-russian-buyers-are-not-the-main-drivers-rkqoqu4s")</f>
        <v>https://www.zawya.com/en/business/real-estate/demand-for-dubai-properties-is-increasing-but-russian-buyers-are-not-the-main-drivers-rkqoqu4s</v>
      </c>
      <c r="F329" s="368" t="str">
        <f>IFERROR(__xludf.DUMMYFUNCTION("""COMPUTED_VALUE"""),"Betterhomes")</f>
        <v>Betterhomes</v>
      </c>
    </row>
    <row r="330">
      <c r="A330" s="402">
        <f>IFERROR(__xludf.DUMMYFUNCTION("""COMPUTED_VALUE"""),44994.0)</f>
        <v>44994</v>
      </c>
      <c r="B330" s="368" t="str">
        <f>IFERROR(__xludf.DUMMYFUNCTION("""COMPUTED_VALUE"""),"Tier 2")</f>
        <v>Tier 2</v>
      </c>
      <c r="C330" s="368" t="str">
        <f>IFERROR(__xludf.DUMMYFUNCTION("""COMPUTED_VALUE"""),"Khaleej Times")</f>
        <v>Khaleej Times</v>
      </c>
      <c r="D330" s="368" t="str">
        <f>IFERROR(__xludf.DUMMYFUNCTION("""COMPUTED_VALUE"""),"Dubai: Should you buy, rent property directly from the owner or through a property agent?")</f>
        <v>Dubai: Should you buy, rent property directly from the owner or through a property agent?</v>
      </c>
      <c r="E330" s="507" t="str">
        <f>IFERROR(__xludf.DUMMYFUNCTION("""COMPUTED_VALUE"""),"https://www.khaleejtimes.com/business/dubai-should-you-buy-rent-property-directly-from-the-owner-or-through-a-property-agent")</f>
        <v>https://www.khaleejtimes.com/business/dubai-should-you-buy-rent-property-directly-from-the-owner-or-through-a-property-agent</v>
      </c>
      <c r="F330" s="368" t="str">
        <f>IFERROR(__xludf.DUMMYFUNCTION("""COMPUTED_VALUE"""),"Betterhomes")</f>
        <v>Betterhomes</v>
      </c>
    </row>
    <row r="331">
      <c r="A331" s="402">
        <f>IFERROR(__xludf.DUMMYFUNCTION("""COMPUTED_VALUE"""),44997.0)</f>
        <v>44997</v>
      </c>
      <c r="B331" s="368" t="str">
        <f>IFERROR(__xludf.DUMMYFUNCTION("""COMPUTED_VALUE"""),"Tier 1")</f>
        <v>Tier 1</v>
      </c>
      <c r="C331" s="368" t="str">
        <f>IFERROR(__xludf.DUMMYFUNCTION("""COMPUTED_VALUE"""),"Bloomberg (Portugal)")</f>
        <v>Bloomberg (Portugal)</v>
      </c>
      <c r="D331" s="368" t="str">
        <f>IFERROR(__xludf.DUMMYFUNCTION("""COMPUTED_VALUE"""),"Dubai catches up with NY on luxury real estate boom")</f>
        <v>Dubai catches up with NY on luxury real estate boom</v>
      </c>
      <c r="E331" s="507" t="str">
        <f>IFERROR(__xludf.DUMMYFUNCTION("""COMPUTED_VALUE"""),"https://www.bloomberglinea.com.br/2023/03/12/dubai-se-aproxima-de-ny-na-atracao-de-milionarios-que-buscam-casas-de-luxo/")</f>
        <v>https://www.bloomberglinea.com.br/2023/03/12/dubai-se-aproxima-de-ny-na-atracao-de-milionarios-que-buscam-casas-de-luxo/</v>
      </c>
      <c r="F331" s="368" t="str">
        <f>IFERROR(__xludf.DUMMYFUNCTION("""COMPUTED_VALUE"""),"Betterhomes")</f>
        <v>Betterhomes</v>
      </c>
    </row>
    <row r="332">
      <c r="A332" s="402">
        <f>IFERROR(__xludf.DUMMYFUNCTION("""COMPUTED_VALUE"""),44997.0)</f>
        <v>44997</v>
      </c>
      <c r="B332" s="368" t="str">
        <f>IFERROR(__xludf.DUMMYFUNCTION("""COMPUTED_VALUE"""),"Tier 2")</f>
        <v>Tier 2</v>
      </c>
      <c r="C332" s="368" t="str">
        <f>IFERROR(__xludf.DUMMYFUNCTION("""COMPUTED_VALUE"""),"Mena FN")</f>
        <v>Mena FN</v>
      </c>
      <c r="D332" s="368" t="str">
        <f>IFERROR(__xludf.DUMMYFUNCTION("""COMPUTED_VALUE"""),"Why Property Buyers Pay Up To 7% Extra Of Total Value?")</f>
        <v>Why Property Buyers Pay Up To 7% Extra Of Total Value?</v>
      </c>
      <c r="E332" s="507" t="str">
        <f>IFERROR(__xludf.DUMMYFUNCTION("""COMPUTED_VALUE"""),"https://menafn.com/1105778651/Why-Property-Buyers-Pay-Up-To-7-Extra-Of-Total-Value")</f>
        <v>https://menafn.com/1105778651/Why-Property-Buyers-Pay-Up-To-7-Extra-Of-Total-Value</v>
      </c>
      <c r="F332" s="368" t="str">
        <f>IFERROR(__xludf.DUMMYFUNCTION("""COMPUTED_VALUE"""),"Betterhomes")</f>
        <v>Betterhomes</v>
      </c>
    </row>
    <row r="333">
      <c r="A333" s="402">
        <f>IFERROR(__xludf.DUMMYFUNCTION("""COMPUTED_VALUE"""),44999.0)</f>
        <v>44999</v>
      </c>
      <c r="B333" s="368" t="str">
        <f>IFERROR(__xludf.DUMMYFUNCTION("""COMPUTED_VALUE"""),"Tier 3")</f>
        <v>Tier 3</v>
      </c>
      <c r="C333" s="368" t="str">
        <f>IFERROR(__xludf.DUMMYFUNCTION("""COMPUTED_VALUE"""),"The Indian Express (India)")</f>
        <v>The Indian Express (India)</v>
      </c>
      <c r="D333" s="368" t="str">
        <f>IFERROR(__xludf.DUMMYFUNCTION("""COMPUTED_VALUE"""),"Russia outside Russia’: For elite, Dubai becomes a wartime harbour")</f>
        <v>Russia outside Russia’: For elite, Dubai becomes a wartime harbour</v>
      </c>
      <c r="E333" s="507" t="str">
        <f>IFERROR(__xludf.DUMMYFUNCTION("""COMPUTED_VALUE"""),"https://indianexpress.com/article/world/how-dubai-became-russia-wartime-harbour-8495299/")</f>
        <v>https://indianexpress.com/article/world/how-dubai-became-russia-wartime-harbour-8495299/</v>
      </c>
      <c r="F333" s="368" t="str">
        <f>IFERROR(__xludf.DUMMYFUNCTION("""COMPUTED_VALUE"""),"Betterhomes")</f>
        <v>Betterhomes</v>
      </c>
    </row>
    <row r="334">
      <c r="A334" s="402">
        <f>IFERROR(__xludf.DUMMYFUNCTION("""COMPUTED_VALUE"""),44999.0)</f>
        <v>44999</v>
      </c>
      <c r="B334" s="368" t="str">
        <f>IFERROR(__xludf.DUMMYFUNCTION("""COMPUTED_VALUE"""),"Tier 2")</f>
        <v>Tier 2</v>
      </c>
      <c r="C334" s="368" t="str">
        <f>IFERROR(__xludf.DUMMYFUNCTION("""COMPUTED_VALUE"""),"Khaleej Times")</f>
        <v>Khaleej Times</v>
      </c>
      <c r="D334" s="368" t="str">
        <f>IFERROR(__xludf.DUMMYFUNCTION("""COMPUTED_VALUE"""),"Why Property Buyers Pay Up To 7% Extra Of Total Value?")</f>
        <v>Why Property Buyers Pay Up To 7% Extra Of Total Value?</v>
      </c>
      <c r="E334" s="507" t="str">
        <f>IFERROR(__xludf.DUMMYFUNCTION("""COMPUTED_VALUE"""),"https://www.khaleejtimes.com/business/why-property-buyers-pay-up-to-7-extra-of-total-value")</f>
        <v>https://www.khaleejtimes.com/business/why-property-buyers-pay-up-to-7-extra-of-total-value</v>
      </c>
      <c r="F334" s="368" t="str">
        <f>IFERROR(__xludf.DUMMYFUNCTION("""COMPUTED_VALUE"""),"Betterhomes")</f>
        <v>Betterhomes</v>
      </c>
    </row>
    <row r="335">
      <c r="A335" s="402">
        <f>IFERROR(__xludf.DUMMYFUNCTION("""COMPUTED_VALUE"""),45000.0)</f>
        <v>45000</v>
      </c>
      <c r="B335" s="368" t="str">
        <f>IFERROR(__xludf.DUMMYFUNCTION("""COMPUTED_VALUE"""),"Tier 2")</f>
        <v>Tier 2</v>
      </c>
      <c r="C335" s="368" t="str">
        <f>IFERROR(__xludf.DUMMYFUNCTION("""COMPUTED_VALUE"""),"Gulf News")</f>
        <v>Gulf News</v>
      </c>
      <c r="D335" s="368" t="str">
        <f>IFERROR(__xludf.DUMMYFUNCTION("""COMPUTED_VALUE"""),"Bayut and dubizzle hold their annual awards ceremony")</f>
        <v>Bayut and dubizzle hold their annual awards ceremony</v>
      </c>
      <c r="E335" s="507" t="str">
        <f>IFERROR(__xludf.DUMMYFUNCTION("""COMPUTED_VALUE"""),"https://gulfnews.com/business/corporate-news/bayut-and-dubizzle-hold-their-annual-awards-ceremony-1.1678870778266")</f>
        <v>https://gulfnews.com/business/corporate-news/bayut-and-dubizzle-hold-their-annual-awards-ceremony-1.1678870778266</v>
      </c>
      <c r="F335" s="368" t="str">
        <f>IFERROR(__xludf.DUMMYFUNCTION("""COMPUTED_VALUE"""),"Betterhomes")</f>
        <v>Betterhomes</v>
      </c>
    </row>
    <row r="336">
      <c r="A336" s="402">
        <f>IFERROR(__xludf.DUMMYFUNCTION("""COMPUTED_VALUE"""),45001.0)</f>
        <v>45001</v>
      </c>
      <c r="B336" s="368" t="str">
        <f>IFERROR(__xludf.DUMMYFUNCTION("""COMPUTED_VALUE"""),"Tier 3")</f>
        <v>Tier 3</v>
      </c>
      <c r="C336" s="368" t="str">
        <f>IFERROR(__xludf.DUMMYFUNCTION("""COMPUTED_VALUE"""),"De Morgen (Netherlands)")</f>
        <v>De Morgen (Netherlands)</v>
      </c>
      <c r="D336" s="368" t="str">
        <f>IFERROR(__xludf.DUMMYFUNCTION("""COMPUTED_VALUE"""),"This is a part of Russia outside Russia': how Dubai is becoming a haven for the Russian elite")</f>
        <v>This is a part of Russia outside Russia': how Dubai is becoming a haven for the Russian elite</v>
      </c>
      <c r="E336" s="507" t="str">
        <f>IFERROR(__xludf.DUMMYFUNCTION("""COMPUTED_VALUE"""),"https://www.demorgen.be/oorlog-in-oekraine/dit-is-een-deel-van-rusland-buiten-rusland-hoe-dubai-een-toevluchtsoord-voor-de-russische-elite-wordt~b198e9fd/?referrer=https%3A%2F%2Fwww.google.com%2F")</f>
        <v>https://www.demorgen.be/oorlog-in-oekraine/dit-is-een-deel-van-rusland-buiten-rusland-hoe-dubai-een-toevluchtsoord-voor-de-russische-elite-wordt~b198e9fd/?referrer=https%3A%2F%2Fwww.google.com%2F</v>
      </c>
      <c r="F336" s="368" t="str">
        <f>IFERROR(__xludf.DUMMYFUNCTION("""COMPUTED_VALUE"""),"Betterhomes")</f>
        <v>Betterhomes</v>
      </c>
    </row>
    <row r="337">
      <c r="A337" s="402">
        <f>IFERROR(__xludf.DUMMYFUNCTION("""COMPUTED_VALUE"""),45005.0)</f>
        <v>45005</v>
      </c>
      <c r="B337" s="368" t="str">
        <f>IFERROR(__xludf.DUMMYFUNCTION("""COMPUTED_VALUE"""),"Tier 1")</f>
        <v>Tier 1</v>
      </c>
      <c r="C337" s="368" t="str">
        <f>IFERROR(__xludf.DUMMYFUNCTION("""COMPUTED_VALUE"""),"The New York Times")</f>
        <v>The New York Times</v>
      </c>
      <c r="D337" s="368" t="str">
        <f>IFERROR(__xludf.DUMMYFUNCTION("""COMPUTED_VALUE"""),"Russia Outside Russia’: For Elite, Dubai Becomes a Wartime Harbor")</f>
        <v>Russia Outside Russia’: For Elite, Dubai Becomes a Wartime Harbor</v>
      </c>
      <c r="E337" s="507" t="str">
        <f>IFERROR(__xludf.DUMMYFUNCTION("""COMPUTED_VALUE"""),"https://www.nytimes.com/es/2023/03/20/espanol/rusos-dubai.html")</f>
        <v>https://www.nytimes.com/es/2023/03/20/espanol/rusos-dubai.html</v>
      </c>
      <c r="F337" s="368" t="str">
        <f>IFERROR(__xludf.DUMMYFUNCTION("""COMPUTED_VALUE"""),"Betterhomes")</f>
        <v>Betterhomes</v>
      </c>
    </row>
    <row r="338">
      <c r="A338" s="402">
        <f>IFERROR(__xludf.DUMMYFUNCTION("""COMPUTED_VALUE"""),45005.0)</f>
        <v>45005</v>
      </c>
      <c r="B338" s="368" t="str">
        <f>IFERROR(__xludf.DUMMYFUNCTION("""COMPUTED_VALUE"""),"Tier 1")</f>
        <v>Tier 1</v>
      </c>
      <c r="C338" s="368" t="str">
        <f>IFERROR(__xludf.DUMMYFUNCTION("""COMPUTED_VALUE"""),"BNN Bloomberg")</f>
        <v>BNN Bloomberg</v>
      </c>
      <c r="D338" s="368" t="str">
        <f>IFERROR(__xludf.DUMMYFUNCTION("""COMPUTED_VALUE"""),"Champagne Exports to Gulf Nations, Turkey Soar as Russia Sinks")</f>
        <v>Champagne Exports to Gulf Nations, Turkey Soar as Russia Sinks</v>
      </c>
      <c r="E338" s="507" t="str">
        <f>IFERROR(__xludf.DUMMYFUNCTION("""COMPUTED_VALUE"""),"https://www.bnnbloomberg.ca/champagne-exports-to-gulf-nations-turkey-soar-as-russia-sinks-1.1898741")</f>
        <v>https://www.bnnbloomberg.ca/champagne-exports-to-gulf-nations-turkey-soar-as-russia-sinks-1.1898741</v>
      </c>
      <c r="F338" s="368" t="str">
        <f>IFERROR(__xludf.DUMMYFUNCTION("""COMPUTED_VALUE"""),"Betterhomes")</f>
        <v>Betterhomes</v>
      </c>
    </row>
    <row r="339">
      <c r="A339" s="402">
        <f>IFERROR(__xludf.DUMMYFUNCTION("""COMPUTED_VALUE"""),45006.0)</f>
        <v>45006</v>
      </c>
      <c r="B339" s="368" t="str">
        <f>IFERROR(__xludf.DUMMYFUNCTION("""COMPUTED_VALUE"""),"Tier 2")</f>
        <v>Tier 2</v>
      </c>
      <c r="C339" s="368" t="str">
        <f>IFERROR(__xludf.DUMMYFUNCTION("""COMPUTED_VALUE"""),"Zawya ")</f>
        <v>Zawya </v>
      </c>
      <c r="D339" s="368" t="str">
        <f>IFERROR(__xludf.DUMMYFUNCTION("""COMPUTED_VALUE"""),"The inaugural Top 50 Homes competition takes Dubai by storm")</f>
        <v>The inaugural Top 50 Homes competition takes Dubai by storm</v>
      </c>
      <c r="E339" s="507" t="str">
        <f>IFERROR(__xludf.DUMMYFUNCTION("""COMPUTED_VALUE"""),"https://www.zawya.com/en/press-release/companies-news/the-inaugural-top-50-homes-competition-takes-dubai-by-storm-u1711svg")</f>
        <v>https://www.zawya.com/en/press-release/companies-news/the-inaugural-top-50-homes-competition-takes-dubai-by-storm-u1711svg</v>
      </c>
      <c r="F339" s="368" t="str">
        <f>IFERROR(__xludf.DUMMYFUNCTION("""COMPUTED_VALUE"""),"Prime by Betterhomes")</f>
        <v>Prime by Betterhomes</v>
      </c>
    </row>
    <row r="340">
      <c r="A340" s="402">
        <f>IFERROR(__xludf.DUMMYFUNCTION("""COMPUTED_VALUE"""),45006.0)</f>
        <v>45006</v>
      </c>
      <c r="B340" s="368" t="str">
        <f>IFERROR(__xludf.DUMMYFUNCTION("""COMPUTED_VALUE"""),"Tier 2")</f>
        <v>Tier 2</v>
      </c>
      <c r="C340" s="368" t="str">
        <f>IFERROR(__xludf.DUMMYFUNCTION("""COMPUTED_VALUE"""),"Khaleej Times")</f>
        <v>Khaleej Times</v>
      </c>
      <c r="D340" s="368" t="str">
        <f>IFERROR(__xludf.DUMMYFUNCTION("""COMPUTED_VALUE"""),"What you should know about freehold and leasehold properties")</f>
        <v>What you should know about freehold and leasehold properties</v>
      </c>
      <c r="E340" s="507" t="str">
        <f>IFERROR(__xludf.DUMMYFUNCTION("""COMPUTED_VALUE"""),"https://www.khaleejtimes.com/business/what-you-should-know-about-freehold-and-leasehold-properties")</f>
        <v>https://www.khaleejtimes.com/business/what-you-should-know-about-freehold-and-leasehold-properties</v>
      </c>
      <c r="F340" s="368" t="str">
        <f>IFERROR(__xludf.DUMMYFUNCTION("""COMPUTED_VALUE"""),"Betterhomes")</f>
        <v>Betterhomes</v>
      </c>
    </row>
    <row r="341">
      <c r="A341" s="402">
        <f>IFERROR(__xludf.DUMMYFUNCTION("""COMPUTED_VALUE"""),45014.0)</f>
        <v>45014</v>
      </c>
      <c r="B341" s="368" t="str">
        <f>IFERROR(__xludf.DUMMYFUNCTION("""COMPUTED_VALUE"""),"Tier 1")</f>
        <v>Tier 1</v>
      </c>
      <c r="C341" s="368" t="str">
        <f>IFERROR(__xludf.DUMMYFUNCTION("""COMPUTED_VALUE"""),"BBC ")</f>
        <v>BBC </v>
      </c>
      <c r="D341" s="368" t="str">
        <f>IFERROR(__xludf.DUMMYFUNCTION("""COMPUTED_VALUE"""),"Russian influx drives up rental prices in Dubai")</f>
        <v>Russian influx drives up rental prices in Dubai</v>
      </c>
      <c r="E341" s="507" t="str">
        <f>IFERROR(__xludf.DUMMYFUNCTION("""COMPUTED_VALUE"""),"https://www.bbc.com/news/business-65037061")</f>
        <v>https://www.bbc.com/news/business-65037061</v>
      </c>
      <c r="F341" s="368" t="str">
        <f>IFERROR(__xludf.DUMMYFUNCTION("""COMPUTED_VALUE"""),"Betterhomes")</f>
        <v>Betterhomes</v>
      </c>
    </row>
    <row r="342">
      <c r="A342" s="402">
        <f>IFERROR(__xludf.DUMMYFUNCTION("""COMPUTED_VALUE"""),45014.0)</f>
        <v>45014</v>
      </c>
      <c r="B342" s="368" t="str">
        <f>IFERROR(__xludf.DUMMYFUNCTION("""COMPUTED_VALUE"""),"Tier 2")</f>
        <v>Tier 2</v>
      </c>
      <c r="C342" s="368" t="str">
        <f>IFERROR(__xludf.DUMMYFUNCTION("""COMPUTED_VALUE"""),"Khaleej Times")</f>
        <v>Khaleej Times</v>
      </c>
      <c r="D342" s="368" t="str">
        <f>IFERROR(__xludf.DUMMYFUNCTION("""COMPUTED_VALUE"""),"Three options to consider if you are selling your property in Dubai")</f>
        <v>Three options to consider if you are selling your property in Dubai</v>
      </c>
      <c r="E342" s="507" t="str">
        <f>IFERROR(__xludf.DUMMYFUNCTION("""COMPUTED_VALUE"""),"https://www.khaleejtimes.com/business/three-options-to-consider-if-you-are-selling-your-property-in-dubai-2")</f>
        <v>https://www.khaleejtimes.com/business/three-options-to-consider-if-you-are-selling-your-property-in-dubai-2</v>
      </c>
      <c r="F342" s="368" t="str">
        <f>IFERROR(__xludf.DUMMYFUNCTION("""COMPUTED_VALUE"""),"Betterhomes")</f>
        <v>Betterhomes</v>
      </c>
    </row>
    <row r="343">
      <c r="A343" s="402">
        <f>IFERROR(__xludf.DUMMYFUNCTION("""COMPUTED_VALUE"""),45015.0)</f>
        <v>45015</v>
      </c>
      <c r="B343" s="368" t="str">
        <f>IFERROR(__xludf.DUMMYFUNCTION("""COMPUTED_VALUE"""),"Tier 2")</f>
        <v>Tier 2</v>
      </c>
      <c r="C343" s="368" t="str">
        <f>IFERROR(__xludf.DUMMYFUNCTION("""COMPUTED_VALUE"""),"Time Out Dubai")</f>
        <v>Time Out Dubai</v>
      </c>
      <c r="D343" s="368" t="str">
        <f>IFERROR(__xludf.DUMMYFUNCTION("""COMPUTED_VALUE"""),"You can now vote for Dubai’s most luxurious home")</f>
        <v>You can now vote for Dubai’s most luxurious home</v>
      </c>
      <c r="E343" s="507" t="str">
        <f>IFERROR(__xludf.DUMMYFUNCTION("""COMPUTED_VALUE"""),"https://www.timeoutdubai.com/news/dubai-luxury-homes-competition")</f>
        <v>https://www.timeoutdubai.com/news/dubai-luxury-homes-competition</v>
      </c>
      <c r="F343" s="368" t="str">
        <f>IFERROR(__xludf.DUMMYFUNCTION("""COMPUTED_VALUE"""),"Prime by Betterhomes")</f>
        <v>Prime by Betterhomes</v>
      </c>
    </row>
    <row r="344">
      <c r="A344" s="402">
        <f>IFERROR(__xludf.DUMMYFUNCTION("""COMPUTED_VALUE"""),45016.0)</f>
        <v>45016</v>
      </c>
      <c r="B344" s="368" t="str">
        <f>IFERROR(__xludf.DUMMYFUNCTION("""COMPUTED_VALUE"""),"Tier 2")</f>
        <v>Tier 2</v>
      </c>
      <c r="C344" s="368" t="str">
        <f>IFERROR(__xludf.DUMMYFUNCTION("""COMPUTED_VALUE"""),"Time Out Dubai")</f>
        <v>Time Out Dubai</v>
      </c>
      <c r="D344" s="368" t="str">
        <f>IFERROR(__xludf.DUMMYFUNCTION("""COMPUTED_VALUE"""),"See inside Mo Vlogs’ bachelor pad in Downtown Dubai")</f>
        <v>See inside Mo Vlogs’ bachelor pad in Downtown Dubai</v>
      </c>
      <c r="E344" s="507" t="str">
        <f>IFERROR(__xludf.DUMMYFUNCTION("""COMPUTED_VALUE"""),"https://www.timeoutdubai.com/news/mo-vlogs-house-downtown-dubai")</f>
        <v>https://www.timeoutdubai.com/news/mo-vlogs-house-downtown-dubai</v>
      </c>
      <c r="F344" s="368" t="str">
        <f>IFERROR(__xludf.DUMMYFUNCTION("""COMPUTED_VALUE"""),"Prime by Betterhomes")</f>
        <v>Prime by Betterhomes</v>
      </c>
    </row>
    <row r="345">
      <c r="A345" s="402">
        <f>IFERROR(__xludf.DUMMYFUNCTION("""COMPUTED_VALUE"""),45017.0)</f>
        <v>45017</v>
      </c>
      <c r="B345" s="368" t="str">
        <f>IFERROR(__xludf.DUMMYFUNCTION("""COMPUTED_VALUE"""),"Tier 2")</f>
        <v>Tier 2</v>
      </c>
      <c r="C345" s="368" t="str">
        <f>IFERROR(__xludf.DUMMYFUNCTION("""COMPUTED_VALUE"""),"Arabian Business")</f>
        <v>Arabian Business</v>
      </c>
      <c r="D345" s="368" t="str">
        <f>IFERROR(__xludf.DUMMYFUNCTION("""COMPUTED_VALUE"""),"Revealed: 50 best homes in Dubai")</f>
        <v>Revealed: 50 best homes in Dubai</v>
      </c>
      <c r="E345" s="507" t="str">
        <f>IFERROR(__xludf.DUMMYFUNCTION("""COMPUTED_VALUE"""),"https://www.arabianbusiness.com/industries/real-estate/revealed-50-best-homes-in-dubai")</f>
        <v>https://www.arabianbusiness.com/industries/real-estate/revealed-50-best-homes-in-dubai</v>
      </c>
      <c r="F345" s="368" t="str">
        <f>IFERROR(__xludf.DUMMYFUNCTION("""COMPUTED_VALUE"""),"Prime by Betterhomes")</f>
        <v>Prime by Betterhomes</v>
      </c>
    </row>
    <row r="346">
      <c r="A346" s="402">
        <f>IFERROR(__xludf.DUMMYFUNCTION("""COMPUTED_VALUE"""),45018.0)</f>
        <v>45018</v>
      </c>
      <c r="B346" s="368" t="str">
        <f>IFERROR(__xludf.DUMMYFUNCTION("""COMPUTED_VALUE"""),"Tier 1")</f>
        <v>Tier 1</v>
      </c>
      <c r="C346" s="368" t="str">
        <f>IFERROR(__xludf.DUMMYFUNCTION("""COMPUTED_VALUE"""),"Bloomberg")</f>
        <v>Bloomberg</v>
      </c>
      <c r="D346" s="368" t="str">
        <f>IFERROR(__xludf.DUMMYFUNCTION("""COMPUTED_VALUE"""),"Dubai’s Latest Boom Is Pricing Out the Expats It Once Coveted")</f>
        <v>Dubai’s Latest Boom Is Pricing Out the Expats It Once Coveted</v>
      </c>
      <c r="E346" s="507" t="str">
        <f>IFERROR(__xludf.DUMMYFUNCTION("""COMPUTED_VALUE"""),"https://www.bloomberg.com/news/articles/2023-04-02/how-expensive-is-dubai-for-expats-rents-groceries-school-fees-surge#xj4y7vzkg")</f>
        <v>https://www.bloomberg.com/news/articles/2023-04-02/how-expensive-is-dubai-for-expats-rents-groceries-school-fees-surge#xj4y7vzkg</v>
      </c>
      <c r="F346" s="368" t="str">
        <f>IFERROR(__xludf.DUMMYFUNCTION("""COMPUTED_VALUE"""),"Betterhomes")</f>
        <v>Betterhomes</v>
      </c>
    </row>
    <row r="347">
      <c r="A347" s="402">
        <f>IFERROR(__xludf.DUMMYFUNCTION("""COMPUTED_VALUE"""),45019.0)</f>
        <v>45019</v>
      </c>
      <c r="B347" s="368" t="str">
        <f>IFERROR(__xludf.DUMMYFUNCTION("""COMPUTED_VALUE"""),"Tier 3")</f>
        <v>Tier 3</v>
      </c>
      <c r="C347" s="368" t="str">
        <f>IFERROR(__xludf.DUMMYFUNCTION("""COMPUTED_VALUE"""),"Harber Global (Turkey)")</f>
        <v>Harber Global (Turkey)</v>
      </c>
      <c r="D347" s="368" t="str">
        <f>IFERROR(__xludf.DUMMYFUNCTION("""COMPUTED_VALUE"""),"Familiar words in Dubai: 'We will move out, get out'")</f>
        <v>Familiar words in Dubai: 'We will move out, get out'</v>
      </c>
      <c r="E347" s="507" t="str">
        <f>IFERROR(__xludf.DUMMYFUNCTION("""COMPUTED_VALUE"""),"https://haberglobal.com.tr/ekonomi/dubaide-tanidik-sozler-biz-tasinacagiz-cikin-241925")</f>
        <v>https://haberglobal.com.tr/ekonomi/dubaide-tanidik-sozler-biz-tasinacagiz-cikin-241925</v>
      </c>
      <c r="F347" s="368" t="str">
        <f>IFERROR(__xludf.DUMMYFUNCTION("""COMPUTED_VALUE"""),"Betterhomes")</f>
        <v>Betterhomes</v>
      </c>
    </row>
    <row r="348">
      <c r="A348" s="402">
        <f>IFERROR(__xludf.DUMMYFUNCTION("""COMPUTED_VALUE"""),45019.0)</f>
        <v>45019</v>
      </c>
      <c r="B348" s="368" t="str">
        <f>IFERROR(__xludf.DUMMYFUNCTION("""COMPUTED_VALUE"""),"Tier 1")</f>
        <v>Tier 1</v>
      </c>
      <c r="C348" s="368" t="str">
        <f>IFERROR(__xludf.DUMMYFUNCTION("""COMPUTED_VALUE"""),"BBC ")</f>
        <v>BBC </v>
      </c>
      <c r="D348" s="368" t="str">
        <f>IFERROR(__xludf.DUMMYFUNCTION("""COMPUTED_VALUE"""),"How the influx of Russians has increased the rent in Dubai")</f>
        <v>How the influx of Russians has increased the rent in Dubai</v>
      </c>
      <c r="E348" s="507" t="str">
        <f>IFERROR(__xludf.DUMMYFUNCTION("""COMPUTED_VALUE"""),"https://www.bbc.com/hausa/articles/cqqzzd3r5nvo")</f>
        <v>https://www.bbc.com/hausa/articles/cqqzzd3r5nvo</v>
      </c>
      <c r="F348" s="368" t="str">
        <f>IFERROR(__xludf.DUMMYFUNCTION("""COMPUTED_VALUE"""),"Betterhomes")</f>
        <v>Betterhomes</v>
      </c>
    </row>
    <row r="349">
      <c r="A349" s="402">
        <f>IFERROR(__xludf.DUMMYFUNCTION("""COMPUTED_VALUE"""),45019.0)</f>
        <v>45019</v>
      </c>
      <c r="B349" s="368" t="str">
        <f>IFERROR(__xludf.DUMMYFUNCTION("""COMPUTED_VALUE"""),"Tier 3")</f>
        <v>Tier 3</v>
      </c>
      <c r="C349" s="368" t="str">
        <f>IFERROR(__xludf.DUMMYFUNCTION("""COMPUTED_VALUE"""),"Jordan News")</f>
        <v>Jordan News</v>
      </c>
      <c r="D349" s="368" t="str">
        <f>IFERROR(__xludf.DUMMYFUNCTION("""COMPUTED_VALUE"""),"‘Russia outside Russia’: For elite, Dubai becomes a wartime harbor")</f>
        <v>‘Russia outside Russia’: For elite, Dubai becomes a wartime harbor</v>
      </c>
      <c r="E349" s="507" t="str">
        <f>IFERROR(__xludf.DUMMYFUNCTION("""COMPUTED_VALUE"""),"https://www.jordannews.jo/Section-120/All/Russia-outside-Russia-For-elite-Dubai-becomes-a-wartime-harbor-27896")</f>
        <v>https://www.jordannews.jo/Section-120/All/Russia-outside-Russia-For-elite-Dubai-becomes-a-wartime-harbor-27896</v>
      </c>
      <c r="F349" s="368" t="str">
        <f>IFERROR(__xludf.DUMMYFUNCTION("""COMPUTED_VALUE"""),"Betterhomes")</f>
        <v>Betterhomes</v>
      </c>
    </row>
    <row r="350">
      <c r="A350" s="402">
        <f>IFERROR(__xludf.DUMMYFUNCTION("""COMPUTED_VALUE"""),45021.0)</f>
        <v>45021</v>
      </c>
      <c r="B350" s="368" t="str">
        <f>IFERROR(__xludf.DUMMYFUNCTION("""COMPUTED_VALUE"""),"Tier 2")</f>
        <v>Tier 2</v>
      </c>
      <c r="C350" s="368" t="str">
        <f>IFERROR(__xludf.DUMMYFUNCTION("""COMPUTED_VALUE"""),"Khaleej Times")</f>
        <v>Khaleej Times</v>
      </c>
      <c r="D350" s="368" t="str">
        <f>IFERROR(__xludf.DUMMYFUNCTION("""COMPUTED_VALUE"""),"Dubai: Landlord must give 12 months' notice if property is to be vacated for renovation")</f>
        <v>Dubai: Landlord must give 12 months' notice if property is to be vacated for renovation</v>
      </c>
      <c r="E350" s="507" t="str">
        <f>IFERROR(__xludf.DUMMYFUNCTION("""COMPUTED_VALUE"""),"https://www.khaleejtimes.com/business/dubai-landlord-must-give-12-months-notice-if-property-is-to-be-vacated-for-renovation")</f>
        <v>https://www.khaleejtimes.com/business/dubai-landlord-must-give-12-months-notice-if-property-is-to-be-vacated-for-renovation</v>
      </c>
      <c r="F350" s="368" t="str">
        <f>IFERROR(__xludf.DUMMYFUNCTION("""COMPUTED_VALUE"""),"Betterhomes")</f>
        <v>Betterhomes</v>
      </c>
    </row>
    <row r="351">
      <c r="A351" s="402">
        <f>IFERROR(__xludf.DUMMYFUNCTION("""COMPUTED_VALUE"""),45030.0)</f>
        <v>45030</v>
      </c>
      <c r="B351" s="368" t="str">
        <f>IFERROR(__xludf.DUMMYFUNCTION("""COMPUTED_VALUE"""),"Tier 2")</f>
        <v>Tier 2</v>
      </c>
      <c r="C351" s="368" t="str">
        <f>IFERROR(__xludf.DUMMYFUNCTION("""COMPUTED_VALUE"""),"Zawya ")</f>
        <v>Zawya </v>
      </c>
      <c r="D351" s="368" t="str">
        <f>IFERROR(__xludf.DUMMYFUNCTION("""COMPUTED_VALUE"""),"How to buy property in Dubai if you are not a resident")</f>
        <v>How to buy property in Dubai if you are not a resident</v>
      </c>
      <c r="E351" s="507" t="str">
        <f>IFERROR(__xludf.DUMMYFUNCTION("""COMPUTED_VALUE"""),"https://www.zawya.com/en/business/real-estate/how-to-buy-property-in-dubai-if-you-are-not-a-resident-ly409tqq")</f>
        <v>https://www.zawya.com/en/business/real-estate/how-to-buy-property-in-dubai-if-you-are-not-a-resident-ly409tqq</v>
      </c>
      <c r="F351" s="368" t="str">
        <f>IFERROR(__xludf.DUMMYFUNCTION("""COMPUTED_VALUE"""),"Betterhomes")</f>
        <v>Betterhomes</v>
      </c>
    </row>
    <row r="352">
      <c r="A352" s="402">
        <f>IFERROR(__xludf.DUMMYFUNCTION("""COMPUTED_VALUE"""),45030.0)</f>
        <v>45030</v>
      </c>
      <c r="B352" s="368" t="str">
        <f>IFERROR(__xludf.DUMMYFUNCTION("""COMPUTED_VALUE"""),"Tier 2")</f>
        <v>Tier 2</v>
      </c>
      <c r="C352" s="368" t="str">
        <f>IFERROR(__xludf.DUMMYFUNCTION("""COMPUTED_VALUE"""),"Khaleej Times")</f>
        <v>Khaleej Times</v>
      </c>
      <c r="D352" s="368" t="str">
        <f>IFERROR(__xludf.DUMMYFUNCTION("""COMPUTED_VALUE"""),"How to buy property in Dubai if you are not a resident")</f>
        <v>How to buy property in Dubai if you are not a resident</v>
      </c>
      <c r="E352" s="507" t="str">
        <f>IFERROR(__xludf.DUMMYFUNCTION("""COMPUTED_VALUE"""),"https://www.khaleejtimes.com/business/how-to-buy-property-in-dubai-if-you-are-not-a-resident")</f>
        <v>https://www.khaleejtimes.com/business/how-to-buy-property-in-dubai-if-you-are-not-a-resident</v>
      </c>
      <c r="F352" s="368" t="str">
        <f>IFERROR(__xludf.DUMMYFUNCTION("""COMPUTED_VALUE"""),"Betterhomes")</f>
        <v>Betterhomes</v>
      </c>
    </row>
    <row r="353">
      <c r="A353" s="402">
        <f>IFERROR(__xludf.DUMMYFUNCTION("""COMPUTED_VALUE"""),45031.0)</f>
        <v>45031</v>
      </c>
      <c r="B353" s="368" t="str">
        <f>IFERROR(__xludf.DUMMYFUNCTION("""COMPUTED_VALUE"""),"Tier 3")</f>
        <v>Tier 3</v>
      </c>
      <c r="C353" s="368" t="str">
        <f>IFERROR(__xludf.DUMMYFUNCTION("""COMPUTED_VALUE"""),"Ziare (Romania)")</f>
        <v>Ziare (Romania)</v>
      </c>
      <c r="D353" s="368" t="str">
        <f>IFERROR(__xludf.DUMMYFUNCTION("""COMPUTED_VALUE"""),"The country of Russian paradise, a coup for Moscow: Block the accounts of Putin's fugitives      ")</f>
        <v>The country of Russian paradise, a coup for Moscow: Block the accounts of Putin's fugitives      </v>
      </c>
      <c r="E353" s="507" t="str">
        <f>IFERROR(__xludf.DUMMYFUNCTION("""COMPUTED_VALUE"""),"https://ziare.com/dubai/paradisul-rusilor-emiratele-arabe-lovitura-pentru-putin-cea-mai-mare-banca-dubai-enbd-blocheaza-conturile-investitii-rusi-1799578")</f>
        <v>https://ziare.com/dubai/paradisul-rusilor-emiratele-arabe-lovitura-pentru-putin-cea-mai-mare-banca-dubai-enbd-blocheaza-conturile-investitii-rusi-1799578</v>
      </c>
      <c r="F353" s="368" t="str">
        <f>IFERROR(__xludf.DUMMYFUNCTION("""COMPUTED_VALUE"""),"Betterhomes")</f>
        <v>Betterhomes</v>
      </c>
    </row>
    <row r="354">
      <c r="A354" s="402">
        <f>IFERROR(__xludf.DUMMYFUNCTION("""COMPUTED_VALUE"""),45043.0)</f>
        <v>45043</v>
      </c>
      <c r="B354" s="368" t="str">
        <f>IFERROR(__xludf.DUMMYFUNCTION("""COMPUTED_VALUE"""),"Tier 1")</f>
        <v>Tier 1</v>
      </c>
      <c r="C354" s="368" t="str">
        <f>IFERROR(__xludf.DUMMYFUNCTION("""COMPUTED_VALUE"""),"Forbes (Russia)")</f>
        <v>Forbes (Russia)</v>
      </c>
      <c r="D354" s="368" t="str">
        <f>IFERROR(__xludf.DUMMYFUNCTION("""COMPUTED_VALUE"""),"Live where the sun and the sea: 12 questions about real estate in Turkey")</f>
        <v>Live where the sun and the sea: 12 questions about real estate in Turkey</v>
      </c>
      <c r="E354" s="507" t="str">
        <f>IFERROR(__xludf.DUMMYFUNCTION("""COMPUTED_VALUE"""),"https://www.forbes.ru/brandvoice/488403-zit-gde-solnce-i-more-12-voprosov-o-nedvizimosti-v-turcii")</f>
        <v>https://www.forbes.ru/brandvoice/488403-zit-gde-solnce-i-more-12-voprosov-o-nedvizimosti-v-turcii</v>
      </c>
      <c r="F354" s="368" t="str">
        <f>IFERROR(__xludf.DUMMYFUNCTION("""COMPUTED_VALUE"""),"Betterhomes")</f>
        <v>Betterhomes</v>
      </c>
    </row>
    <row r="355">
      <c r="A355" s="402">
        <f>IFERROR(__xludf.DUMMYFUNCTION("""COMPUTED_VALUE"""),45043.0)</f>
        <v>45043</v>
      </c>
      <c r="B355" s="368" t="str">
        <f>IFERROR(__xludf.DUMMYFUNCTION("""COMPUTED_VALUE"""),"Tier 1")</f>
        <v>Tier 1</v>
      </c>
      <c r="C355" s="368" t="str">
        <f>IFERROR(__xludf.DUMMYFUNCTION("""COMPUTED_VALUE"""),"Forbes (Russia)")</f>
        <v>Forbes (Russia)</v>
      </c>
      <c r="D355" s="368" t="str">
        <f>IFERROR(__xludf.DUMMYFUNCTION("""COMPUTED_VALUE"""),"Emirate of opportunities: features of relocation to Dubai")</f>
        <v>Emirate of opportunities: features of relocation to Dubai</v>
      </c>
      <c r="E355" s="507" t="str">
        <f>IFERROR(__xludf.DUMMYFUNCTION("""COMPUTED_VALUE"""),"https://www.forbes.ru/brandvoice/488385-emirat-vozmoznostej-osobennosti-relokacii-v-dubaj")</f>
        <v>https://www.forbes.ru/brandvoice/488385-emirat-vozmoznostej-osobennosti-relokacii-v-dubaj</v>
      </c>
      <c r="F355" s="368" t="str">
        <f>IFERROR(__xludf.DUMMYFUNCTION("""COMPUTED_VALUE"""),"Betterhomes")</f>
        <v>Betterhomes</v>
      </c>
    </row>
    <row r="356">
      <c r="A356" s="402">
        <f>IFERROR(__xludf.DUMMYFUNCTION("""COMPUTED_VALUE"""),45043.0)</f>
        <v>45043</v>
      </c>
      <c r="B356" s="368" t="str">
        <f>IFERROR(__xludf.DUMMYFUNCTION("""COMPUTED_VALUE"""),"Tier 2")</f>
        <v>Tier 2</v>
      </c>
      <c r="C356" s="368" t="str">
        <f>IFERROR(__xludf.DUMMYFUNCTION("""COMPUTED_VALUE"""),"Zawya ")</f>
        <v>Zawya </v>
      </c>
      <c r="D356" s="368" t="str">
        <f>IFERROR(__xludf.DUMMYFUNCTION("""COMPUTED_VALUE"""),"Dubai property: British, Indian, and Russian buyers lead real estate market; Pakistanis slip out of top 10")</f>
        <v>Dubai property: British, Indian, and Russian buyers lead real estate market; Pakistanis slip out of top 10</v>
      </c>
      <c r="E356" s="507" t="str">
        <f>IFERROR(__xludf.DUMMYFUNCTION("""COMPUTED_VALUE"""),"https://www.zawya.com/en/business/real-estate/dubai-property-british-indian-and-russian-buyers-lead-real-estate-market-pakistanis-slip-out-of-top-10-n61n484u")</f>
        <v>https://www.zawya.com/en/business/real-estate/dubai-property-british-indian-and-russian-buyers-lead-real-estate-market-pakistanis-slip-out-of-top-10-n61n484u</v>
      </c>
      <c r="F356" s="368" t="str">
        <f>IFERROR(__xludf.DUMMYFUNCTION("""COMPUTED_VALUE"""),"Betterhomes")</f>
        <v>Betterhomes</v>
      </c>
    </row>
    <row r="357">
      <c r="A357" s="402">
        <f>IFERROR(__xludf.DUMMYFUNCTION("""COMPUTED_VALUE"""),45043.0)</f>
        <v>45043</v>
      </c>
      <c r="B357" s="368" t="str">
        <f>IFERROR(__xludf.DUMMYFUNCTION("""COMPUTED_VALUE"""),"Tier 2")</f>
        <v>Tier 2</v>
      </c>
      <c r="C357" s="368" t="str">
        <f>IFERROR(__xludf.DUMMYFUNCTION("""COMPUTED_VALUE"""),"Khaleej Times")</f>
        <v>Khaleej Times</v>
      </c>
      <c r="D357" s="368" t="str">
        <f>IFERROR(__xludf.DUMMYFUNCTION("""COMPUTED_VALUE"""),"Dubai property: British, Indian, and Russian buyers lead real estate market; Pakistanis slip out of top 10")</f>
        <v>Dubai property: British, Indian, and Russian buyers lead real estate market; Pakistanis slip out of top 10</v>
      </c>
      <c r="E357" s="507" t="str">
        <f>IFERROR(__xludf.DUMMYFUNCTION("""COMPUTED_VALUE"""),"https://www.khaleejtimes.com/business/property/dubai-property-british-indian-and-russian-buyers-lead-real-estate-market-pakistanis-slip-out-of")</f>
        <v>https://www.khaleejtimes.com/business/property/dubai-property-british-indian-and-russian-buyers-lead-real-estate-market-pakistanis-slip-out-of</v>
      </c>
      <c r="F357" s="368" t="str">
        <f>IFERROR(__xludf.DUMMYFUNCTION("""COMPUTED_VALUE"""),"Betterhomes")</f>
        <v>Betterhomes</v>
      </c>
    </row>
    <row r="358">
      <c r="A358" s="402">
        <f>IFERROR(__xludf.DUMMYFUNCTION("""COMPUTED_VALUE"""),45044.0)</f>
        <v>45044</v>
      </c>
      <c r="B358" s="368" t="str">
        <f>IFERROR(__xludf.DUMMYFUNCTION("""COMPUTED_VALUE"""),"Tier 2")</f>
        <v>Tier 2</v>
      </c>
      <c r="C358" s="368" t="str">
        <f>IFERROR(__xludf.DUMMYFUNCTION("""COMPUTED_VALUE"""),"Zawya ")</f>
        <v>Zawya </v>
      </c>
      <c r="D358" s="368" t="str">
        <f>IFERROR(__xludf.DUMMYFUNCTION("""COMPUTED_VALUE"""),"Steps to buying a property in Dubai")</f>
        <v>Steps to buying a property in Dubai</v>
      </c>
      <c r="E358" s="507" t="str">
        <f>IFERROR(__xludf.DUMMYFUNCTION("""COMPUTED_VALUE"""),"https://www.zawya.com/en/business/real-estate/steps-to-buying-a-property-in-dubai-ym3xbfuu")</f>
        <v>https://www.zawya.com/en/business/real-estate/steps-to-buying-a-property-in-dubai-ym3xbfuu</v>
      </c>
      <c r="F358" s="368" t="str">
        <f>IFERROR(__xludf.DUMMYFUNCTION("""COMPUTED_VALUE"""),"Betterhomes")</f>
        <v>Betterhomes</v>
      </c>
    </row>
    <row r="359">
      <c r="A359" s="402">
        <f>IFERROR(__xludf.DUMMYFUNCTION("""COMPUTED_VALUE"""),45044.0)</f>
        <v>45044</v>
      </c>
      <c r="B359" s="368" t="str">
        <f>IFERROR(__xludf.DUMMYFUNCTION("""COMPUTED_VALUE"""),"Tier 2")</f>
        <v>Tier 2</v>
      </c>
      <c r="C359" s="368" t="str">
        <f>IFERROR(__xludf.DUMMYFUNCTION("""COMPUTED_VALUE"""),"Khaleej Times")</f>
        <v>Khaleej Times</v>
      </c>
      <c r="D359" s="368" t="str">
        <f>IFERROR(__xludf.DUMMYFUNCTION("""COMPUTED_VALUE"""),"Steps to buying a property in Dubai")</f>
        <v>Steps to buying a property in Dubai</v>
      </c>
      <c r="E359" s="507" t="str">
        <f>IFERROR(__xludf.DUMMYFUNCTION("""COMPUTED_VALUE"""),"https://www.khaleejtimes.com/business/property/steps-to-buying-a-property-in-dubai")</f>
        <v>https://www.khaleejtimes.com/business/property/steps-to-buying-a-property-in-dubai</v>
      </c>
      <c r="F359" s="368" t="str">
        <f>IFERROR(__xludf.DUMMYFUNCTION("""COMPUTED_VALUE"""),"Betterhomes")</f>
        <v>Betterhomes</v>
      </c>
    </row>
    <row r="360">
      <c r="A360" s="402">
        <f>IFERROR(__xludf.DUMMYFUNCTION("""COMPUTED_VALUE"""),45044.0)</f>
        <v>45044</v>
      </c>
      <c r="B360" s="368" t="str">
        <f>IFERROR(__xludf.DUMMYFUNCTION("""COMPUTED_VALUE"""),"Tier 3")</f>
        <v>Tier 3</v>
      </c>
      <c r="C360" s="368" t="str">
        <f>IFERROR(__xludf.DUMMYFUNCTION("""COMPUTED_VALUE"""),"9News")</f>
        <v>9News</v>
      </c>
      <c r="D360" s="368" t="str">
        <f>IFERROR(__xludf.DUMMYFUNCTION("""COMPUTED_VALUE"""),"Parcel of sandy land on Dubai island sells for $50 million")</f>
        <v>Parcel of sandy land on Dubai island sells for $50 million</v>
      </c>
      <c r="E360" s="507" t="str">
        <f>IFERROR(__xludf.DUMMYFUNCTION("""COMPUTED_VALUE"""),"https://www.9news.com.au/world/dubai-island-plot-of-empty-land-sold-for-fifty-million-dollars-in-record-sale/7e7745b4-340e-47e2-be40-166b3c9b3c1f")</f>
        <v>https://www.9news.com.au/world/dubai-island-plot-of-empty-land-sold-for-fifty-million-dollars-in-record-sale/7e7745b4-340e-47e2-be40-166b3c9b3c1f</v>
      </c>
      <c r="F360" s="368" t="str">
        <f>IFERROR(__xludf.DUMMYFUNCTION("""COMPUTED_VALUE"""),"Betterhomes")</f>
        <v>Betterhomes</v>
      </c>
    </row>
    <row r="361">
      <c r="A361" s="402">
        <f>IFERROR(__xludf.DUMMYFUNCTION("""COMPUTED_VALUE"""),45049.0)</f>
        <v>45049</v>
      </c>
      <c r="B361" s="368" t="str">
        <f>IFERROR(__xludf.DUMMYFUNCTION("""COMPUTED_VALUE"""),"Tier 2")</f>
        <v>Tier 2</v>
      </c>
      <c r="C361" s="368" t="str">
        <f>IFERROR(__xludf.DUMMYFUNCTION("""COMPUTED_VALUE"""),"Khaleej Times")</f>
        <v>Khaleej Times</v>
      </c>
      <c r="D361" s="368" t="str">
        <f>IFERROR(__xludf.DUMMYFUNCTION("""COMPUTED_VALUE"""),"How much do I have to pay an agent to buy a home in Dubai?")</f>
        <v>How much do I have to pay an agent to buy a home in Dubai?</v>
      </c>
      <c r="E361" s="507" t="str">
        <f>IFERROR(__xludf.DUMMYFUNCTION("""COMPUTED_VALUE"""),"https://www.khaleejtimes.com/business/how-much-do-i-have-to-pay-an-agent-to-buy-a-home-in-dubai")</f>
        <v>https://www.khaleejtimes.com/business/how-much-do-i-have-to-pay-an-agent-to-buy-a-home-in-dubai</v>
      </c>
      <c r="F361" s="368" t="str">
        <f>IFERROR(__xludf.DUMMYFUNCTION("""COMPUTED_VALUE"""),"Betterhomes")</f>
        <v>Betterhomes</v>
      </c>
    </row>
    <row r="362">
      <c r="A362" s="402">
        <f>IFERROR(__xludf.DUMMYFUNCTION("""COMPUTED_VALUE"""),45050.0)</f>
        <v>45050</v>
      </c>
      <c r="B362" s="368" t="str">
        <f>IFERROR(__xludf.DUMMYFUNCTION("""COMPUTED_VALUE"""),"Tier 2")</f>
        <v>Tier 2</v>
      </c>
      <c r="C362" s="368" t="str">
        <f>IFERROR(__xludf.DUMMYFUNCTION("""COMPUTED_VALUE"""),"Construction News")</f>
        <v>Construction News</v>
      </c>
      <c r="D362" s="368" t="str">
        <f>IFERROR(__xludf.DUMMYFUNCTION("""COMPUTED_VALUE"""),"Buying property in Dubai: Top buyer nationalities revealed")</f>
        <v>Buying property in Dubai: Top buyer nationalities revealed</v>
      </c>
      <c r="E362" s="507" t="str">
        <f>IFERROR(__xludf.DUMMYFUNCTION("""COMPUTED_VALUE"""),"https://www.constructionweekonline.com/business/buying-property-in-dubai-top-buyer-nationalities-revealed")</f>
        <v>https://www.constructionweekonline.com/business/buying-property-in-dubai-top-buyer-nationalities-revealed</v>
      </c>
      <c r="F362" s="368" t="str">
        <f>IFERROR(__xludf.DUMMYFUNCTION("""COMPUTED_VALUE"""),"Betterhomes")</f>
        <v>Betterhomes</v>
      </c>
    </row>
    <row r="363">
      <c r="A363" s="402">
        <f>IFERROR(__xludf.DUMMYFUNCTION("""COMPUTED_VALUE"""),45049.0)</f>
        <v>45049</v>
      </c>
      <c r="B363" s="368" t="str">
        <f>IFERROR(__xludf.DUMMYFUNCTION("""COMPUTED_VALUE"""),"Tier 2")</f>
        <v>Tier 2</v>
      </c>
      <c r="C363" s="368" t="str">
        <f>IFERROR(__xludf.DUMMYFUNCTION("""COMPUTED_VALUE"""),"Arabian Business")</f>
        <v>Arabian Business</v>
      </c>
      <c r="D363" s="368" t="str">
        <f>IFERROR(__xludf.DUMMYFUNCTION("""COMPUTED_VALUE"""),"Dubai’s most popular residential areas, buyer nationalities revealed")</f>
        <v>Dubai’s most popular residential areas, buyer nationalities revealed</v>
      </c>
      <c r="E363" s="507" t="str">
        <f>IFERROR(__xludf.DUMMYFUNCTION("""COMPUTED_VALUE"""),"https://www.arabianbusiness.com/industries/real-estate/dubais-most-popular-residential-areas-buyer-nationalities-revealed")</f>
        <v>https://www.arabianbusiness.com/industries/real-estate/dubais-most-popular-residential-areas-buyer-nationalities-revealed</v>
      </c>
      <c r="F363" s="368" t="str">
        <f>IFERROR(__xludf.DUMMYFUNCTION("""COMPUTED_VALUE"""),"Betterhomes")</f>
        <v>Betterhomes</v>
      </c>
    </row>
    <row r="364">
      <c r="A364" s="402">
        <f>IFERROR(__xludf.DUMMYFUNCTION("""COMPUTED_VALUE"""),45049.0)</f>
        <v>45049</v>
      </c>
      <c r="B364" s="368" t="str">
        <f>IFERROR(__xludf.DUMMYFUNCTION("""COMPUTED_VALUE"""),"Tier 3")</f>
        <v>Tier 3</v>
      </c>
      <c r="C364" s="368" t="str">
        <f>IFERROR(__xludf.DUMMYFUNCTION("""COMPUTED_VALUE"""),"RU News24 (Russia)")</f>
        <v>RU News24 (Russia)</v>
      </c>
      <c r="D364" s="368" t="str">
        <f>IFERROR(__xludf.DUMMYFUNCTION("""COMPUTED_VALUE"""),"RUSSIANS ENTERED THE TOP 3 MAIN BUYERS OF REAL ESTATE IN DUBAI")</f>
        <v>RUSSIANS ENTERED THE TOP 3 MAIN BUYERS OF REAL ESTATE IN DUBAI</v>
      </c>
      <c r="E364" s="507" t="str">
        <f>IFERROR(__xludf.DUMMYFUNCTION("""COMPUTED_VALUE"""),"https://runews24.ru/realty/08/05/2023/2d3010790707d895bb61870f26beba78")</f>
        <v>https://runews24.ru/realty/08/05/2023/2d3010790707d895bb61870f26beba78</v>
      </c>
      <c r="F364" s="368" t="str">
        <f>IFERROR(__xludf.DUMMYFUNCTION("""COMPUTED_VALUE"""),"Betterhomes")</f>
        <v>Betterhomes</v>
      </c>
    </row>
    <row r="365">
      <c r="A365" s="402">
        <f>IFERROR(__xludf.DUMMYFUNCTION("""COMPUTED_VALUE"""),45053.0)</f>
        <v>45053</v>
      </c>
      <c r="B365" s="368" t="str">
        <f>IFERROR(__xludf.DUMMYFUNCTION("""COMPUTED_VALUE"""),"Tier 2")</f>
        <v>Tier 2</v>
      </c>
      <c r="C365" s="368" t="str">
        <f>IFERROR(__xludf.DUMMYFUNCTION("""COMPUTED_VALUE"""),"The National ")</f>
        <v>The National </v>
      </c>
      <c r="D365" s="368" t="str">
        <f>IFERROR(__xludf.DUMMYFUNCTION("""COMPUTED_VALUE"""),"Dubai's World Islands developer aims for 2026 finish after delays")</f>
        <v>Dubai's World Islands developer aims for 2026 finish after delays</v>
      </c>
      <c r="E365" s="507" t="str">
        <f>IFERROR(__xludf.DUMMYFUNCTION("""COMPUTED_VALUE"""),"https://www.thenationalnews.com/uae/2023/05/07/dubais-world-islands-developer-aims-for-2026-finish-after-fresh-delays/")</f>
        <v>https://www.thenationalnews.com/uae/2023/05/07/dubais-world-islands-developer-aims-for-2026-finish-after-fresh-delays/</v>
      </c>
      <c r="F365" s="368" t="str">
        <f>IFERROR(__xludf.DUMMYFUNCTION("""COMPUTED_VALUE"""),"Betterhomes")</f>
        <v>Betterhomes</v>
      </c>
    </row>
    <row r="366">
      <c r="A366" s="402">
        <f>IFERROR(__xludf.DUMMYFUNCTION("""COMPUTED_VALUE"""),45053.0)</f>
        <v>45053</v>
      </c>
      <c r="B366" s="368" t="str">
        <f>IFERROR(__xludf.DUMMYFUNCTION("""COMPUTED_VALUE"""),"Tier 2")</f>
        <v>Tier 2</v>
      </c>
      <c r="C366" s="368" t="str">
        <f>IFERROR(__xludf.DUMMYFUNCTION("""COMPUTED_VALUE"""),"Khaleej Times")</f>
        <v>Khaleej Times</v>
      </c>
      <c r="D366" s="368" t="str">
        <f>IFERROR(__xludf.DUMMYFUNCTION("""COMPUTED_VALUE"""),"Renting in Dubai? Fees to pay, required documents, all you need to know before moving")</f>
        <v>Renting in Dubai? Fees to pay, required documents, all you need to know before moving</v>
      </c>
      <c r="E366" s="507" t="str">
        <f>IFERROR(__xludf.DUMMYFUNCTION("""COMPUTED_VALUE"""),"https://www.khaleejtimes.com/business/your-guide-to-renting-in-dubai")</f>
        <v>https://www.khaleejtimes.com/business/your-guide-to-renting-in-dubai</v>
      </c>
      <c r="F366" s="368" t="str">
        <f>IFERROR(__xludf.DUMMYFUNCTION("""COMPUTED_VALUE"""),"Betterhomes")</f>
        <v>Betterhomes</v>
      </c>
    </row>
    <row r="367">
      <c r="A367" s="402">
        <f>IFERROR(__xludf.DUMMYFUNCTION("""COMPUTED_VALUE"""),45061.0)</f>
        <v>45061</v>
      </c>
      <c r="B367" s="368" t="str">
        <f>IFERROR(__xludf.DUMMYFUNCTION("""COMPUTED_VALUE"""),"Tier 3")</f>
        <v>Tier 3</v>
      </c>
      <c r="C367" s="368" t="str">
        <f>IFERROR(__xludf.DUMMYFUNCTION("""COMPUTED_VALUE"""),"Atalayar (Spain)")</f>
        <v>Atalayar (Spain)</v>
      </c>
      <c r="D367" s="368" t="str">
        <f>IFERROR(__xludf.DUMMYFUNCTION("""COMPUTED_VALUE"""),"Dubai, the city that increasingly attracts foreign businessmen")</f>
        <v>Dubai, the city that increasingly attracts foreign businessmen</v>
      </c>
      <c r="E367" s="507" t="str">
        <f>IFERROR(__xludf.DUMMYFUNCTION("""COMPUTED_VALUE"""),"https://www.atalayar.com/articulo/economia-y-empresas/dubai-ciudad-que-atrae-cada-vez-mas-empresarios-extranjeros/20230509162107184378.html")</f>
        <v>https://www.atalayar.com/articulo/economia-y-empresas/dubai-ciudad-que-atrae-cada-vez-mas-empresarios-extranjeros/20230509162107184378.html</v>
      </c>
      <c r="F367" s="368" t="str">
        <f>IFERROR(__xludf.DUMMYFUNCTION("""COMPUTED_VALUE"""),"Betterhomes")</f>
        <v>Betterhomes</v>
      </c>
    </row>
    <row r="368">
      <c r="A368" s="402">
        <f>IFERROR(__xludf.DUMMYFUNCTION("""COMPUTED_VALUE"""),45063.0)</f>
        <v>45063</v>
      </c>
      <c r="B368" s="368" t="str">
        <f>IFERROR(__xludf.DUMMYFUNCTION("""COMPUTED_VALUE"""),"Tier 2")</f>
        <v>Tier 2</v>
      </c>
      <c r="C368" s="368" t="str">
        <f>IFERROR(__xludf.DUMMYFUNCTION("""COMPUTED_VALUE"""),"The National ")</f>
        <v>The National </v>
      </c>
      <c r="D368" s="368" t="str">
        <f>IFERROR(__xludf.DUMMYFUNCTION("""COMPUTED_VALUE"""),"Tenants served notice as Palm Jumeirah's The Pointe tipped for redevelopment")</f>
        <v>Tenants served notice as Palm Jumeirah's The Pointe tipped for redevelopment</v>
      </c>
      <c r="E368" s="507" t="str">
        <f>IFERROR(__xludf.DUMMYFUNCTION("""COMPUTED_VALUE"""),"https://www.thenationalnews.com/uae/2023/05/17/tenants-served-notice-as-palm-jumeriahs-the-pointe-tipped-for-redevelopment/")</f>
        <v>https://www.thenationalnews.com/uae/2023/05/17/tenants-served-notice-as-palm-jumeriahs-the-pointe-tipped-for-redevelopment/</v>
      </c>
      <c r="F368" s="368" t="str">
        <f>IFERROR(__xludf.DUMMYFUNCTION("""COMPUTED_VALUE"""),"Betterhomes")</f>
        <v>Betterhomes</v>
      </c>
    </row>
    <row r="369">
      <c r="A369" s="402">
        <f>IFERROR(__xludf.DUMMYFUNCTION("""COMPUTED_VALUE"""),45071.0)</f>
        <v>45071</v>
      </c>
      <c r="B369" s="368" t="str">
        <f>IFERROR(__xludf.DUMMYFUNCTION("""COMPUTED_VALUE"""),"Tier 3")</f>
        <v>Tier 3</v>
      </c>
      <c r="C369" s="368" t="str">
        <f>IFERROR(__xludf.DUMMYFUNCTION("""COMPUTED_VALUE"""),"Le Monde (France)")</f>
        <v>Le Monde (France)</v>
      </c>
      <c r="D369" s="368" t="str">
        <f>IFERROR(__xludf.DUMMYFUNCTION("""COMPUTED_VALUE"""),"In Dubai, the influx of Russians causes a surge in real estate")</f>
        <v>In Dubai, the influx of Russians causes a surge in real estate</v>
      </c>
      <c r="E369" s="507" t="str">
        <f>IFERROR(__xludf.DUMMYFUNCTION("""COMPUTED_VALUE"""),"https://www.lemonde.fr/international/article/2023/05/24/a-dubai-l-afflux-des-russes-provoque-une-crise-immobiliere_6174649_3210.html")</f>
        <v>https://www.lemonde.fr/international/article/2023/05/24/a-dubai-l-afflux-des-russes-provoque-une-crise-immobiliere_6174649_3210.html</v>
      </c>
      <c r="F369" s="368" t="str">
        <f>IFERROR(__xludf.DUMMYFUNCTION("""COMPUTED_VALUE"""),"Betterhomes")</f>
        <v>Betterhomes</v>
      </c>
    </row>
    <row r="370">
      <c r="A370" s="402">
        <f>IFERROR(__xludf.DUMMYFUNCTION("""COMPUTED_VALUE"""),45071.0)</f>
        <v>45071</v>
      </c>
      <c r="B370" s="368" t="str">
        <f>IFERROR(__xludf.DUMMYFUNCTION("""COMPUTED_VALUE"""),"Tier 3")</f>
        <v>Tier 3</v>
      </c>
      <c r="C370" s="368" t="str">
        <f>IFERROR(__xludf.DUMMYFUNCTION("""COMPUTED_VALUE"""),"The Cradle")</f>
        <v>The Cradle</v>
      </c>
      <c r="D370" s="368" t="str">
        <f>IFERROR(__xludf.DUMMYFUNCTION("""COMPUTED_VALUE"""),"UAE becomes Russian gold trade hub due to western sanctions")</f>
        <v>UAE becomes Russian gold trade hub due to western sanctions</v>
      </c>
      <c r="E370" s="507" t="str">
        <f>IFERROR(__xludf.DUMMYFUNCTION("""COMPUTED_VALUE"""),"https://thecradle.co/article-view/25252/uae-becomes-russian-gold-trade-hub-due-to-western-sanctions")</f>
        <v>https://thecradle.co/article-view/25252/uae-becomes-russian-gold-trade-hub-due-to-western-sanctions</v>
      </c>
      <c r="F370" s="368" t="str">
        <f>IFERROR(__xludf.DUMMYFUNCTION("""COMPUTED_VALUE"""),"Betterhomes")</f>
        <v>Betterhomes</v>
      </c>
    </row>
    <row r="371">
      <c r="A371" s="402">
        <f>IFERROR(__xludf.DUMMYFUNCTION("""COMPUTED_VALUE"""),45072.0)</f>
        <v>45072</v>
      </c>
      <c r="B371" s="368" t="str">
        <f>IFERROR(__xludf.DUMMYFUNCTION("""COMPUTED_VALUE"""),"Tier 2")</f>
        <v>Tier 2</v>
      </c>
      <c r="C371" s="368" t="str">
        <f>IFERROR(__xludf.DUMMYFUNCTION("""COMPUTED_VALUE"""),"Zawya ")</f>
        <v>Zawya </v>
      </c>
      <c r="D371" s="368" t="str">
        <f>IFERROR(__xludf.DUMMYFUNCTION("""COMPUTED_VALUE"""),"Are rent-to-own units a good option for property buyers in Dubai?")</f>
        <v>Are rent-to-own units a good option for property buyers in Dubai?</v>
      </c>
      <c r="E371" s="507" t="str">
        <f>IFERROR(__xludf.DUMMYFUNCTION("""COMPUTED_VALUE"""),"https://www.zawya.com/en/business/real-estate/are-rent-to-own-units-a-good-option-for-property-buyers-in-dubai-j01bp4vu")</f>
        <v>https://www.zawya.com/en/business/real-estate/are-rent-to-own-units-a-good-option-for-property-buyers-in-dubai-j01bp4vu</v>
      </c>
      <c r="F371" s="368" t="str">
        <f>IFERROR(__xludf.DUMMYFUNCTION("""COMPUTED_VALUE"""),"Betterhomes")</f>
        <v>Betterhomes</v>
      </c>
    </row>
    <row r="372">
      <c r="A372" s="402">
        <f>IFERROR(__xludf.DUMMYFUNCTION("""COMPUTED_VALUE"""),45072.0)</f>
        <v>45072</v>
      </c>
      <c r="B372" s="368" t="str">
        <f>IFERROR(__xludf.DUMMYFUNCTION("""COMPUTED_VALUE"""),"Tier 2")</f>
        <v>Tier 2</v>
      </c>
      <c r="C372" s="368" t="str">
        <f>IFERROR(__xludf.DUMMYFUNCTION("""COMPUTED_VALUE"""),"Khaleej Times")</f>
        <v>Khaleej Times</v>
      </c>
      <c r="D372" s="368" t="str">
        <f>IFERROR(__xludf.DUMMYFUNCTION("""COMPUTED_VALUE"""),"Are rent-to-own units a good option for property buyers in Dubai?")</f>
        <v>Are rent-to-own units a good option for property buyers in Dubai?</v>
      </c>
      <c r="E372" s="507" t="str">
        <f>IFERROR(__xludf.DUMMYFUNCTION("""COMPUTED_VALUE"""),"https://www.khaleejtimes.com/business/are-rent-to-own-units-a-good-option-for-property-buyers-in-dubai")</f>
        <v>https://www.khaleejtimes.com/business/are-rent-to-own-units-a-good-option-for-property-buyers-in-dubai</v>
      </c>
      <c r="F372" s="368" t="str">
        <f>IFERROR(__xludf.DUMMYFUNCTION("""COMPUTED_VALUE"""),"Betterhomes")</f>
        <v>Betterhomes</v>
      </c>
    </row>
    <row r="373">
      <c r="A373" s="402">
        <f>IFERROR(__xludf.DUMMYFUNCTION("""COMPUTED_VALUE"""),45069.0)</f>
        <v>45069</v>
      </c>
      <c r="B373" s="368" t="str">
        <f>IFERROR(__xludf.DUMMYFUNCTION("""COMPUTED_VALUE"""),"Tier 2")</f>
        <v>Tier 2</v>
      </c>
      <c r="C373" s="368" t="str">
        <f>IFERROR(__xludf.DUMMYFUNCTION("""COMPUTED_VALUE"""),"Zawya ")</f>
        <v>Zawya </v>
      </c>
      <c r="D373" s="368" t="str">
        <f>IFERROR(__xludf.DUMMYFUNCTION("""COMPUTED_VALUE"""),"Property Finder brings together UAE real estate industry leaders at Property Finder Connect 2023 event")</f>
        <v>Property Finder brings together UAE real estate industry leaders at Property Finder Connect 2023 event</v>
      </c>
      <c r="E373" s="507" t="str">
        <f>IFERROR(__xludf.DUMMYFUNCTION("""COMPUTED_VALUE"""),"https://www.zawya.com/en/press-release/companies-news/property-finder-brings-together-uae-real-estate-industry-leaders-at-property-finder-connect-2023-event-x1vs7r8h")</f>
        <v>https://www.zawya.com/en/press-release/companies-news/property-finder-brings-together-uae-real-estate-industry-leaders-at-property-finder-connect-2023-event-x1vs7r8h</v>
      </c>
      <c r="F373" s="368" t="str">
        <f>IFERROR(__xludf.DUMMYFUNCTION("""COMPUTED_VALUE"""),"Betterhomes")</f>
        <v>Betterhomes</v>
      </c>
    </row>
    <row r="374">
      <c r="A374" s="402">
        <f>IFERROR(__xludf.DUMMYFUNCTION("""COMPUTED_VALUE"""),45077.0)</f>
        <v>45077</v>
      </c>
      <c r="B374" s="368" t="str">
        <f>IFERROR(__xludf.DUMMYFUNCTION("""COMPUTED_VALUE"""),"Tier 3")</f>
        <v>Tier 3</v>
      </c>
      <c r="C374" s="368" t="str">
        <f>IFERROR(__xludf.DUMMYFUNCTION("""COMPUTED_VALUE"""),"Capital (France)")</f>
        <v>Capital (France)</v>
      </c>
      <c r="D374" s="368" t="str">
        <f>IFERROR(__xludf.DUMMYFUNCTION("""COMPUTED_VALUE"""),"Why the war in Ukraine caused a 36% increase in rents in Dubai")</f>
        <v>Why the war in Ukraine caused a 36% increase in rents in Dubai</v>
      </c>
      <c r="E374" s="507" t="str">
        <f>IFERROR(__xludf.DUMMYFUNCTION("""COMPUTED_VALUE"""),"https://www.capital.fr/immobilier/pourquoi-la-guerre-en-ukraine-a-provoque-une-augmentation-de-36-des-loyers-a-dubai-1469893")</f>
        <v>https://www.capital.fr/immobilier/pourquoi-la-guerre-en-ukraine-a-provoque-une-augmentation-de-36-des-loyers-a-dubai-1469893</v>
      </c>
      <c r="F374" s="368" t="str">
        <f>IFERROR(__xludf.DUMMYFUNCTION("""COMPUTED_VALUE"""),"Betterhomes")</f>
        <v>Betterhomes</v>
      </c>
    </row>
    <row r="375">
      <c r="A375" s="402">
        <f>IFERROR(__xludf.DUMMYFUNCTION("""COMPUTED_VALUE"""),45077.0)</f>
        <v>45077</v>
      </c>
      <c r="B375" s="368" t="str">
        <f>IFERROR(__xludf.DUMMYFUNCTION("""COMPUTED_VALUE"""),"Tier 2")</f>
        <v>Tier 2</v>
      </c>
      <c r="C375" s="368" t="str">
        <f>IFERROR(__xludf.DUMMYFUNCTION("""COMPUTED_VALUE"""),"Khaleej Times")</f>
        <v>Khaleej Times</v>
      </c>
      <c r="D375" s="368" t="str">
        <f>IFERROR(__xludf.DUMMYFUNCTION("""COMPUTED_VALUE"""),"Top luxury property buyers in Dubai: Chinese, British investors overtake Indians")</f>
        <v>Top luxury property buyers in Dubai: Chinese, British investors overtake Indians</v>
      </c>
      <c r="E375" s="507" t="str">
        <f>IFERROR(__xludf.DUMMYFUNCTION("""COMPUTED_VALUE"""),"https://www.khaleejtimes.com/business/property/top-luxury-property-buyers-in-dubai-chinese-british-investors-overtake-indians")</f>
        <v>https://www.khaleejtimes.com/business/property/top-luxury-property-buyers-in-dubai-chinese-british-investors-overtake-indians</v>
      </c>
      <c r="F375" s="368" t="str">
        <f>IFERROR(__xludf.DUMMYFUNCTION("""COMPUTED_VALUE"""),"Betterhomes")</f>
        <v>Betterhomes</v>
      </c>
    </row>
    <row r="376">
      <c r="A376" s="402">
        <f>IFERROR(__xludf.DUMMYFUNCTION("""COMPUTED_VALUE"""),45077.0)</f>
        <v>45077</v>
      </c>
      <c r="B376" s="368" t="str">
        <f>IFERROR(__xludf.DUMMYFUNCTION("""COMPUTED_VALUE"""),"Tier 3")</f>
        <v>Tier 3</v>
      </c>
      <c r="C376" s="368" t="str">
        <f>IFERROR(__xludf.DUMMYFUNCTION("""COMPUTED_VALUE"""),"Le Petit Journal (France)")</f>
        <v>Le Petit Journal (France)</v>
      </c>
      <c r="D376" s="368" t="str">
        <f>IFERROR(__xludf.DUMMYFUNCTION("""COMPUTED_VALUE"""),"The most popular areas of Dubai and the nationalities of buyers")</f>
        <v>The most popular areas of Dubai and the nationalities of buyers</v>
      </c>
      <c r="E376" s="507" t="str">
        <f>IFERROR(__xludf.DUMMYFUNCTION("""COMPUTED_VALUE"""),"https://lepetitjournal.com/dubai/logement/quartiers-populaires-dubai-nationalites-acheteurs-361117")</f>
        <v>https://lepetitjournal.com/dubai/logement/quartiers-populaires-dubai-nationalites-acheteurs-361117</v>
      </c>
      <c r="F376" s="368" t="str">
        <f>IFERROR(__xludf.DUMMYFUNCTION("""COMPUTED_VALUE"""),"Betterhomes")</f>
        <v>Betterhomes</v>
      </c>
    </row>
    <row r="377">
      <c r="A377" s="402">
        <f>IFERROR(__xludf.DUMMYFUNCTION("""COMPUTED_VALUE"""),45085.0)</f>
        <v>45085</v>
      </c>
      <c r="B377" s="368" t="str">
        <f>IFERROR(__xludf.DUMMYFUNCTION("""COMPUTED_VALUE"""),"Tier 2")</f>
        <v>Tier 2</v>
      </c>
      <c r="C377" s="368" t="str">
        <f>IFERROR(__xludf.DUMMYFUNCTION("""COMPUTED_VALUE"""),"The Digital Journal ")</f>
        <v>The Digital Journal </v>
      </c>
      <c r="D377" s="368" t="str">
        <f>IFERROR(__xludf.DUMMYFUNCTION("""COMPUTED_VALUE"""),"The Uphill Trajectory of Property Technology Within the Middle East")</f>
        <v>The Uphill Trajectory of Property Technology Within the Middle East</v>
      </c>
      <c r="E377" s="507" t="str">
        <f>IFERROR(__xludf.DUMMYFUNCTION("""COMPUTED_VALUE"""),"https://www.digitaljournal.com/pr/news/binary-news-network/the-uphill-trajectory-of-property-technology-within-the-middle-east")</f>
        <v>https://www.digitaljournal.com/pr/news/binary-news-network/the-uphill-trajectory-of-property-technology-within-the-middle-east</v>
      </c>
      <c r="F377" s="368" t="str">
        <f>IFERROR(__xludf.DUMMYFUNCTION("""COMPUTED_VALUE"""),"Betterhomes")</f>
        <v>Betterhomes</v>
      </c>
    </row>
    <row r="378">
      <c r="A378" s="402">
        <f>IFERROR(__xludf.DUMMYFUNCTION("""COMPUTED_VALUE"""),45085.0)</f>
        <v>45085</v>
      </c>
      <c r="B378" s="368" t="str">
        <f>IFERROR(__xludf.DUMMYFUNCTION("""COMPUTED_VALUE"""),"Tier 2")</f>
        <v>Tier 2</v>
      </c>
      <c r="C378" s="368" t="str">
        <f>IFERROR(__xludf.DUMMYFUNCTION("""COMPUTED_VALUE"""),"The National ")</f>
        <v>The National </v>
      </c>
      <c r="D378" s="368" t="str">
        <f>IFERROR(__xludf.DUMMYFUNCTION("""COMPUTED_VALUE"""),"Moving to Abu Dhabi: Best residential areas for middle income earners")</f>
        <v>Moving to Abu Dhabi: Best residential areas for middle income earners</v>
      </c>
      <c r="E378" s="507" t="str">
        <f>IFERROR(__xludf.DUMMYFUNCTION("""COMPUTED_VALUE"""),"https://www.thenationalnews.com/uae/2023/06/08/moving-to-abu-dhabi-best-residential-areas-for-middle-income-earners/")</f>
        <v>https://www.thenationalnews.com/uae/2023/06/08/moving-to-abu-dhabi-best-residential-areas-for-middle-income-earners/</v>
      </c>
      <c r="F378" s="368" t="str">
        <f>IFERROR(__xludf.DUMMYFUNCTION("""COMPUTED_VALUE"""),"Betterhomes")</f>
        <v>Betterhomes</v>
      </c>
    </row>
    <row r="379">
      <c r="A379" s="402">
        <f>IFERROR(__xludf.DUMMYFUNCTION("""COMPUTED_VALUE"""),45088.0)</f>
        <v>45088</v>
      </c>
      <c r="B379" s="368" t="str">
        <f>IFERROR(__xludf.DUMMYFUNCTION("""COMPUTED_VALUE"""),"Tier 3")</f>
        <v>Tier 3</v>
      </c>
      <c r="C379" s="368" t="str">
        <f>IFERROR(__xludf.DUMMYFUNCTION("""COMPUTED_VALUE"""),"Panorama")</f>
        <v>Panorama</v>
      </c>
      <c r="D379" s="368" t="str">
        <f>IFERROR(__xludf.DUMMYFUNCTION("""COMPUTED_VALUE"""),"Real estate investments in Dubai: From costs, offers and pitfalls, what you need to know about the trend that has reached Romania")</f>
        <v>Real estate investments in Dubai: From costs, offers and pitfalls, what you need to know about the trend that has reached Romania</v>
      </c>
      <c r="E379" s="507" t="str">
        <f>IFERROR(__xludf.DUMMYFUNCTION("""COMPUTED_VALUE"""),"https://panorama.ro/imobiliare-dubai-investitie-romani-piata-imobiliara/")</f>
        <v>https://panorama.ro/imobiliare-dubai-investitie-romani-piata-imobiliara/</v>
      </c>
      <c r="F379" s="368" t="str">
        <f>IFERROR(__xludf.DUMMYFUNCTION("""COMPUTED_VALUE"""),"Betterhomes")</f>
        <v>Betterhomes</v>
      </c>
    </row>
    <row r="380">
      <c r="A380" s="402">
        <f>IFERROR(__xludf.DUMMYFUNCTION("""COMPUTED_VALUE"""),45089.0)</f>
        <v>45089</v>
      </c>
      <c r="B380" s="368" t="str">
        <f>IFERROR(__xludf.DUMMYFUNCTION("""COMPUTED_VALUE"""),"Tier 1")</f>
        <v>Tier 1</v>
      </c>
      <c r="C380" s="368" t="str">
        <f>IFERROR(__xludf.DUMMYFUNCTION("""COMPUTED_VALUE"""),"CNN")</f>
        <v>CNN</v>
      </c>
      <c r="D380" s="368" t="str">
        <f>IFERROR(__xludf.DUMMYFUNCTION("""COMPUTED_VALUE"""),"The Dubai 50 Homes Awards celebrate exceptional design")</f>
        <v>The Dubai 50 Homes Awards celebrate exceptional design</v>
      </c>
      <c r="E380" s="507" t="str">
        <f>IFERROR(__xludf.DUMMYFUNCTION("""COMPUTED_VALUE"""),"https://cnnbusinessarabic.com/real-estate-construction/27602/%d8%ad%d9%81%d9%84-%d8%aa%d9%88%d8%b2%d9%8a%d8%b9-%d8%ac%d9%88%d8%a7%d8%a6%d8%b2-%d8%a3%d9%81%d8%b6%d9%84-50-%d9%85%d9%86%d8%b2%d9%84%d8%a7%d9%8b-%d9%81%d9%8a-%d8%af%d8%a8%d9%8a-%d9%8a%d8%ad%d8%"&amp;"aa")</f>
        <v>https://cnnbusinessarabic.com/real-estate-construction/27602/%d8%ad%d9%81%d9%84-%d8%aa%d9%88%d8%b2%d9%8a%d8%b9-%d8%ac%d9%88%d8%a7%d8%a6%d8%b2-%d8%a3%d9%81%d8%b6%d9%84-50-%d9%85%d9%86%d8%b2%d9%84%d8%a7%d9%8b-%d9%81%d9%8a-%d8%af%d8%a8%d9%8a-%d9%8a%d8%ad%d8%aa</v>
      </c>
      <c r="F380" s="368" t="str">
        <f>IFERROR(__xludf.DUMMYFUNCTION("""COMPUTED_VALUE"""),"Prime by Betterhomes")</f>
        <v>Prime by Betterhomes</v>
      </c>
    </row>
    <row r="381">
      <c r="A381" s="402">
        <f>IFERROR(__xludf.DUMMYFUNCTION("""COMPUTED_VALUE"""),45091.0)</f>
        <v>45091</v>
      </c>
      <c r="B381" s="368" t="str">
        <f>IFERROR(__xludf.DUMMYFUNCTION("""COMPUTED_VALUE"""),"Tier 2")</f>
        <v>Tier 2</v>
      </c>
      <c r="C381" s="368" t="str">
        <f>IFERROR(__xludf.DUMMYFUNCTION("""COMPUTED_VALUE"""),"Khaleej Times")</f>
        <v>Khaleej Times</v>
      </c>
      <c r="D381" s="368" t="str">
        <f>IFERROR(__xludf.DUMMYFUNCTION("""COMPUTED_VALUE"""),"UAE residency: Here are various visas you can get after purchasing a property")</f>
        <v>UAE residency: Here are various visas you can get after purchasing a property</v>
      </c>
      <c r="E381" s="507" t="str">
        <f>IFERROR(__xludf.DUMMYFUNCTION("""COMPUTED_VALUE"""),"https://www.khaleejtimes.com/business/uae-here-are-the-various-visas-you-can-get-on-purchasing-a-property")</f>
        <v>https://www.khaleejtimes.com/business/uae-here-are-the-various-visas-you-can-get-on-purchasing-a-property</v>
      </c>
      <c r="F381" s="368" t="str">
        <f>IFERROR(__xludf.DUMMYFUNCTION("""COMPUTED_VALUE"""),"Betterhomes")</f>
        <v>Betterhomes</v>
      </c>
    </row>
    <row r="382">
      <c r="A382" s="402">
        <f>IFERROR(__xludf.DUMMYFUNCTION("""COMPUTED_VALUE"""),45092.0)</f>
        <v>45092</v>
      </c>
      <c r="B382" s="368" t="str">
        <f>IFERROR(__xludf.DUMMYFUNCTION("""COMPUTED_VALUE"""),"Tier 3")</f>
        <v>Tier 3</v>
      </c>
      <c r="C382" s="368" t="str">
        <f>IFERROR(__xludf.DUMMYFUNCTION("""COMPUTED_VALUE"""),"Area Militar (Portuguese)")</f>
        <v>Area Militar (Portuguese)</v>
      </c>
      <c r="D382" s="368" t="str">
        <f>IFERROR(__xludf.DUMMYFUNCTION("""COMPUTED_VALUE"""),"Russians have led among foreign property buyers in Turkey for half a year")</f>
        <v>Russians have led among foreign property buyers in Turkey for half a year</v>
      </c>
      <c r="E382" s="507" t="str">
        <f>IFERROR(__xludf.DUMMYFUNCTION("""COMPUTED_VALUE"""),"https://areamilitarof.com/russia-os-russos-lideram-entre-os-compradores-estrangeiros-de-imoveis-na-turquia-ha-meio-ano/")</f>
        <v>https://areamilitarof.com/russia-os-russos-lideram-entre-os-compradores-estrangeiros-de-imoveis-na-turquia-ha-meio-ano/</v>
      </c>
      <c r="F382" s="368" t="str">
        <f>IFERROR(__xludf.DUMMYFUNCTION("""COMPUTED_VALUE"""),"Betterhomes")</f>
        <v>Betterhomes</v>
      </c>
    </row>
    <row r="383">
      <c r="A383" s="402">
        <f>IFERROR(__xludf.DUMMYFUNCTION("""COMPUTED_VALUE"""),45092.0)</f>
        <v>45092</v>
      </c>
      <c r="B383" s="368" t="str">
        <f>IFERROR(__xludf.DUMMYFUNCTION("""COMPUTED_VALUE"""),"Tier 2")</f>
        <v>Tier 2</v>
      </c>
      <c r="C383" s="368" t="str">
        <f>IFERROR(__xludf.DUMMYFUNCTION("""COMPUTED_VALUE"""),"Arabian Business")</f>
        <v>Arabian Business</v>
      </c>
      <c r="D383" s="368" t="str">
        <f>IFERROR(__xludf.DUMMYFUNCTION("""COMPUTED_VALUE"""),"From pandemic-era startup to industry player: K4’s rise to the top")</f>
        <v>From pandemic-era startup to industry player: K4’s rise to the top</v>
      </c>
      <c r="E383" s="507" t="str">
        <f>IFERROR(__xludf.DUMMYFUNCTION("""COMPUTED_VALUE"""),"https://www.arabianbusiness.com/resources/from-pandemic-era-startup-to-industry-player-k4s-rise-to-the-top")</f>
        <v>https://www.arabianbusiness.com/resources/from-pandemic-era-startup-to-industry-player-k4s-rise-to-the-top</v>
      </c>
      <c r="F383" s="368" t="str">
        <f>IFERROR(__xludf.DUMMYFUNCTION("""COMPUTED_VALUE"""),"Prime by Betterhomes")</f>
        <v>Prime by Betterhomes</v>
      </c>
    </row>
    <row r="384">
      <c r="A384" s="402">
        <f>IFERROR(__xludf.DUMMYFUNCTION("""COMPUTED_VALUE"""),45093.0)</f>
        <v>45093</v>
      </c>
      <c r="B384" s="368" t="str">
        <f>IFERROR(__xludf.DUMMYFUNCTION("""COMPUTED_VALUE"""),"Tier 2")</f>
        <v>Tier 2</v>
      </c>
      <c r="C384" s="368" t="str">
        <f>IFERROR(__xludf.DUMMYFUNCTION("""COMPUTED_VALUE"""),"The National ")</f>
        <v>The National </v>
      </c>
      <c r="D384" s="368" t="str">
        <f>IFERROR(__xludf.DUMMYFUNCTION("""COMPUTED_VALUE"""),"Dubai's property bubble far from bursting, real estate experts say")</f>
        <v>Dubai's property bubble far from bursting, real estate experts say</v>
      </c>
      <c r="E384" s="507" t="str">
        <f>IFERROR(__xludf.DUMMYFUNCTION("""COMPUTED_VALUE"""),"https://www.thenationalnews.com/uae/2023/06/15/dubais-property-bubble-far-from-bursting-real-estate-experts-say/")</f>
        <v>https://www.thenationalnews.com/uae/2023/06/15/dubais-property-bubble-far-from-bursting-real-estate-experts-say/</v>
      </c>
      <c r="F384" s="368" t="str">
        <f>IFERROR(__xludf.DUMMYFUNCTION("""COMPUTED_VALUE"""),"Betterhomes")</f>
        <v>Betterhomes</v>
      </c>
    </row>
    <row r="385">
      <c r="A385" s="402">
        <f>IFERROR(__xludf.DUMMYFUNCTION("""COMPUTED_VALUE"""),45096.0)</f>
        <v>45096</v>
      </c>
      <c r="B385" s="368" t="str">
        <f>IFERROR(__xludf.DUMMYFUNCTION("""COMPUTED_VALUE"""),"Tier 2")</f>
        <v>Tier 2</v>
      </c>
      <c r="C385" s="368" t="str">
        <f>IFERROR(__xludf.DUMMYFUNCTION("""COMPUTED_VALUE"""),"Yahoo")</f>
        <v>Yahoo</v>
      </c>
      <c r="D385" s="368" t="str">
        <f>IFERROR(__xludf.DUMMYFUNCTION("""COMPUTED_VALUE"""),"Dubai eyes long-term growth amid new property boom")</f>
        <v>Dubai eyes long-term growth amid new property boom</v>
      </c>
      <c r="E385" s="507" t="str">
        <f>IFERROR(__xludf.DUMMYFUNCTION("""COMPUTED_VALUE"""),"https://au.sports.yahoo.com/dubai-eyes-long-term-growth-134304251.html")</f>
        <v>https://au.sports.yahoo.com/dubai-eyes-long-term-growth-134304251.html</v>
      </c>
      <c r="F385" s="368" t="str">
        <f>IFERROR(__xludf.DUMMYFUNCTION("""COMPUTED_VALUE"""),"Betterhomes")</f>
        <v>Betterhomes</v>
      </c>
    </row>
    <row r="386">
      <c r="A386" s="402">
        <f>IFERROR(__xludf.DUMMYFUNCTION("""COMPUTED_VALUE"""),45096.0)</f>
        <v>45096</v>
      </c>
      <c r="B386" s="368" t="str">
        <f>IFERROR(__xludf.DUMMYFUNCTION("""COMPUTED_VALUE"""),"Tier 3")</f>
        <v>Tier 3</v>
      </c>
      <c r="C386" s="368" t="str">
        <f>IFERROR(__xludf.DUMMYFUNCTION("""COMPUTED_VALUE"""),"Saltwire (US)")</f>
        <v>Saltwire (US)</v>
      </c>
      <c r="D386" s="368" t="str">
        <f>IFERROR(__xludf.DUMMYFUNCTION("""COMPUTED_VALUE"""),"Dubai chases long-term growth as property booms, seeks to blunt debt risk")</f>
        <v>Dubai chases long-term growth as property booms, seeks to blunt debt risk</v>
      </c>
      <c r="E386" s="507" t="str">
        <f>IFERROR(__xludf.DUMMYFUNCTION("""COMPUTED_VALUE"""),"https://www.saltwire.com/prince-edward-island/business/dubai-chases-long-term-growth-as-property-booms-seeks-to-blunt-debt-risk-100865458/")</f>
        <v>https://www.saltwire.com/prince-edward-island/business/dubai-chases-long-term-growth-as-property-booms-seeks-to-blunt-debt-risk-100865458/</v>
      </c>
      <c r="F386" s="368" t="str">
        <f>IFERROR(__xludf.DUMMYFUNCTION("""COMPUTED_VALUE"""),"Betterhomes")</f>
        <v>Betterhomes</v>
      </c>
    </row>
    <row r="387">
      <c r="A387" s="402">
        <f>IFERROR(__xludf.DUMMYFUNCTION("""COMPUTED_VALUE"""),45096.0)</f>
        <v>45096</v>
      </c>
      <c r="B387" s="368" t="str">
        <f>IFERROR(__xludf.DUMMYFUNCTION("""COMPUTED_VALUE"""),"Tier 2")</f>
        <v>Tier 2</v>
      </c>
      <c r="C387" s="368" t="str">
        <f>IFERROR(__xludf.DUMMYFUNCTION("""COMPUTED_VALUE"""),"Zawya ")</f>
        <v>Zawya </v>
      </c>
      <c r="D387" s="368" t="str">
        <f>IFERROR(__xludf.DUMMYFUNCTION("""COMPUTED_VALUE"""),"50 of the city’s most remarkable homes competed for the crown but who won Dubai’s Top 50 Homes competition?")</f>
        <v>50 of the city’s most remarkable homes competed for the crown but who won Dubai’s Top 50 Homes competition?</v>
      </c>
      <c r="E387" s="507" t="str">
        <f>IFERROR(__xludf.DUMMYFUNCTION("""COMPUTED_VALUE"""),"https://www.zawya.com/en/press-release/companies-news/50-of-the-citys-most-remarkable-homes-competed-for-the-crown-but-who-won-dubais-top-50-homes-competition-fu0mo56k")</f>
        <v>https://www.zawya.com/en/press-release/companies-news/50-of-the-citys-most-remarkable-homes-competed-for-the-crown-but-who-won-dubais-top-50-homes-competition-fu0mo56k</v>
      </c>
      <c r="F387" s="368" t="str">
        <f>IFERROR(__xludf.DUMMYFUNCTION("""COMPUTED_VALUE"""),"Prime by Betterhomes")</f>
        <v>Prime by Betterhomes</v>
      </c>
    </row>
    <row r="388">
      <c r="A388" s="402">
        <f>IFERROR(__xludf.DUMMYFUNCTION("""COMPUTED_VALUE"""),45096.0)</f>
        <v>45096</v>
      </c>
      <c r="B388" s="368" t="str">
        <f>IFERROR(__xludf.DUMMYFUNCTION("""COMPUTED_VALUE"""),"Tier 1")</f>
        <v>Tier 1</v>
      </c>
      <c r="C388" s="368" t="str">
        <f>IFERROR(__xludf.DUMMYFUNCTION("""COMPUTED_VALUE"""),"Reuters YT")</f>
        <v>Reuters YT</v>
      </c>
      <c r="D388" s="368" t="str">
        <f>IFERROR(__xludf.DUMMYFUNCTION("""COMPUTED_VALUE"""),"Dubai chases long-term growth as property booms, seeks to blunt debt risk")</f>
        <v>Dubai chases long-term growth as property booms, seeks to blunt debt risk</v>
      </c>
      <c r="E388" s="507" t="str">
        <f>IFERROR(__xludf.DUMMYFUNCTION("""COMPUTED_VALUE"""),"https://www.youtube.com/watch?v=ulUPhJhGAjg")</f>
        <v>https://www.youtube.com/watch?v=ulUPhJhGAjg</v>
      </c>
      <c r="F388" s="368" t="str">
        <f>IFERROR(__xludf.DUMMYFUNCTION("""COMPUTED_VALUE"""),"Betterhomes")</f>
        <v>Betterhomes</v>
      </c>
    </row>
    <row r="389">
      <c r="A389" s="402">
        <f>IFERROR(__xludf.DUMMYFUNCTION("""COMPUTED_VALUE"""),45096.0)</f>
        <v>45096</v>
      </c>
      <c r="B389" s="368" t="str">
        <f>IFERROR(__xludf.DUMMYFUNCTION("""COMPUTED_VALUE"""),"Tier 1")</f>
        <v>Tier 1</v>
      </c>
      <c r="C389" s="368" t="str">
        <f>IFERROR(__xludf.DUMMYFUNCTION("""COMPUTED_VALUE"""),"Reuters")</f>
        <v>Reuters</v>
      </c>
      <c r="D389" s="368" t="str">
        <f>IFERROR(__xludf.DUMMYFUNCTION("""COMPUTED_VALUE"""),"Dubai chases long-term growth as property booms, seeks to blunt debt risk")</f>
        <v>Dubai chases long-term growth as property booms, seeks to blunt debt risk</v>
      </c>
      <c r="E389" s="507" t="str">
        <f>IFERROR(__xludf.DUMMYFUNCTION("""COMPUTED_VALUE"""),"https://www.reuters.com/world/middle-east/dubai-chases-long-term-growth-property-booms-seeks-blunt-debt-risk-2023-06-19/")</f>
        <v>https://www.reuters.com/world/middle-east/dubai-chases-long-term-growth-property-booms-seeks-blunt-debt-risk-2023-06-19/</v>
      </c>
      <c r="F389" s="368" t="str">
        <f>IFERROR(__xludf.DUMMYFUNCTION("""COMPUTED_VALUE"""),"Betterhomes")</f>
        <v>Betterhomes</v>
      </c>
    </row>
    <row r="390">
      <c r="A390" s="402">
        <f>IFERROR(__xludf.DUMMYFUNCTION("""COMPUTED_VALUE"""),45097.0)</f>
        <v>45097</v>
      </c>
      <c r="B390" s="368" t="str">
        <f>IFERROR(__xludf.DUMMYFUNCTION("""COMPUTED_VALUE"""),"Tier 3")</f>
        <v>Tier 3</v>
      </c>
      <c r="C390" s="368" t="str">
        <f>IFERROR(__xludf.DUMMYFUNCTION("""COMPUTED_VALUE"""),"The Daily Star (China)")</f>
        <v>The Daily Star (China)</v>
      </c>
      <c r="D390" s="368" t="str">
        <f>IFERROR(__xludf.DUMMYFUNCTION("""COMPUTED_VALUE"""),"Dubai chases long-term growth")</f>
        <v>Dubai chases long-term growth</v>
      </c>
      <c r="E390" s="507" t="str">
        <f>IFERROR(__xludf.DUMMYFUNCTION("""COMPUTED_VALUE"""),"https://www.thedailystar.net/business/global-economy/news/chinas-youth-confront-bleak-job-market-3351496")</f>
        <v>https://www.thedailystar.net/business/global-economy/news/chinas-youth-confront-bleak-job-market-3351496</v>
      </c>
      <c r="F390" s="368" t="str">
        <f>IFERROR(__xludf.DUMMYFUNCTION("""COMPUTED_VALUE"""),"Betterhomes")</f>
        <v>Betterhomes</v>
      </c>
    </row>
    <row r="391">
      <c r="A391" s="402">
        <f>IFERROR(__xludf.DUMMYFUNCTION("""COMPUTED_VALUE"""),45098.0)</f>
        <v>45098</v>
      </c>
      <c r="B391" s="368" t="str">
        <f>IFERROR(__xludf.DUMMYFUNCTION("""COMPUTED_VALUE"""),"Tier 2")</f>
        <v>Tier 2</v>
      </c>
      <c r="C391" s="368" t="str">
        <f>IFERROR(__xludf.DUMMYFUNCTION("""COMPUTED_VALUE"""),"Gulf Today")</f>
        <v>Gulf Today</v>
      </c>
      <c r="D391" s="368" t="str">
        <f>IFERROR(__xludf.DUMMYFUNCTION("""COMPUTED_VALUE"""),"Dubai is looking forward to long-term growth, with real estate booming after rapid recovery")</f>
        <v>Dubai is looking forward to long-term growth, with real estate booming after rapid recovery</v>
      </c>
      <c r="E391" s="507" t="str">
        <f>IFERROR(__xludf.DUMMYFUNCTION("""COMPUTED_VALUE"""),"https://www.gulftoday.ae/news/2023/06/21/dubai-is-looking-forward-to-long-term-growth-with-real-estate-booming-after-rapid-recovery")</f>
        <v>https://www.gulftoday.ae/news/2023/06/21/dubai-is-looking-forward-to-long-term-growth-with-real-estate-booming-after-rapid-recovery</v>
      </c>
      <c r="F391" s="368" t="str">
        <f>IFERROR(__xludf.DUMMYFUNCTION("""COMPUTED_VALUE"""),"Betterhomes")</f>
        <v>Betterhomes</v>
      </c>
    </row>
    <row r="392">
      <c r="A392" s="402">
        <f>IFERROR(__xludf.DUMMYFUNCTION("""COMPUTED_VALUE"""),45099.0)</f>
        <v>45099</v>
      </c>
      <c r="B392" s="368" t="str">
        <f>IFERROR(__xludf.DUMMYFUNCTION("""COMPUTED_VALUE"""),"Tier 2")</f>
        <v>Tier 2</v>
      </c>
      <c r="C392" s="368" t="str">
        <f>IFERROR(__xludf.DUMMYFUNCTION("""COMPUTED_VALUE"""),"The National ")</f>
        <v>The National </v>
      </c>
      <c r="D392" s="368" t="str">
        <f>IFERROR(__xludf.DUMMYFUNCTION("""COMPUTED_VALUE"""),"Inside a luxury Dh90 million Dubai home complete with an American-style diner")</f>
        <v>Inside a luxury Dh90 million Dubai home complete with an American-style diner</v>
      </c>
      <c r="E392" s="507" t="str">
        <f>IFERROR(__xludf.DUMMYFUNCTION("""COMPUTED_VALUE"""),"https://www.thenationalnews.com/lifestyle/home-garden/2023/06/20/inside-a-luxury-dh90-million-dubai-home-complete-with-an-american-style-diner/")</f>
        <v>https://www.thenationalnews.com/lifestyle/home-garden/2023/06/20/inside-a-luxury-dh90-million-dubai-home-complete-with-an-american-style-diner/</v>
      </c>
      <c r="F392" s="368" t="str">
        <f>IFERROR(__xludf.DUMMYFUNCTION("""COMPUTED_VALUE"""),"Prime by Betterhomes")</f>
        <v>Prime by Betterhomes</v>
      </c>
    </row>
    <row r="393">
      <c r="A393" s="402">
        <f>IFERROR(__xludf.DUMMYFUNCTION("""COMPUTED_VALUE"""),45099.0)</f>
        <v>45099</v>
      </c>
      <c r="B393" s="368" t="str">
        <f>IFERROR(__xludf.DUMMYFUNCTION("""COMPUTED_VALUE"""),"Tier 2")</f>
        <v>Tier 2</v>
      </c>
      <c r="C393" s="368" t="str">
        <f>IFERROR(__xludf.DUMMYFUNCTION("""COMPUTED_VALUE"""),"The National ")</f>
        <v>The National </v>
      </c>
      <c r="D393" s="368" t="str">
        <f>IFERROR(__xludf.DUMMYFUNCTION("""COMPUTED_VALUE"""),"Megaprojects: The $3bn Dubai tower set to join the world's tallest residential buildings")</f>
        <v>Megaprojects: The $3bn Dubai tower set to join the world's tallest residential buildings</v>
      </c>
      <c r="E393" s="507" t="str">
        <f>IFERROR(__xludf.DUMMYFUNCTION("""COMPUTED_VALUE"""),"https://www.thenationalnews.com/uae/2023/06/22/megaprojects-the-3bn-dubai-tower-set-to-join-the-worlds-tallest-residential-buildings/")</f>
        <v>https://www.thenationalnews.com/uae/2023/06/22/megaprojects-the-3bn-dubai-tower-set-to-join-the-worlds-tallest-residential-buildings/</v>
      </c>
      <c r="F393" s="368" t="str">
        <f>IFERROR(__xludf.DUMMYFUNCTION("""COMPUTED_VALUE"""),"Betterhomes")</f>
        <v>Betterhomes</v>
      </c>
    </row>
    <row r="394">
      <c r="A394" s="402">
        <f>IFERROR(__xludf.DUMMYFUNCTION("""COMPUTED_VALUE"""),45099.0)</f>
        <v>45099</v>
      </c>
      <c r="B394" s="368" t="str">
        <f>IFERROR(__xludf.DUMMYFUNCTION("""COMPUTED_VALUE"""),"Tier 1")</f>
        <v>Tier 1</v>
      </c>
      <c r="C394" s="368" t="str">
        <f>IFERROR(__xludf.DUMMYFUNCTION("""COMPUTED_VALUE"""),"Bloomberg")</f>
        <v>Bloomberg</v>
      </c>
      <c r="D394" s="368" t="str">
        <f>IFERROR(__xludf.DUMMYFUNCTION("""COMPUTED_VALUE"""),"Dubai’s Latest Property Spree Has Rich Buyers Taking More Risk")</f>
        <v>Dubai’s Latest Property Spree Has Rich Buyers Taking More Risk</v>
      </c>
      <c r="E394" s="507" t="str">
        <f>IFERROR(__xludf.DUMMYFUNCTION("""COMPUTED_VALUE"""),"https://www.bloomberg.com/news/articles/2023-06-22/dubai-s-latest-property-spree-has-rich-buyers-taking-more-risk#:~:text=a%20broad%20basis.%E2%80%9D-,More%20Risk,to%20sell%20ahead%20of%20construction.")</f>
        <v>https://www.bloomberg.com/news/articles/2023-06-22/dubai-s-latest-property-spree-has-rich-buyers-taking-more-risk#:~:text=a%20broad%20basis.%E2%80%9D-,More%20Risk,to%20sell%20ahead%20of%20construction.</v>
      </c>
      <c r="F394" s="368" t="str">
        <f>IFERROR(__xludf.DUMMYFUNCTION("""COMPUTED_VALUE"""),"Betterhomes")</f>
        <v>Betterhomes</v>
      </c>
    </row>
    <row r="395">
      <c r="A395" s="402">
        <f>IFERROR(__xludf.DUMMYFUNCTION("""COMPUTED_VALUE"""),45099.0)</f>
        <v>45099</v>
      </c>
      <c r="B395" s="368" t="str">
        <f>IFERROR(__xludf.DUMMYFUNCTION("""COMPUTED_VALUE"""),"Tier 1")</f>
        <v>Tier 1</v>
      </c>
      <c r="C395" s="368" t="str">
        <f>IFERROR(__xludf.DUMMYFUNCTION("""COMPUTED_VALUE"""),"BNN Bloomberg")</f>
        <v>BNN Bloomberg</v>
      </c>
      <c r="D395" s="368" t="str">
        <f>IFERROR(__xludf.DUMMYFUNCTION("""COMPUTED_VALUE"""),"Dubai’s Latest Property Spree Has Rich Buyers Taking More Risk")</f>
        <v>Dubai’s Latest Property Spree Has Rich Buyers Taking More Risk</v>
      </c>
      <c r="E395" s="507" t="str">
        <f>IFERROR(__xludf.DUMMYFUNCTION("""COMPUTED_VALUE"""),"https://www.bnnbloomberg.ca/dubai-s-latest-property-spree-has-rich-buyers-taking-more-risk-1.1936277")</f>
        <v>https://www.bnnbloomberg.ca/dubai-s-latest-property-spree-has-rich-buyers-taking-more-risk-1.1936277</v>
      </c>
      <c r="F395" s="368" t="str">
        <f>IFERROR(__xludf.DUMMYFUNCTION("""COMPUTED_VALUE"""),"Betterhomes")</f>
        <v>Betterhomes</v>
      </c>
    </row>
    <row r="396">
      <c r="A396" s="402">
        <f>IFERROR(__xludf.DUMMYFUNCTION("""COMPUTED_VALUE"""),45099.0)</f>
        <v>45099</v>
      </c>
      <c r="B396" s="368" t="str">
        <f>IFERROR(__xludf.DUMMYFUNCTION("""COMPUTED_VALUE"""),"Tier 2")</f>
        <v>Tier 2</v>
      </c>
      <c r="C396" s="368" t="str">
        <f>IFERROR(__xludf.DUMMYFUNCTION("""COMPUTED_VALUE"""),"Khaleej Times")</f>
        <v>Khaleej Times</v>
      </c>
      <c r="D396" s="368" t="str">
        <f>IFERROR(__xludf.DUMMYFUNCTION("""COMPUTED_VALUE"""),"Floating villas: Another game changer in Dubai real estate")</f>
        <v>Floating villas: Another game changer in Dubai real estate</v>
      </c>
      <c r="E396" s="507" t="str">
        <f>IFERROR(__xludf.DUMMYFUNCTION("""COMPUTED_VALUE"""),"https://www.khaleejtimes.com/business/floating-villas-another-game-changer-in-dubai-real-estate")</f>
        <v>https://www.khaleejtimes.com/business/floating-villas-another-game-changer-in-dubai-real-estate</v>
      </c>
      <c r="F396" s="368" t="str">
        <f>IFERROR(__xludf.DUMMYFUNCTION("""COMPUTED_VALUE"""),"Betterhomes")</f>
        <v>Betterhomes</v>
      </c>
    </row>
    <row r="397">
      <c r="A397" s="402">
        <f>IFERROR(__xludf.DUMMYFUNCTION("""COMPUTED_VALUE"""),45099.0)</f>
        <v>45099</v>
      </c>
      <c r="B397" s="368" t="str">
        <f>IFERROR(__xludf.DUMMYFUNCTION("""COMPUTED_VALUE"""),"Tier 3")</f>
        <v>Tier 3</v>
      </c>
      <c r="C397" s="368" t="str">
        <f>IFERROR(__xludf.DUMMYFUNCTION("""COMPUTED_VALUE"""),"OT (Greece)")</f>
        <v>OT (Greece)</v>
      </c>
      <c r="D397" s="368" t="str">
        <f>IFERROR(__xludf.DUMMYFUNCTION("""COMPUTED_VALUE"""),"Dubai: Real estate boom")</f>
        <v>Dubai: Real estate boom</v>
      </c>
      <c r="E397" s="507" t="str">
        <f>IFERROR(__xludf.DUMMYFUNCTION("""COMPUTED_VALUE"""),"https://www.ot.gr/2023/06/22/diethni/ntoumpai-ksefreni-anodos-gia-ta-akinita/")</f>
        <v>https://www.ot.gr/2023/06/22/diethni/ntoumpai-ksefreni-anodos-gia-ta-akinita/</v>
      </c>
      <c r="F397" s="368" t="str">
        <f>IFERROR(__xludf.DUMMYFUNCTION("""COMPUTED_VALUE"""),"Betterhomes")</f>
        <v>Betterhomes</v>
      </c>
    </row>
    <row r="398">
      <c r="A398" s="402">
        <f>IFERROR(__xludf.DUMMYFUNCTION("""COMPUTED_VALUE"""),45100.0)</f>
        <v>45100</v>
      </c>
      <c r="B398" s="368" t="str">
        <f>IFERROR(__xludf.DUMMYFUNCTION("""COMPUTED_VALUE"""),"Tier 1")</f>
        <v>Tier 1</v>
      </c>
      <c r="C398" s="368" t="str">
        <f>IFERROR(__xludf.DUMMYFUNCTION("""COMPUTED_VALUE"""),"Forbes (Romania)")</f>
        <v>Forbes (Romania)</v>
      </c>
      <c r="D398" s="368" t="str">
        <f>IFERROR(__xludf.DUMMYFUNCTION("""COMPUTED_VALUE"""),"Dubai's latest property frenzy is prompting wealthy buyers to take bigger risks")</f>
        <v>Dubai's latest property frenzy is prompting wealthy buyers to take bigger risks</v>
      </c>
      <c r="E398" s="507" t="str">
        <f>IFERROR(__xludf.DUMMYFUNCTION("""COMPUTED_VALUE"""),"https://www.forbes.ro/cea-mai-recenta-frenezie-imobiliara-din-dubai-ii-determina-pe-cumparatorii-bogati-sa-isi-asume-riscuri-mai-mari-336737")</f>
        <v>https://www.forbes.ro/cea-mai-recenta-frenezie-imobiliara-din-dubai-ii-determina-pe-cumparatorii-bogati-sa-isi-asume-riscuri-mai-mari-336737</v>
      </c>
      <c r="F398" s="368" t="str">
        <f>IFERROR(__xludf.DUMMYFUNCTION("""COMPUTED_VALUE"""),"Betterhomes")</f>
        <v>Betterhomes</v>
      </c>
    </row>
    <row r="399">
      <c r="A399" s="402">
        <f>IFERROR(__xludf.DUMMYFUNCTION("""COMPUTED_VALUE"""),45102.0)</f>
        <v>45102</v>
      </c>
      <c r="B399" s="368" t="str">
        <f>IFERROR(__xludf.DUMMYFUNCTION("""COMPUTED_VALUE"""),"Tier 3")</f>
        <v>Tier 3</v>
      </c>
      <c r="C399" s="368" t="str">
        <f>IFERROR(__xludf.DUMMYFUNCTION("""COMPUTED_VALUE"""),"News24")</f>
        <v>News24</v>
      </c>
      <c r="D399" s="368" t="str">
        <f>IFERROR(__xludf.DUMMYFUNCTION("""COMPUTED_VALUE"""),"Dubai chases long-term growth as property booms, seeks to blunt debt risk")</f>
        <v>Dubai chases long-term growth as property booms, seeks to blunt debt risk</v>
      </c>
      <c r="E399" s="507" t="str">
        <f>IFERROR(__xludf.DUMMYFUNCTION("""COMPUTED_VALUE"""),"https://www.news24.com/fin24/international/dubai-chases-long-term-growth-as-property-booms-seeks-to-blunt-debt-risk-20230619")</f>
        <v>https://www.news24.com/fin24/international/dubai-chases-long-term-growth-as-property-booms-seeks-to-blunt-debt-risk-20230619</v>
      </c>
      <c r="F399" s="368" t="str">
        <f>IFERROR(__xludf.DUMMYFUNCTION("""COMPUTED_VALUE"""),"Betterhomes")</f>
        <v>Betterhomes</v>
      </c>
    </row>
    <row r="400">
      <c r="A400" s="402">
        <f>IFERROR(__xludf.DUMMYFUNCTION("""COMPUTED_VALUE"""),45103.0)</f>
        <v>45103</v>
      </c>
      <c r="B400" s="368" t="str">
        <f>IFERROR(__xludf.DUMMYFUNCTION("""COMPUTED_VALUE"""),"Tier 3")</f>
        <v>Tier 3</v>
      </c>
      <c r="C400" s="368" t="str">
        <f>IFERROR(__xludf.DUMMYFUNCTION("""COMPUTED_VALUE"""),"Gazetatema (Albanian)")</f>
        <v>Gazetatema (Albanian)</v>
      </c>
      <c r="D400" s="368" t="str">
        <f>IFERROR(__xludf.DUMMYFUNCTION("""COMPUTED_VALUE"""),"The practice of Durres in the new construction fever in Dubai")</f>
        <v>The practice of Durres in the new construction fever in Dubai</v>
      </c>
      <c r="E400" s="507" t="str">
        <f>IFERROR(__xludf.DUMMYFUNCTION("""COMPUTED_VALUE"""),"https://www.gazetatema.net/ekonomia/praktika-e-durresit-ne-ethet-e-reja-te-ndertimit-ne-dubai-i395865")</f>
        <v>https://www.gazetatema.net/ekonomia/praktika-e-durresit-ne-ethet-e-reja-te-ndertimit-ne-dubai-i395865</v>
      </c>
      <c r="F400" s="368" t="str">
        <f>IFERROR(__xludf.DUMMYFUNCTION("""COMPUTED_VALUE"""),"Betterhomes")</f>
        <v>Betterhomes</v>
      </c>
    </row>
    <row r="401">
      <c r="A401" s="402">
        <f>IFERROR(__xludf.DUMMYFUNCTION("""COMPUTED_VALUE"""),45103.0)</f>
        <v>45103</v>
      </c>
      <c r="B401" s="368" t="str">
        <f>IFERROR(__xludf.DUMMYFUNCTION("""COMPUTED_VALUE"""),"Tier 3")</f>
        <v>Tier 3</v>
      </c>
      <c r="C401" s="368" t="str">
        <f>IFERROR(__xludf.DUMMYFUNCTION("""COMPUTED_VALUE"""),"Beritautama (Indonasia)")</f>
        <v>Beritautama (Indonasia)</v>
      </c>
      <c r="D401" s="368" t="str">
        <f>IFERROR(__xludf.DUMMYFUNCTION("""COMPUTED_VALUE"""),"Rich Russians are moving their money to the Gulf state")</f>
        <v>Rich Russians are moving their money to the Gulf state</v>
      </c>
      <c r="E401" s="507" t="str">
        <f>IFERROR(__xludf.DUMMYFUNCTION("""COMPUTED_VALUE"""),"https://beritautama.net/orang-kaya-rusia-memindahkan-uang-mereka-ke-negara-teluk/")</f>
        <v>https://beritautama.net/orang-kaya-rusia-memindahkan-uang-mereka-ke-negara-teluk/</v>
      </c>
      <c r="F401" s="368" t="str">
        <f>IFERROR(__xludf.DUMMYFUNCTION("""COMPUTED_VALUE"""),"Betterhomes")</f>
        <v>Betterhomes</v>
      </c>
    </row>
    <row r="402">
      <c r="A402" s="402">
        <f>IFERROR(__xludf.DUMMYFUNCTION("""COMPUTED_VALUE"""),45103.0)</f>
        <v>45103</v>
      </c>
      <c r="B402" s="368" t="str">
        <f>IFERROR(__xludf.DUMMYFUNCTION("""COMPUTED_VALUE"""),"Tier 3")</f>
        <v>Tier 3</v>
      </c>
      <c r="C402" s="368" t="str">
        <f>IFERROR(__xludf.DUMMYFUNCTION("""COMPUTED_VALUE"""),"Euro Post (Greece)")</f>
        <v>Euro Post (Greece)</v>
      </c>
      <c r="D402" s="368" t="str">
        <f>IFERROR(__xludf.DUMMYFUNCTION("""COMPUTED_VALUE"""),"New construction fever in Dubai")</f>
        <v>New construction fever in Dubai</v>
      </c>
      <c r="E402" s="507" t="str">
        <f>IFERROR(__xludf.DUMMYFUNCTION("""COMPUTED_VALUE"""),"https://europost.gr/neos-kataskeyastikos-pyretos-ntoympai-o-rolos-tis-rosias/")</f>
        <v>https://europost.gr/neos-kataskeyastikos-pyretos-ntoympai-o-rolos-tis-rosias/</v>
      </c>
      <c r="F402" s="368" t="str">
        <f>IFERROR(__xludf.DUMMYFUNCTION("""COMPUTED_VALUE"""),"Betterhomes")</f>
        <v>Betterhomes</v>
      </c>
    </row>
    <row r="403">
      <c r="A403" s="402">
        <f>IFERROR(__xludf.DUMMYFUNCTION("""COMPUTED_VALUE"""),45103.0)</f>
        <v>45103</v>
      </c>
      <c r="B403" s="368" t="str">
        <f>IFERROR(__xludf.DUMMYFUNCTION("""COMPUTED_VALUE"""),"Tier 2")</f>
        <v>Tier 2</v>
      </c>
      <c r="C403" s="368" t="str">
        <f>IFERROR(__xludf.DUMMYFUNCTION("""COMPUTED_VALUE"""),"AGBI")</f>
        <v>AGBI</v>
      </c>
      <c r="D403" s="368" t="str">
        <f>IFERROR(__xludf.DUMMYFUNCTION("""COMPUTED_VALUE"""),"Affordable homes warning for Dubai private developers")</f>
        <v>Affordable homes warning for Dubai private developers</v>
      </c>
      <c r="E403" s="507" t="str">
        <f>IFERROR(__xludf.DUMMYFUNCTION("""COMPUTED_VALUE"""),"https://www.agbi.com/analysis/affordable-homes-warning-for-dubai-private-developers/")</f>
        <v>https://www.agbi.com/analysis/affordable-homes-warning-for-dubai-private-developers/</v>
      </c>
      <c r="F403" s="368" t="str">
        <f>IFERROR(__xludf.DUMMYFUNCTION("""COMPUTED_VALUE"""),"Betterhomes")</f>
        <v>Betterhomes</v>
      </c>
    </row>
    <row r="404">
      <c r="A404" s="402">
        <f>IFERROR(__xludf.DUMMYFUNCTION("""COMPUTED_VALUE"""),45105.0)</f>
        <v>45105</v>
      </c>
      <c r="B404" s="368" t="str">
        <f>IFERROR(__xludf.DUMMYFUNCTION("""COMPUTED_VALUE"""),"Tier 3")</f>
        <v>Tier 3</v>
      </c>
      <c r="C404" s="368" t="str">
        <f>IFERROR(__xludf.DUMMYFUNCTION("""COMPUTED_VALUE"""),"Luzernerzeitung (German)")</f>
        <v>Luzernerzeitung (German)</v>
      </c>
      <c r="D404" s="368" t="str">
        <f>IFERROR(__xludf.DUMMYFUNCTION("""COMPUTED_VALUE"""),"From the parade ground to Dubai: rich Russians move their money to the Gulf state")</f>
        <v>From the parade ground to Dubai: rich Russians move their money to the Gulf state</v>
      </c>
      <c r="E404" s="507" t="str">
        <f>IFERROR(__xludf.DUMMYFUNCTION("""COMPUTED_VALUE"""),"https://www.luzernerzeitung.ch/wirtschaft/oligarchen-vom-paradeplatz-nach-dubai-reiche-russen-verschieben-ihr-geld-in-den-golfstaat-ld.2480762?reduced=true")</f>
        <v>https://www.luzernerzeitung.ch/wirtschaft/oligarchen-vom-paradeplatz-nach-dubai-reiche-russen-verschieben-ihr-geld-in-den-golfstaat-ld.2480762?reduced=true</v>
      </c>
      <c r="F404" s="368" t="str">
        <f>IFERROR(__xludf.DUMMYFUNCTION("""COMPUTED_VALUE"""),"Betterhomes")</f>
        <v>Betterhomes</v>
      </c>
    </row>
    <row r="405">
      <c r="A405" s="402">
        <f>IFERROR(__xludf.DUMMYFUNCTION("""COMPUTED_VALUE"""),45105.0)</f>
        <v>45105</v>
      </c>
      <c r="B405" s="368" t="str">
        <f>IFERROR(__xludf.DUMMYFUNCTION("""COMPUTED_VALUE"""),"Tier 1")</f>
        <v>Tier 1</v>
      </c>
      <c r="C405" s="368" t="str">
        <f>IFERROR(__xludf.DUMMYFUNCTION("""COMPUTED_VALUE"""),"Tagblatt (Swiss-German)")</f>
        <v>Tagblatt (Swiss-German)</v>
      </c>
      <c r="D405" s="368" t="str">
        <f>IFERROR(__xludf.DUMMYFUNCTION("""COMPUTED_VALUE"""),"From the parade ground to Dubai: rich Russians move their money to the Gulf state")</f>
        <v>From the parade ground to Dubai: rich Russians move their money to the Gulf state</v>
      </c>
      <c r="E405" s="507" t="str">
        <f>IFERROR(__xludf.DUMMYFUNCTION("""COMPUTED_VALUE"""),"https://www.tagblatt.ch/wirtschaft/oligarchen-vom-paradeplatz-nach-dubai-reiche-russen-verschieben-ihr-geld-in-den-golfstaat-ld.2480762?reduced=true")</f>
        <v>https://www.tagblatt.ch/wirtschaft/oligarchen-vom-paradeplatz-nach-dubai-reiche-russen-verschieben-ihr-geld-in-den-golfstaat-ld.2480762?reduced=true</v>
      </c>
      <c r="F405" s="368" t="str">
        <f>IFERROR(__xludf.DUMMYFUNCTION("""COMPUTED_VALUE"""),"Betterhomes")</f>
        <v>Betterhomes</v>
      </c>
    </row>
    <row r="406">
      <c r="A406" s="402">
        <f>IFERROR(__xludf.DUMMYFUNCTION("""COMPUTED_VALUE"""),45110.0)</f>
        <v>45110</v>
      </c>
      <c r="B406" s="368" t="str">
        <f>IFERROR(__xludf.DUMMYFUNCTION("""COMPUTED_VALUE"""),"Tier 2")</f>
        <v>Tier 2</v>
      </c>
      <c r="C406" s="368" t="str">
        <f>IFERROR(__xludf.DUMMYFUNCTION("""COMPUTED_VALUE"""),"Khaleej Times")</f>
        <v>Khaleej Times</v>
      </c>
      <c r="D406" s="368" t="str">
        <f>IFERROR(__xludf.DUMMYFUNCTION("""COMPUTED_VALUE"""),"Property in Dubai: How are branded residences different from luxury real estate?")</f>
        <v>Property in Dubai: How are branded residences different from luxury real estate?</v>
      </c>
      <c r="E406" s="507" t="str">
        <f>IFERROR(__xludf.DUMMYFUNCTION("""COMPUTED_VALUE"""),"https://www.khaleejtimes.com/business/property-in-dubai-how-are-branded-residences-different-from-luxury-real-estate")</f>
        <v>https://www.khaleejtimes.com/business/property-in-dubai-how-are-branded-residences-different-from-luxury-real-estate</v>
      </c>
      <c r="F406" s="368" t="str">
        <f>IFERROR(__xludf.DUMMYFUNCTION("""COMPUTED_VALUE"""),"Betterhomes")</f>
        <v>Betterhomes</v>
      </c>
    </row>
    <row r="407">
      <c r="A407" s="402">
        <f>IFERROR(__xludf.DUMMYFUNCTION("""COMPUTED_VALUE"""),45112.0)</f>
        <v>45112</v>
      </c>
      <c r="B407" s="368" t="str">
        <f>IFERROR(__xludf.DUMMYFUNCTION("""COMPUTED_VALUE"""),"Tier 2")</f>
        <v>Tier 2</v>
      </c>
      <c r="C407" s="368" t="str">
        <f>IFERROR(__xludf.DUMMYFUNCTION("""COMPUTED_VALUE"""),"The National ")</f>
        <v>The National </v>
      </c>
      <c r="D407" s="368" t="str">
        <f>IFERROR(__xludf.DUMMYFUNCTION("""COMPUTED_VALUE"""),"UAE cost of living: How much are school fees, rent and visas for expats?")</f>
        <v>UAE cost of living: How much are school fees, rent and visas for expats?</v>
      </c>
      <c r="E407" s="507" t="str">
        <f>IFERROR(__xludf.DUMMYFUNCTION("""COMPUTED_VALUE"""),"https://www.thenationalnews.com/business/money/2023/07/05/uae-cost-of-living-school-fees-rent-visa-expat/")</f>
        <v>https://www.thenationalnews.com/business/money/2023/07/05/uae-cost-of-living-school-fees-rent-visa-expat/</v>
      </c>
      <c r="F407" s="368" t="str">
        <f>IFERROR(__xludf.DUMMYFUNCTION("""COMPUTED_VALUE"""),"Betterhomes")</f>
        <v>Betterhomes</v>
      </c>
    </row>
    <row r="408">
      <c r="A408" s="402">
        <f>IFERROR(__xludf.DUMMYFUNCTION("""COMPUTED_VALUE"""),45114.0)</f>
        <v>45114</v>
      </c>
      <c r="B408" s="368" t="str">
        <f>IFERROR(__xludf.DUMMYFUNCTION("""COMPUTED_VALUE"""),"Tier 1")</f>
        <v>Tier 1</v>
      </c>
      <c r="C408" s="368" t="str">
        <f>IFERROR(__xludf.DUMMYFUNCTION("""COMPUTED_VALUE"""),"Forbes (Romania)")</f>
        <v>Forbes (Romania)</v>
      </c>
      <c r="D408" s="368" t="str">
        <f>IFERROR(__xludf.DUMMYFUNCTION("""COMPUTED_VALUE"""),"Dubai property: deals and rising prices. Risks?")</f>
        <v>Dubai property: deals and rising prices. Risks?</v>
      </c>
      <c r="E408" s="507" t="str">
        <f>IFERROR(__xludf.DUMMYFUNCTION("""COMPUTED_VALUE"""),"https://www.forbes.ro/proprietatile-din-dubai-tranzactii-si-preturi-in-crestere-riscuri-338894")</f>
        <v>https://www.forbes.ro/proprietatile-din-dubai-tranzactii-si-preturi-in-crestere-riscuri-338894</v>
      </c>
      <c r="F408" s="368" t="str">
        <f>IFERROR(__xludf.DUMMYFUNCTION("""COMPUTED_VALUE"""),"Betterhomes")</f>
        <v>Betterhomes</v>
      </c>
    </row>
    <row r="409">
      <c r="A409" s="402">
        <f>IFERROR(__xludf.DUMMYFUNCTION("""COMPUTED_VALUE"""),45116.0)</f>
        <v>45116</v>
      </c>
      <c r="B409" s="368" t="str">
        <f>IFERROR(__xludf.DUMMYFUNCTION("""COMPUTED_VALUE"""),"Tier 3")</f>
        <v>Tier 3</v>
      </c>
      <c r="C409" s="368" t="str">
        <f>IFERROR(__xludf.DUMMYFUNCTION("""COMPUTED_VALUE"""),"Rossa Prima (Russia)")</f>
        <v>Rossa Prima (Russia)</v>
      </c>
      <c r="D409" s="368" t="str">
        <f>IFERROR(__xludf.DUMMYFUNCTION("""COMPUTED_VALUE"""),"Without London, nowhere ... Who will win the battle for Dubai?")</f>
        <v>Without London, nowhere ... Who will win the battle for Dubai?</v>
      </c>
      <c r="E409" s="507" t="str">
        <f>IFERROR(__xludf.DUMMYFUNCTION("""COMPUTED_VALUE"""),"https://rossaprimavera.ru/article/50ce93fa")</f>
        <v>https://rossaprimavera.ru/article/50ce93fa</v>
      </c>
      <c r="F409" s="368" t="str">
        <f>IFERROR(__xludf.DUMMYFUNCTION("""COMPUTED_VALUE"""),"Betterhomes")</f>
        <v>Betterhomes</v>
      </c>
    </row>
    <row r="410">
      <c r="A410" s="402">
        <f>IFERROR(__xludf.DUMMYFUNCTION("""COMPUTED_VALUE"""),45116.0)</f>
        <v>45116</v>
      </c>
      <c r="B410" s="368" t="str">
        <f>IFERROR(__xludf.DUMMYFUNCTION("""COMPUTED_VALUE"""),"Tier 3")</f>
        <v>Tier 3</v>
      </c>
      <c r="C410" s="368" t="str">
        <f>IFERROR(__xludf.DUMMYFUNCTION("""COMPUTED_VALUE"""),"American News Report")</f>
        <v>American News Report</v>
      </c>
      <c r="D410" s="368" t="str">
        <f>IFERROR(__xludf.DUMMYFUNCTION("""COMPUTED_VALUE"""),"Climbing The Property Ladder: A Guide To The Top Real Estate Agencies In Dubai")</f>
        <v>Climbing The Property Ladder: A Guide To The Top Real Estate Agencies In Dubai</v>
      </c>
      <c r="E410" s="507" t="str">
        <f>IFERROR(__xludf.DUMMYFUNCTION("""COMPUTED_VALUE"""),"https://americannewsreport.com/top-real-estate-agencies-in-dubai/")</f>
        <v>https://americannewsreport.com/top-real-estate-agencies-in-dubai/</v>
      </c>
      <c r="F410" s="368" t="str">
        <f>IFERROR(__xludf.DUMMYFUNCTION("""COMPUTED_VALUE"""),"Betterhomes")</f>
        <v>Betterhomes</v>
      </c>
    </row>
    <row r="411">
      <c r="A411" s="402">
        <f>IFERROR(__xludf.DUMMYFUNCTION("""COMPUTED_VALUE"""),45122.0)</f>
        <v>45122</v>
      </c>
      <c r="B411" s="368" t="str">
        <f>IFERROR(__xludf.DUMMYFUNCTION("""COMPUTED_VALUE"""),"Tier 3")</f>
        <v>Tier 3</v>
      </c>
      <c r="C411" s="368" t="str">
        <f>IFERROR(__xludf.DUMMYFUNCTION("""COMPUTED_VALUE"""),"Andhrajyothy (India)")</f>
        <v>Andhrajyothy (India)</v>
      </c>
      <c r="D411" s="368" t="str">
        <f>IFERROR(__xludf.DUMMYFUNCTION("""COMPUTED_VALUE"""),"Indians: Dubai real estate market..Indians on the list of biggest investors")</f>
        <v>Indians: Dubai real estate market..Indians on the list of biggest investors</v>
      </c>
      <c r="E411" s="507" t="str">
        <f>IFERROR(__xludf.DUMMYFUNCTION("""COMPUTED_VALUE"""),"https://www.andhrajyothy.com/2023/nri/british-and-indian-buyers-among-top-investors-in-property-market-in-dubai-rams-spl-1103559.html")</f>
        <v>https://www.andhrajyothy.com/2023/nri/british-and-indian-buyers-among-top-investors-in-property-market-in-dubai-rams-spl-1103559.html</v>
      </c>
      <c r="F411" s="368" t="str">
        <f>IFERROR(__xludf.DUMMYFUNCTION("""COMPUTED_VALUE"""),"Betterhomes")</f>
        <v>Betterhomes</v>
      </c>
    </row>
    <row r="412">
      <c r="A412" s="402">
        <f>IFERROR(__xludf.DUMMYFUNCTION("""COMPUTED_VALUE"""),45120.0)</f>
        <v>45120</v>
      </c>
      <c r="B412" s="368" t="str">
        <f>IFERROR(__xludf.DUMMYFUNCTION("""COMPUTED_VALUE"""),"Tier 2")</f>
        <v>Tier 2</v>
      </c>
      <c r="C412" s="368" t="str">
        <f>IFERROR(__xludf.DUMMYFUNCTION("""COMPUTED_VALUE"""),"Khaleej Times")</f>
        <v>Khaleej Times</v>
      </c>
      <c r="D412" s="368" t="str">
        <f>IFERROR(__xludf.DUMMYFUNCTION("""COMPUTED_VALUE"""),"Dubai: Why tenants are unlikely to see relief in rents anytime soon")</f>
        <v>Dubai: Why tenants are unlikely to see relief in rents anytime soon</v>
      </c>
      <c r="E412" s="507" t="str">
        <f>IFERROR(__xludf.DUMMYFUNCTION("""COMPUTED_VALUE"""),"https://www.khaleejtimes.com/uae/dubai-why-tenants-are-unlikely-to-see-relief-in-rents-anytime-soon")</f>
        <v>https://www.khaleejtimes.com/uae/dubai-why-tenants-are-unlikely-to-see-relief-in-rents-anytime-soon</v>
      </c>
      <c r="F412" s="368" t="str">
        <f>IFERROR(__xludf.DUMMYFUNCTION("""COMPUTED_VALUE"""),"Betterhomes")</f>
        <v>Betterhomes</v>
      </c>
    </row>
    <row r="413">
      <c r="A413" s="402">
        <f>IFERROR(__xludf.DUMMYFUNCTION("""COMPUTED_VALUE"""),45119.0)</f>
        <v>45119</v>
      </c>
      <c r="B413" s="368" t="str">
        <f>IFERROR(__xludf.DUMMYFUNCTION("""COMPUTED_VALUE"""),"Tier 2")</f>
        <v>Tier 2</v>
      </c>
      <c r="C413" s="368" t="str">
        <f>IFERROR(__xludf.DUMMYFUNCTION("""COMPUTED_VALUE"""),"Khaleej Times")</f>
        <v>Khaleej Times</v>
      </c>
      <c r="D413" s="368" t="str">
        <f>IFERROR(__xludf.DUMMYFUNCTION("""COMPUTED_VALUE"""),"Dubai waterfront property rates have doubled; will prices drop as Palm Jebel begins to take shape?")</f>
        <v>Dubai waterfront property rates have doubled; will prices drop as Palm Jebel begins to take shape?</v>
      </c>
      <c r="E413" s="507" t="str">
        <f>IFERROR(__xludf.DUMMYFUNCTION("""COMPUTED_VALUE"""),"https://www.khaleejtimes.com/business/property/dubai-waterfront-property-rates-have-doubled-will-prices-drop-as-palm-jebel-begins-to-take-shape")</f>
        <v>https://www.khaleejtimes.com/business/property/dubai-waterfront-property-rates-have-doubled-will-prices-drop-as-palm-jebel-begins-to-take-shape</v>
      </c>
      <c r="F413" s="368" t="str">
        <f>IFERROR(__xludf.DUMMYFUNCTION("""COMPUTED_VALUE"""),"PRIME by Betterhomes")</f>
        <v>PRIME by Betterhomes</v>
      </c>
    </row>
    <row r="414">
      <c r="A414" s="402">
        <f>IFERROR(__xludf.DUMMYFUNCTION("""COMPUTED_VALUE"""),45124.0)</f>
        <v>45124</v>
      </c>
      <c r="B414" s="368" t="str">
        <f>IFERROR(__xludf.DUMMYFUNCTION("""COMPUTED_VALUE"""),"Tier 2")</f>
        <v>Tier 2</v>
      </c>
      <c r="C414" s="368" t="str">
        <f>IFERROR(__xludf.DUMMYFUNCTION("""COMPUTED_VALUE"""),"Arab News")</f>
        <v>Arab News</v>
      </c>
      <c r="D414" s="368" t="str">
        <f>IFERROR(__xludf.DUMMYFUNCTION("""COMPUTED_VALUE"""),"Dubai’s real estate transactions increase 37% in Q2: report")</f>
        <v>Dubai’s real estate transactions increase 37% in Q2: report</v>
      </c>
      <c r="E414" s="507" t="str">
        <f>IFERROR(__xludf.DUMMYFUNCTION("""COMPUTED_VALUE"""),"https://www.arabnews.com/node/2339316/business-economy")</f>
        <v>https://www.arabnews.com/node/2339316/business-economy</v>
      </c>
      <c r="F414" s="368" t="str">
        <f>IFERROR(__xludf.DUMMYFUNCTION("""COMPUTED_VALUE"""),"Betterhomes")</f>
        <v>Betterhomes</v>
      </c>
    </row>
    <row r="415">
      <c r="A415" s="402">
        <f>IFERROR(__xludf.DUMMYFUNCTION("""COMPUTED_VALUE"""),45124.0)</f>
        <v>45124</v>
      </c>
      <c r="B415" s="368" t="str">
        <f>IFERROR(__xludf.DUMMYFUNCTION("""COMPUTED_VALUE"""),"Tier 2")</f>
        <v>Tier 2</v>
      </c>
      <c r="C415" s="368" t="str">
        <f>IFERROR(__xludf.DUMMYFUNCTION("""COMPUTED_VALUE"""),"Zawya ")</f>
        <v>Zawya </v>
      </c>
      <c r="D415" s="368" t="str">
        <f>IFERROR(__xludf.DUMMYFUNCTION("""COMPUTED_VALUE"""),"Real estate update: Dubai apartment sales grow while villa sales reduce marginally")</f>
        <v>Real estate update: Dubai apartment sales grow while villa sales reduce marginally</v>
      </c>
      <c r="E415" s="507" t="str">
        <f>IFERROR(__xludf.DUMMYFUNCTION("""COMPUTED_VALUE"""),"https://www.zawya.com/en/business/real-estate/real-estate-update-dubai-apartment-sales-grow-while-villa-sales-reduce-marginally-ceqysi00")</f>
        <v>https://www.zawya.com/en/business/real-estate/real-estate-update-dubai-apartment-sales-grow-while-villa-sales-reduce-marginally-ceqysi00</v>
      </c>
      <c r="F415" s="368" t="str">
        <f>IFERROR(__xludf.DUMMYFUNCTION("""COMPUTED_VALUE"""),"Betterhomes")</f>
        <v>Betterhomes</v>
      </c>
    </row>
    <row r="416">
      <c r="A416" s="402">
        <f>IFERROR(__xludf.DUMMYFUNCTION("""COMPUTED_VALUE"""),45124.0)</f>
        <v>45124</v>
      </c>
      <c r="B416" s="368" t="str">
        <f>IFERROR(__xludf.DUMMYFUNCTION("""COMPUTED_VALUE"""),"Tier 2")</f>
        <v>Tier 2</v>
      </c>
      <c r="C416" s="368" t="str">
        <f>IFERROR(__xludf.DUMMYFUNCTION("""COMPUTED_VALUE"""),"Khaleej Times (Online &amp; Print)")</f>
        <v>Khaleej Times (Online &amp; Print)</v>
      </c>
      <c r="D416" s="368" t="str">
        <f>IFERROR(__xludf.DUMMYFUNCTION("""COMPUTED_VALUE"""),"Look: Dubai's 10 'best' homes revealed")</f>
        <v>Look: Dubai's 10 'best' homes revealed</v>
      </c>
      <c r="E416" s="507" t="str">
        <f>IFERROR(__xludf.DUMMYFUNCTION("""COMPUTED_VALUE"""),"https://www.khaleejtimes.com/business/realty/look-dubais-10-best-homes-revealed")</f>
        <v>https://www.khaleejtimes.com/business/realty/look-dubais-10-best-homes-revealed</v>
      </c>
      <c r="F416" s="368" t="str">
        <f>IFERROR(__xludf.DUMMYFUNCTION("""COMPUTED_VALUE"""),"Top 50 Homes")</f>
        <v>Top 50 Homes</v>
      </c>
    </row>
    <row r="417">
      <c r="A417" s="402">
        <f>IFERROR(__xludf.DUMMYFUNCTION("""COMPUTED_VALUE"""),45120.0)</f>
        <v>45120</v>
      </c>
      <c r="B417" s="368" t="str">
        <f>IFERROR(__xludf.DUMMYFUNCTION("""COMPUTED_VALUE"""),"Tier 2")</f>
        <v>Tier 2</v>
      </c>
      <c r="C417" s="368" t="str">
        <f>IFERROR(__xludf.DUMMYFUNCTION("""COMPUTED_VALUE"""),"Khaleej Times")</f>
        <v>Khaleej Times</v>
      </c>
      <c r="D417" s="368" t="str">
        <f>IFERROR(__xludf.DUMMYFUNCTION("""COMPUTED_VALUE"""),"Dubai: British, Indian and Russian buyers among top investors in property market in Q2")</f>
        <v>Dubai: British, Indian and Russian buyers among top investors in property market in Q2</v>
      </c>
      <c r="E417" s="507" t="str">
        <f>IFERROR(__xludf.DUMMYFUNCTION("""COMPUTED_VALUE"""),"https://www.khaleejtimes.com/business/property/dubai-british-indian-and-russian-among-top-investors-in-property-market-in-q2")</f>
        <v>https://www.khaleejtimes.com/business/property/dubai-british-indian-and-russian-among-top-investors-in-property-market-in-q2</v>
      </c>
      <c r="F417" s="368" t="str">
        <f>IFERROR(__xludf.DUMMYFUNCTION("""COMPUTED_VALUE"""),"Betterhomes")</f>
        <v>Betterhomes</v>
      </c>
    </row>
    <row r="418">
      <c r="A418" s="402">
        <f>IFERROR(__xludf.DUMMYFUNCTION("""COMPUTED_VALUE"""),45124.0)</f>
        <v>45124</v>
      </c>
      <c r="B418" s="368" t="str">
        <f>IFERROR(__xludf.DUMMYFUNCTION("""COMPUTED_VALUE"""),"Tier 1")</f>
        <v>Tier 1</v>
      </c>
      <c r="C418" s="368" t="str">
        <f>IFERROR(__xludf.DUMMYFUNCTION("""COMPUTED_VALUE"""),"Money Control ")</f>
        <v>Money Control </v>
      </c>
      <c r="D418" s="368" t="str">
        <f>IFERROR(__xludf.DUMMYFUNCTION("""COMPUTED_VALUE"""),"Investing abroad: Should you consider buying a second home in Dubai?")</f>
        <v>Investing abroad: Should you consider buying a second home in Dubai?</v>
      </c>
      <c r="E418" s="507" t="str">
        <f>IFERROR(__xludf.DUMMYFUNCTION("""COMPUTED_VALUE"""),"https://www.moneycontrol.com/news/business/real-estate/investing-abroad-should-you-consider-buying-a-second-home-in-dubai-10965401.html")</f>
        <v>https://www.moneycontrol.com/news/business/real-estate/investing-abroad-should-you-consider-buying-a-second-home-in-dubai-10965401.html</v>
      </c>
      <c r="F418" s="368" t="str">
        <f>IFERROR(__xludf.DUMMYFUNCTION("""COMPUTED_VALUE"""),"Betterhomes")</f>
        <v>Betterhomes</v>
      </c>
    </row>
    <row r="419">
      <c r="A419" s="402">
        <f>IFERROR(__xludf.DUMMYFUNCTION("""COMPUTED_VALUE"""),45124.0)</f>
        <v>45124</v>
      </c>
      <c r="B419" s="368" t="str">
        <f>IFERROR(__xludf.DUMMYFUNCTION("""COMPUTED_VALUE"""),"Tier 2")</f>
        <v>Tier 2</v>
      </c>
      <c r="C419" s="368" t="str">
        <f>IFERROR(__xludf.DUMMYFUNCTION("""COMPUTED_VALUE"""),"Zawya ")</f>
        <v>Zawya </v>
      </c>
      <c r="D419" s="368" t="str">
        <f>IFERROR(__xludf.DUMMYFUNCTION("""COMPUTED_VALUE"""),"Dubai's 10 'best' homes revealed")</f>
        <v>Dubai's 10 'best' homes revealed</v>
      </c>
      <c r="E419" s="507" t="str">
        <f>IFERROR(__xludf.DUMMYFUNCTION("""COMPUTED_VALUE"""),"https://www.zawya.com/en/business/real-estate/dubais-10-best-homes-revealed-il4crxtg")</f>
        <v>https://www.zawya.com/en/business/real-estate/dubais-10-best-homes-revealed-il4crxtg</v>
      </c>
      <c r="F419" s="368" t="str">
        <f>IFERROR(__xludf.DUMMYFUNCTION("""COMPUTED_VALUE"""),"Top 50 Homes")</f>
        <v>Top 50 Homes</v>
      </c>
    </row>
    <row r="420">
      <c r="A420" s="402">
        <f>IFERROR(__xludf.DUMMYFUNCTION("""COMPUTED_VALUE"""),45125.0)</f>
        <v>45125</v>
      </c>
      <c r="B420" s="368" t="str">
        <f>IFERROR(__xludf.DUMMYFUNCTION("""COMPUTED_VALUE"""),"Tier 2")</f>
        <v>Tier 2</v>
      </c>
      <c r="C420" s="368" t="str">
        <f>IFERROR(__xludf.DUMMYFUNCTION("""COMPUTED_VALUE"""),"Zawya ")</f>
        <v>Zawya </v>
      </c>
      <c r="D420" s="368" t="str">
        <f>IFERROR(__xludf.DUMMYFUNCTION("""COMPUTED_VALUE"""),"Dubai’s real estate transactions increase 37% in Q2: report")</f>
        <v>Dubai’s real estate transactions increase 37% in Q2: report</v>
      </c>
      <c r="E420" s="507" t="str">
        <f>IFERROR(__xludf.DUMMYFUNCTION("""COMPUTED_VALUE"""),"https://www.zawya.com/en/business/real-estate/dubai-realty-posts-37-q2-growth-as-ultra-rich-rush-in-j94zfwoo")</f>
        <v>https://www.zawya.com/en/business/real-estate/dubai-realty-posts-37-q2-growth-as-ultra-rich-rush-in-j94zfwoo</v>
      </c>
      <c r="F420" s="368" t="str">
        <f>IFERROR(__xludf.DUMMYFUNCTION("""COMPUTED_VALUE"""),"Betterhomes")</f>
        <v>Betterhomes</v>
      </c>
    </row>
    <row r="421">
      <c r="A421" s="402">
        <f>IFERROR(__xludf.DUMMYFUNCTION("""COMPUTED_VALUE"""),45125.0)</f>
        <v>45125</v>
      </c>
      <c r="B421" s="368" t="str">
        <f>IFERROR(__xludf.DUMMYFUNCTION("""COMPUTED_VALUE"""),"Tier 2")</f>
        <v>Tier 2</v>
      </c>
      <c r="C421" s="368" t="str">
        <f>IFERROR(__xludf.DUMMYFUNCTION("""COMPUTED_VALUE"""),"Khaleej Times")</f>
        <v>Khaleej Times</v>
      </c>
      <c r="D421" s="368" t="str">
        <f>IFERROR(__xludf.DUMMYFUNCTION("""COMPUTED_VALUE"""),"Dubai’s real estate transactions increase 37% in Q2: report")</f>
        <v>Dubai’s real estate transactions increase 37% in Q2: report</v>
      </c>
      <c r="E421" s="507" t="str">
        <f>IFERROR(__xludf.DUMMYFUNCTION("""COMPUTED_VALUE"""),"https://www.khaleejtimes.com/business/dubai-realty-posts-37-q2-growth-as-ultra-rich-rush-in")</f>
        <v>https://www.khaleejtimes.com/business/dubai-realty-posts-37-q2-growth-as-ultra-rich-rush-in</v>
      </c>
      <c r="F421" s="368" t="str">
        <f>IFERROR(__xludf.DUMMYFUNCTION("""COMPUTED_VALUE"""),"Betterhomes")</f>
        <v>Betterhomes</v>
      </c>
    </row>
    <row r="422">
      <c r="A422" s="402">
        <f>IFERROR(__xludf.DUMMYFUNCTION("""COMPUTED_VALUE"""),45125.0)</f>
        <v>45125</v>
      </c>
      <c r="B422" s="368" t="str">
        <f>IFERROR(__xludf.DUMMYFUNCTION("""COMPUTED_VALUE"""),"Tier 2")</f>
        <v>Tier 2</v>
      </c>
      <c r="C422" s="368" t="str">
        <f>IFERROR(__xludf.DUMMYFUNCTION("""COMPUTED_VALUE"""),"Khaleej Times")</f>
        <v>Khaleej Times</v>
      </c>
      <c r="D422" s="368" t="str">
        <f>IFERROR(__xludf.DUMMYFUNCTION("""COMPUTED_VALUE"""),"What are the most promising upcoming neighbourhoods in Dubai?")</f>
        <v>What are the most promising upcoming neighbourhoods in Dubai?</v>
      </c>
      <c r="E422" s="507" t="str">
        <f>IFERROR(__xludf.DUMMYFUNCTION("""COMPUTED_VALUE"""),"https://www.khaleejtimes.com/business/what-are-the-most-promising-upcoming-neighbourhoods-in-dubai")</f>
        <v>https://www.khaleejtimes.com/business/what-are-the-most-promising-upcoming-neighbourhoods-in-dubai</v>
      </c>
      <c r="F422" s="368" t="str">
        <f>IFERROR(__xludf.DUMMYFUNCTION("""COMPUTED_VALUE"""),"Betterhomes")</f>
        <v>Betterhomes</v>
      </c>
    </row>
    <row r="423">
      <c r="A423" s="402">
        <f>IFERROR(__xludf.DUMMYFUNCTION("""COMPUTED_VALUE"""),45125.0)</f>
        <v>45125</v>
      </c>
      <c r="B423" s="368" t="str">
        <f>IFERROR(__xludf.DUMMYFUNCTION("""COMPUTED_VALUE"""),"Tier 2")</f>
        <v>Tier 2</v>
      </c>
      <c r="C423" s="368" t="str">
        <f>IFERROR(__xludf.DUMMYFUNCTION("""COMPUTED_VALUE"""),"Zawya ")</f>
        <v>Zawya </v>
      </c>
      <c r="D423" s="368" t="str">
        <f>IFERROR(__xludf.DUMMYFUNCTION("""COMPUTED_VALUE"""),"What are the most promising upcoming neighbourhoods in Dubai?")</f>
        <v>What are the most promising upcoming neighbourhoods in Dubai?</v>
      </c>
      <c r="E423" s="507" t="str">
        <f>IFERROR(__xludf.DUMMYFUNCTION("""COMPUTED_VALUE"""),"https://www.zawya.com/en/business/real-estate/what-are-the-most-promising-upcoming-neighbourhoods-in-dubai-f2cailrd")</f>
        <v>https://www.zawya.com/en/business/real-estate/what-are-the-most-promising-upcoming-neighbourhoods-in-dubai-f2cailrd</v>
      </c>
      <c r="F423" s="368" t="str">
        <f>IFERROR(__xludf.DUMMYFUNCTION("""COMPUTED_VALUE"""),"Betterhomes")</f>
        <v>Betterhomes</v>
      </c>
    </row>
    <row r="424">
      <c r="A424" s="402">
        <f>IFERROR(__xludf.DUMMYFUNCTION("""COMPUTED_VALUE"""),45127.0)</f>
        <v>45127</v>
      </c>
      <c r="B424" s="368" t="str">
        <f>IFERROR(__xludf.DUMMYFUNCTION("""COMPUTED_VALUE"""),"Tier 2")</f>
        <v>Tier 2</v>
      </c>
      <c r="C424" s="368" t="str">
        <f>IFERROR(__xludf.DUMMYFUNCTION("""COMPUTED_VALUE"""),"Khaleej Times")</f>
        <v>Khaleej Times</v>
      </c>
      <c r="D424" s="368" t="str">
        <f>IFERROR(__xludf.DUMMYFUNCTION("""COMPUTED_VALUE"""),"Dubai’s commercial real estate transactions surge 101% in Q2")</f>
        <v>Dubai’s commercial real estate transactions surge 101% in Q2</v>
      </c>
      <c r="E424" s="507" t="str">
        <f>IFERROR(__xludf.DUMMYFUNCTION("""COMPUTED_VALUE"""),"https://www.khaleejtimes.com/business/dubais-commercial-real-estate-transactions-surge-101-in-q2")</f>
        <v>https://www.khaleejtimes.com/business/dubais-commercial-real-estate-transactions-surge-101-in-q2</v>
      </c>
      <c r="F424" s="368" t="str">
        <f>IFERROR(__xludf.DUMMYFUNCTION("""COMPUTED_VALUE"""),"CRC ")</f>
        <v>CRC </v>
      </c>
    </row>
    <row r="425">
      <c r="A425" s="402">
        <f>IFERROR(__xludf.DUMMYFUNCTION("""COMPUTED_VALUE"""),45131.0)</f>
        <v>45131</v>
      </c>
      <c r="B425" s="368" t="str">
        <f>IFERROR(__xludf.DUMMYFUNCTION("""COMPUTED_VALUE"""),"Tier 2")</f>
        <v>Tier 2</v>
      </c>
      <c r="C425" s="368" t="str">
        <f>IFERROR(__xludf.DUMMYFUNCTION("""COMPUTED_VALUE"""),"Zawya ")</f>
        <v>Zawya </v>
      </c>
      <c r="D425" s="368" t="str">
        <f>IFERROR(__xludf.DUMMYFUNCTION("""COMPUTED_VALUE"""),"Norwegians second biggest buyers of Dubai commercial real estate")</f>
        <v>Norwegians second biggest buyers of Dubai commercial real estate</v>
      </c>
      <c r="E425" s="507" t="str">
        <f>IFERROR(__xludf.DUMMYFUNCTION("""COMPUTED_VALUE"""),"https://www.zawya.com/en/business/real-estate/norwegians-second-biggest-buyers-of-dubai-commercial-real-estate-cfzxoqfu")</f>
        <v>https://www.zawya.com/en/business/real-estate/norwegians-second-biggest-buyers-of-dubai-commercial-real-estate-cfzxoqfu</v>
      </c>
      <c r="F425" s="368" t="str">
        <f>IFERROR(__xludf.DUMMYFUNCTION("""COMPUTED_VALUE"""),"CRC ")</f>
        <v>CRC </v>
      </c>
    </row>
    <row r="426">
      <c r="A426" s="402">
        <f>IFERROR(__xludf.DUMMYFUNCTION("""COMPUTED_VALUE"""),45131.0)</f>
        <v>45131</v>
      </c>
      <c r="B426" s="368" t="str">
        <f>IFERROR(__xludf.DUMMYFUNCTION("""COMPUTED_VALUE"""),"Tier 2")</f>
        <v>Tier 2</v>
      </c>
      <c r="C426" s="368" t="str">
        <f>IFERROR(__xludf.DUMMYFUNCTION("""COMPUTED_VALUE"""),"Khaleej Times")</f>
        <v>Khaleej Times</v>
      </c>
      <c r="D426" s="368" t="str">
        <f>IFERROR(__xludf.DUMMYFUNCTION("""COMPUTED_VALUE"""),"Dubai waterfront villa prices set to rise further due to limited supply")</f>
        <v>Dubai waterfront villa prices set to rise further due to limited supply</v>
      </c>
      <c r="E426" s="507" t="str">
        <f>IFERROR(__xludf.DUMMYFUNCTION("""COMPUTED_VALUE"""),"https://www.khaleejtimes.com/business/dubai-waterfront-villa-prices-set-to-rise-further-due-to-limited-supply")</f>
        <v>https://www.khaleejtimes.com/business/dubai-waterfront-villa-prices-set-to-rise-further-due-to-limited-supply</v>
      </c>
      <c r="F426" s="368" t="str">
        <f>IFERROR(__xludf.DUMMYFUNCTION("""COMPUTED_VALUE"""),"PRIME by Betterhomes")</f>
        <v>PRIME by Betterhomes</v>
      </c>
    </row>
    <row r="427">
      <c r="A427" s="402">
        <f>IFERROR(__xludf.DUMMYFUNCTION("""COMPUTED_VALUE"""),45131.0)</f>
        <v>45131</v>
      </c>
      <c r="B427" s="368" t="str">
        <f>IFERROR(__xludf.DUMMYFUNCTION("""COMPUTED_VALUE"""),"Tier 2")</f>
        <v>Tier 2</v>
      </c>
      <c r="C427" s="368" t="str">
        <f>IFERROR(__xludf.DUMMYFUNCTION("""COMPUTED_VALUE"""),"Arabian Business")</f>
        <v>Arabian Business</v>
      </c>
      <c r="D427" s="368" t="str">
        <f>IFERROR(__xludf.DUMMYFUNCTION("""COMPUTED_VALUE"""),"Dubai real estate: Off-plan property resurgence fuels market boom amid rising population")</f>
        <v>Dubai real estate: Off-plan property resurgence fuels market boom amid rising population</v>
      </c>
      <c r="E427" s="507" t="str">
        <f>IFERROR(__xludf.DUMMYFUNCTION("""COMPUTED_VALUE"""),"https://www.arabianbusiness.com/industries/real-estate/dubai-real-estate-off-plan-property-resurgence-fuels-market-boom-amid-rising-population")</f>
        <v>https://www.arabianbusiness.com/industries/real-estate/dubai-real-estate-off-plan-property-resurgence-fuels-market-boom-amid-rising-population</v>
      </c>
      <c r="F427" s="368" t="str">
        <f>IFERROR(__xludf.DUMMYFUNCTION("""COMPUTED_VALUE"""),"Off-plan")</f>
        <v>Off-plan</v>
      </c>
    </row>
    <row r="428">
      <c r="A428" s="402">
        <f>IFERROR(__xludf.DUMMYFUNCTION("""COMPUTED_VALUE"""),45132.0)</f>
        <v>45132</v>
      </c>
      <c r="B428" s="368" t="str">
        <f>IFERROR(__xludf.DUMMYFUNCTION("""COMPUTED_VALUE"""),"Tier 2")</f>
        <v>Tier 2</v>
      </c>
      <c r="C428" s="368" t="str">
        <f>IFERROR(__xludf.DUMMYFUNCTION("""COMPUTED_VALUE"""),"Gulf News")</f>
        <v>Gulf News</v>
      </c>
      <c r="D428" s="368" t="str">
        <f>IFERROR(__xludf.DUMMYFUNCTION("""COMPUTED_VALUE"""),"As Dubai property market nears peak, ready homes get buyers’ full attention")</f>
        <v>As Dubai property market nears peak, ready homes get buyers’ full attention</v>
      </c>
      <c r="E428" s="507" t="str">
        <f>IFERROR(__xludf.DUMMYFUNCTION("""COMPUTED_VALUE"""),"https://gulfnews.com/business/property/as-dubai-property-market-nears-peak-ready-homes-get-buyers-full-attention-1.97161895")</f>
        <v>https://gulfnews.com/business/property/as-dubai-property-market-nears-peak-ready-homes-get-buyers-full-attention-1.97161895</v>
      </c>
      <c r="F428" s="368" t="str">
        <f>IFERROR(__xludf.DUMMYFUNCTION("""COMPUTED_VALUE"""),"Betterhomes")</f>
        <v>Betterhomes</v>
      </c>
    </row>
    <row r="429">
      <c r="A429" s="402">
        <f>IFERROR(__xludf.DUMMYFUNCTION("""COMPUTED_VALUE"""),45132.0)</f>
        <v>45132</v>
      </c>
      <c r="B429" s="368" t="str">
        <f>IFERROR(__xludf.DUMMYFUNCTION("""COMPUTED_VALUE"""),"Tier 2")</f>
        <v>Tier 2</v>
      </c>
      <c r="C429" s="368" t="str">
        <f>IFERROR(__xludf.DUMMYFUNCTION("""COMPUTED_VALUE"""),"Khaleej Times (Online &amp; Print)")</f>
        <v>Khaleej Times (Online &amp; Print)</v>
      </c>
      <c r="D429" s="368" t="str">
        <f>IFERROR(__xludf.DUMMYFUNCTION("""COMPUTED_VALUE"""),"Dubai commercial property sees high demand")</f>
        <v>Dubai commercial property sees high demand</v>
      </c>
      <c r="E429" s="507" t="str">
        <f>IFERROR(__xludf.DUMMYFUNCTION("""COMPUTED_VALUE"""),"https://www.khaleejtimes.com/business/dubai-commercial-property-sees-high-demand")</f>
        <v>https://www.khaleejtimes.com/business/dubai-commercial-property-sees-high-demand</v>
      </c>
      <c r="F429" s="368" t="str">
        <f>IFERROR(__xludf.DUMMYFUNCTION("""COMPUTED_VALUE"""),"CRC ")</f>
        <v>CRC </v>
      </c>
    </row>
    <row r="430">
      <c r="A430" s="402">
        <f>IFERROR(__xludf.DUMMYFUNCTION("""COMPUTED_VALUE"""),45132.0)</f>
        <v>45132</v>
      </c>
      <c r="B430" s="368" t="str">
        <f>IFERROR(__xludf.DUMMYFUNCTION("""COMPUTED_VALUE"""),"Tier 2")</f>
        <v>Tier 2</v>
      </c>
      <c r="C430" s="368" t="str">
        <f>IFERROR(__xludf.DUMMYFUNCTION("""COMPUTED_VALUE"""),"Zawya ")</f>
        <v>Zawya </v>
      </c>
      <c r="D430" s="368" t="str">
        <f>IFERROR(__xludf.DUMMYFUNCTION("""COMPUTED_VALUE"""),"Dubai commercial property sees high demand")</f>
        <v>Dubai commercial property sees high demand</v>
      </c>
      <c r="E430" s="507" t="str">
        <f>IFERROR(__xludf.DUMMYFUNCTION("""COMPUTED_VALUE"""),"https://www.zawya.com/en/business/real-estate/dubai-commercial-property-sees-high-demand-c2lxyinv")</f>
        <v>https://www.zawya.com/en/business/real-estate/dubai-commercial-property-sees-high-demand-c2lxyinv</v>
      </c>
      <c r="F430" s="368" t="str">
        <f>IFERROR(__xludf.DUMMYFUNCTION("""COMPUTED_VALUE"""),"CRC ")</f>
        <v>CRC </v>
      </c>
    </row>
    <row r="431">
      <c r="A431" s="402">
        <f>IFERROR(__xludf.DUMMYFUNCTION("""COMPUTED_VALUE"""),45133.0)</f>
        <v>45133</v>
      </c>
      <c r="B431" s="368" t="str">
        <f>IFERROR(__xludf.DUMMYFUNCTION("""COMPUTED_VALUE"""),"Tier 2")</f>
        <v>Tier 2</v>
      </c>
      <c r="C431" s="368" t="str">
        <f>IFERROR(__xludf.DUMMYFUNCTION("""COMPUTED_VALUE"""),"AGBI")</f>
        <v>AGBI</v>
      </c>
      <c r="D431" s="368" t="str">
        <f>IFERROR(__xludf.DUMMYFUNCTION("""COMPUTED_VALUE"""),"Norwegians return to Dubai commercial property sector")</f>
        <v>Norwegians return to Dubai commercial property sector</v>
      </c>
      <c r="E431" s="507" t="str">
        <f>IFERROR(__xludf.DUMMYFUNCTION("""COMPUTED_VALUE"""),"https://www.agbi.com/articles/norwegians-return-dubai-commercial-property-sector/")</f>
        <v>https://www.agbi.com/articles/norwegians-return-dubai-commercial-property-sector/</v>
      </c>
      <c r="F431" s="368" t="str">
        <f>IFERROR(__xludf.DUMMYFUNCTION("""COMPUTED_VALUE"""),"CRC ")</f>
        <v>CRC </v>
      </c>
    </row>
    <row r="432">
      <c r="A432" s="402">
        <f>IFERROR(__xludf.DUMMYFUNCTION("""COMPUTED_VALUE"""),45133.0)</f>
        <v>45133</v>
      </c>
      <c r="B432" s="368" t="str">
        <f>IFERROR(__xludf.DUMMYFUNCTION("""COMPUTED_VALUE"""),"Tier 2")</f>
        <v>Tier 2</v>
      </c>
      <c r="C432" s="368" t="str">
        <f>IFERROR(__xludf.DUMMYFUNCTION("""COMPUTED_VALUE"""),"Arabian Business")</f>
        <v>Arabian Business</v>
      </c>
      <c r="D432" s="368" t="str">
        <f>IFERROR(__xludf.DUMMYFUNCTION("""COMPUTED_VALUE"""),"Dubai, Abu Dhabi real estate markets cash in as soaring investor confidence fuels UAE off-plan property boom")</f>
        <v>Dubai, Abu Dhabi real estate markets cash in as soaring investor confidence fuels UAE off-plan property boom</v>
      </c>
      <c r="E432" s="507" t="str">
        <f>IFERROR(__xludf.DUMMYFUNCTION("""COMPUTED_VALUE"""),"https://www.arabianbusiness.com/industries/real-estate/dubai-abu-dhabi-real-estate-markets-cash-in-as-soaring-investor-confidence-fuels-uae-off-plan-property-boom")</f>
        <v>https://www.arabianbusiness.com/industries/real-estate/dubai-abu-dhabi-real-estate-markets-cash-in-as-soaring-investor-confidence-fuels-uae-off-plan-property-boom</v>
      </c>
      <c r="F432" s="368" t="str">
        <f>IFERROR(__xludf.DUMMYFUNCTION("""COMPUTED_VALUE"""),"Off-plan")</f>
        <v>Off-plan</v>
      </c>
    </row>
    <row r="433">
      <c r="A433" s="402">
        <f>IFERROR(__xludf.DUMMYFUNCTION("""COMPUTED_VALUE"""),45134.0)</f>
        <v>45134</v>
      </c>
      <c r="B433" s="368" t="str">
        <f>IFERROR(__xludf.DUMMYFUNCTION("""COMPUTED_VALUE"""),"Tier 2")</f>
        <v>Tier 2</v>
      </c>
      <c r="C433" s="368" t="str">
        <f>IFERROR(__xludf.DUMMYFUNCTION("""COMPUTED_VALUE"""),"AGBI")</f>
        <v>AGBI</v>
      </c>
      <c r="D433" s="368" t="str">
        <f>IFERROR(__xludf.DUMMYFUNCTION("""COMPUTED_VALUE"""),"Russians bucking trend in Dubai with bigger, pricier homes")</f>
        <v>Russians bucking trend in Dubai with bigger, pricier homes</v>
      </c>
      <c r="E433" s="507" t="str">
        <f>IFERROR(__xludf.DUMMYFUNCTION("""COMPUTED_VALUE"""),"https://www.agbi.com/articles/russians-bigger-long-term-dubai-homes/?utm_source=linkedin&amp;utm_medium=social&amp;utm_campaign=awa&amp;utm_content=russians_dubai_villas-img&amp;utm_term=feed-real_estate")</f>
        <v>https://www.agbi.com/articles/russians-bigger-long-term-dubai-homes/?utm_source=linkedin&amp;utm_medium=social&amp;utm_campaign=awa&amp;utm_content=russians_dubai_villas-img&amp;utm_term=feed-real_estate</v>
      </c>
      <c r="F433" s="368" t="str">
        <f>IFERROR(__xludf.DUMMYFUNCTION("""COMPUTED_VALUE"""),"Betterhomes")</f>
        <v>Betterhomes</v>
      </c>
    </row>
    <row r="434">
      <c r="A434" s="402">
        <f>IFERROR(__xludf.DUMMYFUNCTION("""COMPUTED_VALUE"""),45135.0)</f>
        <v>45135</v>
      </c>
      <c r="B434" s="368" t="str">
        <f>IFERROR(__xludf.DUMMYFUNCTION("""COMPUTED_VALUE"""),"Tier 2")</f>
        <v>Tier 2</v>
      </c>
      <c r="C434" s="368" t="str">
        <f>IFERROR(__xludf.DUMMYFUNCTION("""COMPUTED_VALUE"""),"Time Out Dubai")</f>
        <v>Time Out Dubai</v>
      </c>
      <c r="D434" s="368" t="str">
        <f>IFERROR(__xludf.DUMMYFUNCTION("""COMPUTED_VALUE"""),"House-hunting? Download these real estate apps in Dubai")</f>
        <v>House-hunting? Download these real estate apps in Dubai</v>
      </c>
      <c r="E434" s="507" t="str">
        <f>IFERROR(__xludf.DUMMYFUNCTION("""COMPUTED_VALUE"""),"https://www.timeoutdubai.com/moving-to-dubai/real-estate-apps-in-dubai")</f>
        <v>https://www.timeoutdubai.com/moving-to-dubai/real-estate-apps-in-dubai</v>
      </c>
      <c r="F434" s="368" t="str">
        <f>IFERROR(__xludf.DUMMYFUNCTION("""COMPUTED_VALUE"""),"Betterhomes")</f>
        <v>Betterhomes</v>
      </c>
    </row>
    <row r="435">
      <c r="A435" s="402">
        <f>IFERROR(__xludf.DUMMYFUNCTION("""COMPUTED_VALUE"""),45136.0)</f>
        <v>45136</v>
      </c>
      <c r="B435" s="368" t="str">
        <f>IFERROR(__xludf.DUMMYFUNCTION("""COMPUTED_VALUE"""),"Tier 3")</f>
        <v>Tier 3</v>
      </c>
      <c r="C435" s="368" t="str">
        <f>IFERROR(__xludf.DUMMYFUNCTION("""COMPUTED_VALUE"""),"Watson (France)")</f>
        <v>Watson (France)</v>
      </c>
      <c r="D435" s="368" t="str">
        <f>IFERROR(__xludf.DUMMYFUNCTION("""COMPUTED_VALUE"""),"From Switzerland to Dubai: Russian oligarchs move their money")</f>
        <v>From Switzerland to Dubai: Russian oligarchs move their money</v>
      </c>
      <c r="E435" s="507" t="str">
        <f>IFERROR(__xludf.DUMMYFUNCTION("""COMPUTED_VALUE"""),"https://www.watson.ch/fr/economie/russie/982986502-de-la-paradeplatz-a-dubai-les-riches-russes-deplacent-leur-argent")</f>
        <v>https://www.watson.ch/fr/economie/russie/982986502-de-la-paradeplatz-a-dubai-les-riches-russes-deplacent-leur-argent</v>
      </c>
      <c r="F435" s="368"/>
    </row>
    <row r="436">
      <c r="A436" s="402">
        <f>IFERROR(__xludf.DUMMYFUNCTION("""COMPUTED_VALUE"""),45137.0)</f>
        <v>45137</v>
      </c>
      <c r="B436" s="368" t="str">
        <f>IFERROR(__xludf.DUMMYFUNCTION("""COMPUTED_VALUE"""),"Tier 3")</f>
        <v>Tier 3</v>
      </c>
      <c r="C436" s="368" t="str">
        <f>IFERROR(__xludf.DUMMYFUNCTION("""COMPUTED_VALUE"""),"Prian (Russia)")</f>
        <v>Prian (Russia)</v>
      </c>
      <c r="D436" s="368" t="str">
        <f>IFERROR(__xludf.DUMMYFUNCTION("""COMPUTED_VALUE"""),"The most Russian districts of Dubai: where investors from the Russian Federation buy real estate")</f>
        <v>The most Russian districts of Dubai: where investors from the Russian Federation buy real estate</v>
      </c>
      <c r="E436" s="507" t="str">
        <f>IFERROR(__xludf.DUMMYFUNCTION("""COMPUTED_VALUE"""),"https://prian.ru/pub/samye-russkie-rayony-dubaya-gde-pokupayut-nedvizhimost-investory-iz-rf.html")</f>
        <v>https://prian.ru/pub/samye-russkie-rayony-dubaya-gde-pokupayut-nedvizhimost-investory-iz-rf.html</v>
      </c>
      <c r="F436" s="368" t="str">
        <f>IFERROR(__xludf.DUMMYFUNCTION("""COMPUTED_VALUE"""),"Betterhomes")</f>
        <v>Betterhomes</v>
      </c>
    </row>
    <row r="437">
      <c r="A437" s="402">
        <f>IFERROR(__xludf.DUMMYFUNCTION("""COMPUTED_VALUE"""),45138.0)</f>
        <v>45138</v>
      </c>
      <c r="B437" s="368" t="str">
        <f>IFERROR(__xludf.DUMMYFUNCTION("""COMPUTED_VALUE"""),"Tier 2")</f>
        <v>Tier 2</v>
      </c>
      <c r="C437" s="368" t="str">
        <f>IFERROR(__xludf.DUMMYFUNCTION("""COMPUTED_VALUE"""),"The National ")</f>
        <v>The National </v>
      </c>
      <c r="D437" s="368" t="str">
        <f>IFERROR(__xludf.DUMMYFUNCTION("""COMPUTED_VALUE"""),"What's next for the Dubai property market?")</f>
        <v>What's next for the Dubai property market?</v>
      </c>
      <c r="E437" s="507" t="str">
        <f>IFERROR(__xludf.DUMMYFUNCTION("""COMPUTED_VALUE"""),"https://www.thenationalnews.com/weekend/2023/07/28/whats-next-for-the-dubai-property-market/")</f>
        <v>https://www.thenationalnews.com/weekend/2023/07/28/whats-next-for-the-dubai-property-market/</v>
      </c>
      <c r="F437" s="368" t="str">
        <f>IFERROR(__xludf.DUMMYFUNCTION("""COMPUTED_VALUE"""),"Betterhomes")</f>
        <v>Betterhomes</v>
      </c>
    </row>
    <row r="438">
      <c r="A438" s="402">
        <f>IFERROR(__xludf.DUMMYFUNCTION("""COMPUTED_VALUE"""),45140.0)</f>
        <v>45140</v>
      </c>
      <c r="B438" s="368" t="str">
        <f>IFERROR(__xludf.DUMMYFUNCTION("""COMPUTED_VALUE"""),"Tier 2")</f>
        <v>Tier 2</v>
      </c>
      <c r="C438" s="368" t="str">
        <f>IFERROR(__xludf.DUMMYFUNCTION("""COMPUTED_VALUE"""),"Khaleej Times")</f>
        <v>Khaleej Times</v>
      </c>
      <c r="D438" s="368" t="str">
        <f>IFERROR(__xludf.DUMMYFUNCTION("""COMPUTED_VALUE"""),"Rents in Dubai: Up to Dh20,000 discount on fewer cheque payments")</f>
        <v>Rents in Dubai: Up to Dh20,000 discount on fewer cheque payments</v>
      </c>
      <c r="E438" s="507" t="str">
        <f>IFERROR(__xludf.DUMMYFUNCTION("""COMPUTED_VALUE"""),"https://www.khaleejtimes.com/life-and-living/housing-in-uae/rents-in-dubai-up-to-dh20000-discount-on-fewer-cheque-payments?_refresh=true")</f>
        <v>https://www.khaleejtimes.com/life-and-living/housing-in-uae/rents-in-dubai-up-to-dh20000-discount-on-fewer-cheque-payments?_refresh=true</v>
      </c>
      <c r="F438" s="368" t="str">
        <f>IFERROR(__xludf.DUMMYFUNCTION("""COMPUTED_VALUE"""),"Betterhomes")</f>
        <v>Betterhomes</v>
      </c>
    </row>
    <row r="439">
      <c r="A439" s="402">
        <f>IFERROR(__xludf.DUMMYFUNCTION("""COMPUTED_VALUE"""),45140.0)</f>
        <v>45140</v>
      </c>
      <c r="B439" s="368" t="str">
        <f>IFERROR(__xludf.DUMMYFUNCTION("""COMPUTED_VALUE"""),"Tier 2")</f>
        <v>Tier 2</v>
      </c>
      <c r="C439" s="368" t="str">
        <f>IFERROR(__xludf.DUMMYFUNCTION("""COMPUTED_VALUE"""),"Zawya ")</f>
        <v>Zawya </v>
      </c>
      <c r="D439" s="368" t="str">
        <f>IFERROR(__xludf.DUMMYFUNCTION("""COMPUTED_VALUE"""),"Rents in Dubai: Up to $5,500 discount on fewer cheque payments")</f>
        <v>Rents in Dubai: Up to $5,500 discount on fewer cheque payments</v>
      </c>
      <c r="E439" s="507" t="str">
        <f>IFERROR(__xludf.DUMMYFUNCTION("""COMPUTED_VALUE"""),"https://www.zawya.com/en/business/real-estate/rents-in-dubai-up-to-5-500-discount-on-fewer-cheque-payments-snyex3vu")</f>
        <v>https://www.zawya.com/en/business/real-estate/rents-in-dubai-up-to-5-500-discount-on-fewer-cheque-payments-snyex3vu</v>
      </c>
      <c r="F439" s="368" t="str">
        <f>IFERROR(__xludf.DUMMYFUNCTION("""COMPUTED_VALUE"""),"Betterhomes")</f>
        <v>Betterhomes</v>
      </c>
    </row>
    <row r="440">
      <c r="A440" s="402">
        <f>IFERROR(__xludf.DUMMYFUNCTION("""COMPUTED_VALUE"""),45141.0)</f>
        <v>45141</v>
      </c>
      <c r="B440" s="368" t="str">
        <f>IFERROR(__xludf.DUMMYFUNCTION("""COMPUTED_VALUE"""),"Tier 2")</f>
        <v>Tier 2</v>
      </c>
      <c r="C440" s="368" t="str">
        <f>IFERROR(__xludf.DUMMYFUNCTION("""COMPUTED_VALUE"""),"Khaleej Times")</f>
        <v>Khaleej Times</v>
      </c>
      <c r="D440" s="368" t="str">
        <f>IFERROR(__xludf.DUMMYFUNCTION("""COMPUTED_VALUE"""),"How is off-plan investment different from investing in ready properties?")</f>
        <v>How is off-plan investment different from investing in ready properties?</v>
      </c>
      <c r="E440" s="507" t="str">
        <f>IFERROR(__xludf.DUMMYFUNCTION("""COMPUTED_VALUE"""),"https://www.khaleejtimes.com/business/how-is-off-plan-investment-different-from-investing-in-ready-properties#:~:text=Unlike%20off%2Dplan%20investments%2C%20ready,in%20the%20completion%20of%20construction.")</f>
        <v>https://www.khaleejtimes.com/business/how-is-off-plan-investment-different-from-investing-in-ready-properties#:~:text=Unlike%20off%2Dplan%20investments%2C%20ready,in%20the%20completion%20of%20construction.</v>
      </c>
      <c r="F440" s="368" t="str">
        <f>IFERROR(__xludf.DUMMYFUNCTION("""COMPUTED_VALUE"""),"Betterhomes")</f>
        <v>Betterhomes</v>
      </c>
    </row>
    <row r="441">
      <c r="A441" s="402">
        <f>IFERROR(__xludf.DUMMYFUNCTION("""COMPUTED_VALUE"""),45153.0)</f>
        <v>45153</v>
      </c>
      <c r="B441" s="368" t="str">
        <f>IFERROR(__xludf.DUMMYFUNCTION("""COMPUTED_VALUE"""),"Tier 1")</f>
        <v>Tier 1</v>
      </c>
      <c r="C441" s="368" t="str">
        <f>IFERROR(__xludf.DUMMYFUNCTION("""COMPUTED_VALUE"""),"CNN ")</f>
        <v>CNN </v>
      </c>
      <c r="D441" s="368" t="str">
        <f>IFERROR(__xludf.DUMMYFUNCTION("""COMPUTED_VALUE"""),"Which is better.. buying or renting real estate? The experts answer")</f>
        <v>Which is better.. buying or renting real estate? The experts answer</v>
      </c>
      <c r="E441" s="507" t="str">
        <f>IFERROR(__xludf.DUMMYFUNCTION("""COMPUTED_VALUE"""),"https://cnnbusinessarabic.com/real-estate-construction/34375/%D8%A3%D9%8A%D9%87%D9%85%D8%A7-%D8%A3%D9%81%D8%B6%D9%84-%D8%B4%D8%B1%D8%A7%D8%A1-%D8%A7%D9%84%D8%B9%D9%82%D8%A7%D8%B1%D8%A7%D8%AA-%D8%A3%D9%85-%D8%A7%D8%B3%D8%AA%D8%A6%D8%AC%D8%A7%D8%B1%D9%87%D8"&amp;"%A7%D8%9F-%D8%A7%D9%84%D8%AE%D8%A8%D8%B1%D8%A7%D8%A1-%D9%8A%D8%AC%D9%8A%D8%A8%D9%88%D9%86")</f>
        <v>https://cnnbusinessarabic.com/real-estate-construction/34375/%D8%A3%D9%8A%D9%87%D9%85%D8%A7-%D8%A3%D9%81%D8%B6%D9%84-%D8%B4%D8%B1%D8%A7%D8%A1-%D8%A7%D9%84%D8%B9%D9%82%D8%A7%D8%B1%D8%A7%D8%AA-%D8%A3%D9%85-%D8%A7%D8%B3%D8%AA%D8%A6%D8%AC%D8%A7%D8%B1%D9%87%D8%A7%D8%9F-%D8%A7%D9%84%D8%AE%D8%A8%D8%B1%D8%A7%D8%A1-%D9%8A%D8%AC%D9%8A%D8%A8%D9%88%D9%86</v>
      </c>
      <c r="F441" s="368" t="str">
        <f>IFERROR(__xludf.DUMMYFUNCTION("""COMPUTED_VALUE"""),"Betterhomes")</f>
        <v>Betterhomes</v>
      </c>
    </row>
    <row r="442">
      <c r="A442" s="402">
        <f>IFERROR(__xludf.DUMMYFUNCTION("""COMPUTED_VALUE"""),45155.0)</f>
        <v>45155</v>
      </c>
      <c r="B442" s="368" t="str">
        <f>IFERROR(__xludf.DUMMYFUNCTION("""COMPUTED_VALUE"""),"Tier 2")</f>
        <v>Tier 2</v>
      </c>
      <c r="C442" s="368" t="str">
        <f>IFERROR(__xludf.DUMMYFUNCTION("""COMPUTED_VALUE"""),"Mena FN")</f>
        <v>Mena FN</v>
      </c>
      <c r="D442" s="368" t="str">
        <f>IFERROR(__xludf.DUMMYFUNCTION("""COMPUTED_VALUE"""),"The Surge Of Custom-Built Villas In Palm Jumeirah: Unveiling The Trend And Its Motivations")</f>
        <v>The Surge Of Custom-Built Villas In Palm Jumeirah: Unveiling The Trend And Its Motivations</v>
      </c>
      <c r="E442" s="507" t="str">
        <f>IFERROR(__xludf.DUMMYFUNCTION("""COMPUTED_VALUE"""),"https://menafn.com/1106880144/The-Surge-Of-Custom-Built-Villas-In-Palm-Jumeirah-Unveiling-The-Trend-And-Its-Motivations")</f>
        <v>https://menafn.com/1106880144/The-Surge-Of-Custom-Built-Villas-In-Palm-Jumeirah-Unveiling-The-Trend-And-Its-Motivations</v>
      </c>
      <c r="F442" s="368" t="str">
        <f>IFERROR(__xludf.DUMMYFUNCTION("""COMPUTED_VALUE"""),"Betterhomes")</f>
        <v>Betterhomes</v>
      </c>
    </row>
    <row r="443">
      <c r="A443" s="402">
        <f>IFERROR(__xludf.DUMMYFUNCTION("""COMPUTED_VALUE"""),45155.0)</f>
        <v>45155</v>
      </c>
      <c r="B443" s="368" t="str">
        <f>IFERROR(__xludf.DUMMYFUNCTION("""COMPUTED_VALUE"""),"Tier 2")</f>
        <v>Tier 2</v>
      </c>
      <c r="C443" s="368" t="str">
        <f>IFERROR(__xludf.DUMMYFUNCTION("""COMPUTED_VALUE"""),"Khaleej Times")</f>
        <v>Khaleej Times</v>
      </c>
      <c r="D443" s="368" t="str">
        <f>IFERROR(__xludf.DUMMYFUNCTION("""COMPUTED_VALUE"""),"The Surge Of Custom-Built Villas In Palm Jumeirah: Unveiling The Trend And Its Motivations")</f>
        <v>The Surge Of Custom-Built Villas In Palm Jumeirah: Unveiling The Trend And Its Motivations</v>
      </c>
      <c r="E443" s="507" t="str">
        <f>IFERROR(__xludf.DUMMYFUNCTION("""COMPUTED_VALUE"""),"https://www.khaleejtimes.com/business/the-surge-of-custom-built-villas-in-palm-jumeirah-unveiling-the-trend-and-its-motivations")</f>
        <v>https://www.khaleejtimes.com/business/the-surge-of-custom-built-villas-in-palm-jumeirah-unveiling-the-trend-and-its-motivations</v>
      </c>
      <c r="F443" s="368" t="str">
        <f>IFERROR(__xludf.DUMMYFUNCTION("""COMPUTED_VALUE"""),"Betterhomes")</f>
        <v>Betterhomes</v>
      </c>
    </row>
    <row r="444">
      <c r="A444" s="402">
        <f>IFERROR(__xludf.DUMMYFUNCTION("""COMPUTED_VALUE"""),45155.0)</f>
        <v>45155</v>
      </c>
      <c r="B444" s="368" t="str">
        <f>IFERROR(__xludf.DUMMYFUNCTION("""COMPUTED_VALUE"""),"Tier 2")</f>
        <v>Tier 2</v>
      </c>
      <c r="C444" s="368" t="str">
        <f>IFERROR(__xludf.DUMMYFUNCTION("""COMPUTED_VALUE"""),"The National ")</f>
        <v>The National </v>
      </c>
      <c r="D444" s="368" t="str">
        <f>IFERROR(__xludf.DUMMYFUNCTION("""COMPUTED_VALUE"""),"Where are the best places to live in Dubai with children?")</f>
        <v>Where are the best places to live in Dubai with children?</v>
      </c>
      <c r="E444" s="507" t="str">
        <f>IFERROR(__xludf.DUMMYFUNCTION("""COMPUTED_VALUE"""),"https://www.thenationalnews.com/uae/2023/08/24/best-area-live-dubai-family/")</f>
        <v>https://www.thenationalnews.com/uae/2023/08/24/best-area-live-dubai-family/</v>
      </c>
      <c r="F444" s="368" t="str">
        <f>IFERROR(__xludf.DUMMYFUNCTION("""COMPUTED_VALUE"""),"Betterhomes")</f>
        <v>Betterhomes</v>
      </c>
    </row>
    <row r="445">
      <c r="A445" s="402">
        <f>IFERROR(__xludf.DUMMYFUNCTION("""COMPUTED_VALUE"""),45156.0)</f>
        <v>45156</v>
      </c>
      <c r="B445" s="368" t="str">
        <f>IFERROR(__xludf.DUMMYFUNCTION("""COMPUTED_VALUE"""),"Tier 3")</f>
        <v>Tier 3</v>
      </c>
      <c r="C445" s="368" t="str">
        <f>IFERROR(__xludf.DUMMYFUNCTION("""COMPUTED_VALUE"""),"Russia Matters")</f>
        <v>Russia Matters</v>
      </c>
      <c r="D445" s="368" t="str">
        <f>IFERROR(__xludf.DUMMYFUNCTION("""COMPUTED_VALUE"""),"Russia in Review")</f>
        <v>Russia in Review</v>
      </c>
      <c r="E445" s="507" t="str">
        <f>IFERROR(__xludf.DUMMYFUNCTION("""COMPUTED_VALUE"""),"https://www.russiamatters.org/news/russia-review/russia-review-aug-18-25-2023")</f>
        <v>https://www.russiamatters.org/news/russia-review/russia-review-aug-18-25-2023</v>
      </c>
      <c r="F445" s="368" t="str">
        <f>IFERROR(__xludf.DUMMYFUNCTION("""COMPUTED_VALUE"""),"Betterhomes")</f>
        <v>Betterhomes</v>
      </c>
    </row>
    <row r="446">
      <c r="A446" s="402">
        <f>IFERROR(__xludf.DUMMYFUNCTION("""COMPUTED_VALUE"""),45156.0)</f>
        <v>45156</v>
      </c>
      <c r="B446" s="368" t="str">
        <f>IFERROR(__xludf.DUMMYFUNCTION("""COMPUTED_VALUE"""),"Tier 2")</f>
        <v>Tier 2</v>
      </c>
      <c r="C446" s="368" t="str">
        <f>IFERROR(__xludf.DUMMYFUNCTION("""COMPUTED_VALUE"""),"Business Insider")</f>
        <v>Business Insider</v>
      </c>
      <c r="D446" s="368" t="str">
        <f>IFERROR(__xludf.DUMMYFUNCTION("""COMPUTED_VALUE"""),"Russia's economic woes have led to a flood of cash and sparked a real estate boom in the United Arab Emirates")</f>
        <v>Russia's economic woes have led to a flood of cash and sparked a real estate boom in the United Arab Emirates</v>
      </c>
      <c r="E446" s="507" t="str">
        <f>IFERROR(__xludf.DUMMYFUNCTION("""COMPUTED_VALUE"""),"https://www.businessinsider.de/politik/international-politics/russlands-wirtschaftliche-probleme-haben-zu-flut-von-bargeld-gefuehrt-und-immobilienboom-in-den-vereinigten-arabischen-emiraten-ausgeloest/")</f>
        <v>https://www.businessinsider.de/politik/international-politics/russlands-wirtschaftliche-probleme-haben-zu-flut-von-bargeld-gefuehrt-und-immobilienboom-in-den-vereinigten-arabischen-emiraten-ausgeloest/</v>
      </c>
      <c r="F446" s="368" t="str">
        <f>IFERROR(__xludf.DUMMYFUNCTION("""COMPUTED_VALUE"""),"Betterhomes")</f>
        <v>Betterhomes</v>
      </c>
    </row>
    <row r="447">
      <c r="A447" s="402">
        <f>IFERROR(__xludf.DUMMYFUNCTION("""COMPUTED_VALUE"""),45159.0)</f>
        <v>45159</v>
      </c>
      <c r="B447" s="368" t="str">
        <f>IFERROR(__xludf.DUMMYFUNCTION("""COMPUTED_VALUE"""),"Tier 1")</f>
        <v>Tier 1</v>
      </c>
      <c r="C447" s="368" t="str">
        <f>IFERROR(__xludf.DUMMYFUNCTION("""COMPUTED_VALUE"""),"The Wall Street Journal")</f>
        <v>The Wall Street Journal</v>
      </c>
      <c r="D447" s="368" t="str">
        <f>IFERROR(__xludf.DUMMYFUNCTION("""COMPUTED_VALUE"""),"U.A.E. Cashes In on Russia’s Economic Woes")</f>
        <v>U.A.E. Cashes In on Russia’s Economic Woes</v>
      </c>
      <c r="E447" s="507" t="str">
        <f>IFERROR(__xludf.DUMMYFUNCTION("""COMPUTED_VALUE"""),"https://www.wsj.com/world/russia/u-a-e-cashes-in-on-russias-economic-woes-52700157")</f>
        <v>https://www.wsj.com/world/russia/u-a-e-cashes-in-on-russias-economic-woes-52700157</v>
      </c>
      <c r="F447" s="368" t="str">
        <f>IFERROR(__xludf.DUMMYFUNCTION("""COMPUTED_VALUE"""),"Betterhomes")</f>
        <v>Betterhomes</v>
      </c>
    </row>
    <row r="448">
      <c r="A448" s="402">
        <f>IFERROR(__xludf.DUMMYFUNCTION("""COMPUTED_VALUE"""),45160.0)</f>
        <v>45160</v>
      </c>
      <c r="B448" s="368" t="str">
        <f>IFERROR(__xludf.DUMMYFUNCTION("""COMPUTED_VALUE"""),"Tier 2")</f>
        <v>Tier 2</v>
      </c>
      <c r="C448" s="368" t="str">
        <f>IFERROR(__xludf.DUMMYFUNCTION("""COMPUTED_VALUE"""),"News Arab")</f>
        <v>News Arab</v>
      </c>
      <c r="D448" s="368" t="str">
        <f>IFERROR(__xludf.DUMMYFUNCTION("""COMPUTED_VALUE"""),"UAE denies sanctions violations as it deepens economic ties with Russia")</f>
        <v>UAE denies sanctions violations as it deepens economic ties with Russia</v>
      </c>
      <c r="E448" s="507" t="str">
        <f>IFERROR(__xludf.DUMMYFUNCTION("""COMPUTED_VALUE"""),"https://www.newarab.com/news/uae-denies-sanctions-violations-it-deepens-russia-ties")</f>
        <v>https://www.newarab.com/news/uae-denies-sanctions-violations-it-deepens-russia-ties</v>
      </c>
      <c r="F448" s="368" t="str">
        <f>IFERROR(__xludf.DUMMYFUNCTION("""COMPUTED_VALUE"""),"Betterhomes")</f>
        <v>Betterhomes</v>
      </c>
    </row>
    <row r="449">
      <c r="A449" s="402">
        <f>IFERROR(__xludf.DUMMYFUNCTION("""COMPUTED_VALUE"""),45160.0)</f>
        <v>45160</v>
      </c>
      <c r="B449" s="368" t="str">
        <f>IFERROR(__xludf.DUMMYFUNCTION("""COMPUTED_VALUE"""),"Tier 2")</f>
        <v>Tier 2</v>
      </c>
      <c r="C449" s="368" t="str">
        <f>IFERROR(__xludf.DUMMYFUNCTION("""COMPUTED_VALUE"""),"Gulf News")</f>
        <v>Gulf News</v>
      </c>
      <c r="D449" s="368" t="str">
        <f>IFERROR(__xludf.DUMMYFUNCTION("""COMPUTED_VALUE"""),"UAE free zones take lead in drawing new businesses as corporate tax rules become clear")</f>
        <v>UAE free zones take lead in drawing new businesses as corporate tax rules become clear</v>
      </c>
      <c r="E449" s="507" t="str">
        <f>IFERROR(__xludf.DUMMYFUNCTION("""COMPUTED_VALUE"""),"https://gulfnews.com/business/tax-news/uae-free-zones-take-lead-in-drawing-new-businesses-as-corporate-tax-rules-become-clear-1.1692591947595")</f>
        <v>https://gulfnews.com/business/tax-news/uae-free-zones-take-lead-in-drawing-new-businesses-as-corporate-tax-rules-become-clear-1.1692591947595</v>
      </c>
      <c r="F449" s="368" t="str">
        <f>IFERROR(__xludf.DUMMYFUNCTION("""COMPUTED_VALUE"""),"CRC")</f>
        <v>CRC</v>
      </c>
    </row>
    <row r="450">
      <c r="A450" s="402">
        <f>IFERROR(__xludf.DUMMYFUNCTION("""COMPUTED_VALUE"""),45161.0)</f>
        <v>45161</v>
      </c>
      <c r="B450" s="368" t="str">
        <f>IFERROR(__xludf.DUMMYFUNCTION("""COMPUTED_VALUE"""),"Tier 3")</f>
        <v>Tier 3</v>
      </c>
      <c r="C450" s="368" t="str">
        <f>IFERROR(__xludf.DUMMYFUNCTION("""COMPUTED_VALUE"""),"Toitre (Vietnam)")</f>
        <v>Toitre (Vietnam)</v>
      </c>
      <c r="D450" s="368" t="str">
        <f>IFERROR(__xludf.DUMMYFUNCTION("""COMPUTED_VALUE"""),"Russian people bring money to Dubai to invest in real estate")</f>
        <v>Russian people bring money to Dubai to invest in real estate</v>
      </c>
      <c r="E450" s="507" t="str">
        <f>IFERROR(__xludf.DUMMYFUNCTION("""COMPUTED_VALUE"""),"https://tuoitre.vn/dan-nga-dem-tien-sang-dubai-dau-tu-bat-dong-san-20230823162821013.htm")</f>
        <v>https://tuoitre.vn/dan-nga-dem-tien-sang-dubai-dau-tu-bat-dong-san-20230823162821013.htm</v>
      </c>
      <c r="F450" s="368" t="str">
        <f>IFERROR(__xludf.DUMMYFUNCTION("""COMPUTED_VALUE"""),"Betterhomes")</f>
        <v>Betterhomes</v>
      </c>
    </row>
    <row r="451">
      <c r="A451" s="402">
        <f>IFERROR(__xludf.DUMMYFUNCTION("""COMPUTED_VALUE"""),45171.0)</f>
        <v>45171</v>
      </c>
      <c r="B451" s="368" t="str">
        <f>IFERROR(__xludf.DUMMYFUNCTION("""COMPUTED_VALUE"""),"Tier 3")</f>
        <v>Tier 3</v>
      </c>
      <c r="C451" s="368" t="str">
        <f>IFERROR(__xludf.DUMMYFUNCTION("""COMPUTED_VALUE"""),"Logicno (Croatia)")</f>
        <v>Logicno (Croatia)</v>
      </c>
      <c r="D451" s="368" t="str">
        <f>IFERROR(__xludf.DUMMYFUNCTION("""COMPUTED_VALUE"""),"Massive withdrawal of capital from Switzerland to the Middle East")</f>
        <v>Massive withdrawal of capital from Switzerland to the Middle East</v>
      </c>
      <c r="E451" s="507" t="str">
        <f>IFERROR(__xludf.DUMMYFUNCTION("""COMPUTED_VALUE"""),"https://www.logicno.com/politika/ogromno-povlacenje-kapitala-iz-svicarske-na-bliski-istok.html")</f>
        <v>https://www.logicno.com/politika/ogromno-povlacenje-kapitala-iz-svicarske-na-bliski-istok.html</v>
      </c>
      <c r="F451" s="368" t="str">
        <f>IFERROR(__xludf.DUMMYFUNCTION("""COMPUTED_VALUE"""),"Betterhomes")</f>
        <v>Betterhomes</v>
      </c>
    </row>
    <row r="452">
      <c r="A452" s="402">
        <f>IFERROR(__xludf.DUMMYFUNCTION("""COMPUTED_VALUE"""),45173.0)</f>
        <v>45173</v>
      </c>
      <c r="B452" s="368" t="str">
        <f>IFERROR(__xludf.DUMMYFUNCTION("""COMPUTED_VALUE"""),"Tier 2")</f>
        <v>Tier 2</v>
      </c>
      <c r="C452" s="368" t="str">
        <f>IFERROR(__xludf.DUMMYFUNCTION("""COMPUTED_VALUE"""),"Khaleej Times")</f>
        <v>Khaleej Times</v>
      </c>
      <c r="D452" s="368" t="str">
        <f>IFERROR(__xludf.DUMMYFUNCTION("""COMPUTED_VALUE"""),"Dubai: Should you buy, rent property directly from the owner or through a property agent?")</f>
        <v>Dubai: Should you buy, rent property directly from the owner or through a property agent?</v>
      </c>
      <c r="E452" s="507" t="str">
        <f>IFERROR(__xludf.DUMMYFUNCTION("""COMPUTED_VALUE"""),"https://www.khaleejtimes.com/business/dubai-should-you-buy-rent-property-directly-from-the-owner-or-through-a-property-agent")</f>
        <v>https://www.khaleejtimes.com/business/dubai-should-you-buy-rent-property-directly-from-the-owner-or-through-a-property-agent</v>
      </c>
      <c r="F452" s="368" t="str">
        <f>IFERROR(__xludf.DUMMYFUNCTION("""COMPUTED_VALUE"""),"Betterhomes")</f>
        <v>Betterhomes</v>
      </c>
    </row>
    <row r="453">
      <c r="A453" s="402">
        <f>IFERROR(__xludf.DUMMYFUNCTION("""COMPUTED_VALUE"""),45175.0)</f>
        <v>45175</v>
      </c>
      <c r="B453" s="368" t="str">
        <f>IFERROR(__xludf.DUMMYFUNCTION("""COMPUTED_VALUE"""),"Tier 3")</f>
        <v>Tier 3</v>
      </c>
      <c r="C453" s="368" t="str">
        <f>IFERROR(__xludf.DUMMYFUNCTION("""COMPUTED_VALUE"""),"Cafe F (Vietnam)")</f>
        <v>Cafe F (Vietnam)</v>
      </c>
      <c r="D453" s="368" t="str">
        <f>IFERROR(__xludf.DUMMYFUNCTION("""COMPUTED_VALUE"""),"The attraction of the super-rich kingdom receives huge flows of assets from Russia")</f>
        <v>The attraction of the super-rich kingdom receives huge flows of assets from Russia</v>
      </c>
      <c r="E453" s="507" t="str">
        <f>IFERROR(__xludf.DUMMYFUNCTION("""COMPUTED_VALUE"""),"https://cafef.vn/suc-hap-dan-cua-vuong-quoc-sieu-giau-don-nhan-dong-tai-san-khong-lo-tu-nga-188230906093157615.chn")</f>
        <v>https://cafef.vn/suc-hap-dan-cua-vuong-quoc-sieu-giau-don-nhan-dong-tai-san-khong-lo-tu-nga-188230906093157615.chn</v>
      </c>
      <c r="F453" s="368" t="str">
        <f>IFERROR(__xludf.DUMMYFUNCTION("""COMPUTED_VALUE"""),"Betterhomes")</f>
        <v>Betterhomes</v>
      </c>
    </row>
    <row r="454">
      <c r="A454" s="402">
        <f>IFERROR(__xludf.DUMMYFUNCTION("""COMPUTED_VALUE"""),45180.0)</f>
        <v>45180</v>
      </c>
      <c r="B454" s="368" t="str">
        <f>IFERROR(__xludf.DUMMYFUNCTION("""COMPUTED_VALUE"""),"Tier 2")</f>
        <v>Tier 2</v>
      </c>
      <c r="C454" s="368" t="str">
        <f>IFERROR(__xludf.DUMMYFUNCTION("""COMPUTED_VALUE"""),"Khaleej Times")</f>
        <v>Khaleej Times</v>
      </c>
      <c r="D454" s="368" t="str">
        <f>IFERROR(__xludf.DUMMYFUNCTION("""COMPUTED_VALUE"""),"What are the best locations for an investor seeking to buy mid-range property in Dubai?")</f>
        <v>What are the best locations for an investor seeking to buy mid-range property in Dubai?</v>
      </c>
      <c r="E454" s="507" t="str">
        <f>IFERROR(__xludf.DUMMYFUNCTION("""COMPUTED_VALUE"""),"https://www.khaleejtimes.com/business/what-are-the-best-locations-for-an-investor-seeking-to-buy-mid-range-property-in-dubai")</f>
        <v>https://www.khaleejtimes.com/business/what-are-the-best-locations-for-an-investor-seeking-to-buy-mid-range-property-in-dubai</v>
      </c>
      <c r="F454" s="368" t="str">
        <f>IFERROR(__xludf.DUMMYFUNCTION("""COMPUTED_VALUE"""),"Betterhomes")</f>
        <v>Betterhomes</v>
      </c>
    </row>
    <row r="455">
      <c r="A455" s="402">
        <f>IFERROR(__xludf.DUMMYFUNCTION("""COMPUTED_VALUE"""),45181.0)</f>
        <v>45181</v>
      </c>
      <c r="B455" s="368" t="str">
        <f>IFERROR(__xludf.DUMMYFUNCTION("""COMPUTED_VALUE"""),"Tier 2")</f>
        <v>Tier 2</v>
      </c>
      <c r="C455" s="368" t="str">
        <f>IFERROR(__xludf.DUMMYFUNCTION("""COMPUTED_VALUE"""),"Mena FN")</f>
        <v>Mena FN</v>
      </c>
      <c r="D455" s="368" t="str">
        <f>IFERROR(__xludf.DUMMYFUNCTION("""COMPUTED_VALUE"""),"What Are The Best Locations For An Investor Seeking To Buy Mid-Range Property In Dubai?")</f>
        <v>What Are The Best Locations For An Investor Seeking To Buy Mid-Range Property In Dubai?</v>
      </c>
      <c r="E455" s="507" t="str">
        <f>IFERROR(__xludf.DUMMYFUNCTION("""COMPUTED_VALUE"""),"https://menafn.com/1107053466/What-Are-The-Best-Locations-For-An-Investor-Seeking-To-Buy-Mid-Range-Property-In-Dubai")</f>
        <v>https://menafn.com/1107053466/What-Are-The-Best-Locations-For-An-Investor-Seeking-To-Buy-Mid-Range-Property-In-Dubai</v>
      </c>
      <c r="F455" s="368" t="str">
        <f>IFERROR(__xludf.DUMMYFUNCTION("""COMPUTED_VALUE"""),"Betterhomes")</f>
        <v>Betterhomes</v>
      </c>
    </row>
    <row r="456">
      <c r="A456" s="402">
        <f>IFERROR(__xludf.DUMMYFUNCTION("""COMPUTED_VALUE"""),45189.0)</f>
        <v>45189</v>
      </c>
      <c r="B456" s="368" t="str">
        <f>IFERROR(__xludf.DUMMYFUNCTION("""COMPUTED_VALUE"""),"Tier 2")</f>
        <v>Tier 2</v>
      </c>
      <c r="C456" s="368" t="str">
        <f>IFERROR(__xludf.DUMMYFUNCTION("""COMPUTED_VALUE"""),"AGBI")</f>
        <v>AGBI</v>
      </c>
      <c r="D456" s="368" t="str">
        <f>IFERROR(__xludf.DUMMYFUNCTION("""COMPUTED_VALUE"""),"Russians snap up plots of land to build ‘Little Moscow’ in Dubai")</f>
        <v>Russians snap up plots of land to build ‘Little Moscow’ in Dubai</v>
      </c>
      <c r="E456" s="507" t="str">
        <f>IFERROR(__xludf.DUMMYFUNCTION("""COMPUTED_VALUE"""),"https://www.agbi.com/articles/russian-investors-dubai-real-estate-little-moscow/")</f>
        <v>https://www.agbi.com/articles/russian-investors-dubai-real-estate-little-moscow/</v>
      </c>
      <c r="F456" s="368" t="str">
        <f>IFERROR(__xludf.DUMMYFUNCTION("""COMPUTED_VALUE"""),"Betterhomes")</f>
        <v>Betterhomes</v>
      </c>
    </row>
    <row r="457">
      <c r="A457" s="402">
        <f>IFERROR(__xludf.DUMMYFUNCTION("""COMPUTED_VALUE"""),45189.0)</f>
        <v>45189</v>
      </c>
      <c r="B457" s="368" t="str">
        <f>IFERROR(__xludf.DUMMYFUNCTION("""COMPUTED_VALUE"""),"Tier 2")</f>
        <v>Tier 2</v>
      </c>
      <c r="C457" s="368" t="str">
        <f>IFERROR(__xludf.DUMMYFUNCTION("""COMPUTED_VALUE"""),"Arabian Business")</f>
        <v>Arabian Business</v>
      </c>
      <c r="D457" s="368" t="str">
        <f>IFERROR(__xludf.DUMMYFUNCTION("""COMPUTED_VALUE"""),"Dubai real estate: How much property does $1 million buy?")</f>
        <v>Dubai real estate: How much property does $1 million buy?</v>
      </c>
      <c r="E457" s="507" t="str">
        <f>IFERROR(__xludf.DUMMYFUNCTION("""COMPUTED_VALUE"""),"https://www.arabianbusiness.com/industries/real-estate/dubai-real-estate-how-much-property-does-1-million-buy")</f>
        <v>https://www.arabianbusiness.com/industries/real-estate/dubai-real-estate-how-much-property-does-1-million-buy</v>
      </c>
      <c r="F457" s="368" t="str">
        <f>IFERROR(__xludf.DUMMYFUNCTION("""COMPUTED_VALUE"""),"Betterhomes")</f>
        <v>Betterhomes</v>
      </c>
    </row>
    <row r="458">
      <c r="A458" s="402">
        <f>IFERROR(__xludf.DUMMYFUNCTION("""COMPUTED_VALUE"""),45190.0)</f>
        <v>45190</v>
      </c>
      <c r="B458" s="368" t="str">
        <f>IFERROR(__xludf.DUMMYFUNCTION("""COMPUTED_VALUE"""),"Tier 2")</f>
        <v>Tier 2</v>
      </c>
      <c r="C458" s="368" t="str">
        <f>IFERROR(__xludf.DUMMYFUNCTION("""COMPUTED_VALUE"""),"Khaleej Times")</f>
        <v>Khaleej Times</v>
      </c>
      <c r="D458" s="368" t="str">
        <f>IFERROR(__xludf.DUMMYFUNCTION("""COMPUTED_VALUE"""),"Why Property Buyers Pay Up To 7% Extra Of Total Value?")</f>
        <v>Why Property Buyers Pay Up To 7% Extra Of Total Value?</v>
      </c>
      <c r="E458" s="507" t="str">
        <f>IFERROR(__xludf.DUMMYFUNCTION("""COMPUTED_VALUE"""),"https://www.khaleejtimes.com/business/why-property-buyers-pay-up-to-7-extra-of-total-value")</f>
        <v>https://www.khaleejtimes.com/business/why-property-buyers-pay-up-to-7-extra-of-total-value</v>
      </c>
      <c r="F458" s="368" t="str">
        <f>IFERROR(__xludf.DUMMYFUNCTION("""COMPUTED_VALUE"""),"Betterhomes")</f>
        <v>Betterhomes</v>
      </c>
    </row>
    <row r="459">
      <c r="A459" s="402">
        <f>IFERROR(__xludf.DUMMYFUNCTION("""COMPUTED_VALUE"""),45191.0)</f>
        <v>45191</v>
      </c>
      <c r="B459" s="368" t="str">
        <f>IFERROR(__xludf.DUMMYFUNCTION("""COMPUTED_VALUE"""),"Tier 3")</f>
        <v>Tier 3</v>
      </c>
      <c r="C459" s="368" t="str">
        <f>IFERROR(__xludf.DUMMYFUNCTION("""COMPUTED_VALUE"""),"WAM (China)")</f>
        <v>WAM (China)</v>
      </c>
      <c r="D459" s="368" t="str">
        <f>IFERROR(__xludf.DUMMYFUNCTION("""COMPUTED_VALUE"""),"Dubai real estate market booms as people queue up to buy luxury properties")</f>
        <v>Dubai real estate market booms as people queue up to buy luxury properties</v>
      </c>
      <c r="E459" s="507" t="str">
        <f>IFERROR(__xludf.DUMMYFUNCTION("""COMPUTED_VALUE"""),"https://www.wam.ae/zh-CN/details/1395303200431")</f>
        <v>https://www.wam.ae/zh-CN/details/1395303200431</v>
      </c>
      <c r="F459" s="368" t="str">
        <f>IFERROR(__xludf.DUMMYFUNCTION("""COMPUTED_VALUE"""),"Betterhomes")</f>
        <v>Betterhomes</v>
      </c>
    </row>
    <row r="460">
      <c r="A460" s="402">
        <f>IFERROR(__xludf.DUMMYFUNCTION("""COMPUTED_VALUE"""),45192.0)</f>
        <v>45192</v>
      </c>
      <c r="B460" s="368" t="str">
        <f>IFERROR(__xludf.DUMMYFUNCTION("""COMPUTED_VALUE"""),"Tier 3")</f>
        <v>Tier 3</v>
      </c>
      <c r="C460" s="368" t="str">
        <f>IFERROR(__xludf.DUMMYFUNCTION("""COMPUTED_VALUE"""),"Vietnam Net (Vietnam)")</f>
        <v>Vietnam Net (Vietnam)</v>
      </c>
      <c r="D460" s="368" t="str">
        <f>IFERROR(__xludf.DUMMYFUNCTION("""COMPUTED_VALUE"""),"Rich people camp overnight waiting to buy artificial island villas in Dubai")</f>
        <v>Rich people camp overnight waiting to buy artificial island villas in Dubai</v>
      </c>
      <c r="E460" s="507" t="str">
        <f>IFERROR(__xludf.DUMMYFUNCTION("""COMPUTED_VALUE"""),"https://vietnamnet.vn/cam-trai-xuyen-dem-xep-hang-tu-3h-sang-cho-mua-biet-thu-dao-o-dubai-2193119.html")</f>
        <v>https://vietnamnet.vn/cam-trai-xuyen-dem-xep-hang-tu-3h-sang-cho-mua-biet-thu-dao-o-dubai-2193119.html</v>
      </c>
      <c r="F460" s="368" t="str">
        <f>IFERROR(__xludf.DUMMYFUNCTION("""COMPUTED_VALUE"""),"Betterhomes")</f>
        <v>Betterhomes</v>
      </c>
    </row>
    <row r="461">
      <c r="A461" s="402">
        <f>IFERROR(__xludf.DUMMYFUNCTION("""COMPUTED_VALUE"""),45192.0)</f>
        <v>45192</v>
      </c>
      <c r="B461" s="368" t="str">
        <f>IFERROR(__xludf.DUMMYFUNCTION("""COMPUTED_VALUE"""),"Tier 3")</f>
        <v>Tier 3</v>
      </c>
      <c r="C461" s="368" t="str">
        <f>IFERROR(__xludf.DUMMYFUNCTION("""COMPUTED_VALUE"""),"WAM (Turkish)")</f>
        <v>WAM (Turkish)</v>
      </c>
      <c r="D461" s="368" t="str">
        <f>IFERROR(__xludf.DUMMYFUNCTION("""COMPUTED_VALUE"""),"How is Dubai managing real estate growth?")</f>
        <v>How is Dubai managing real estate growth?</v>
      </c>
      <c r="E461" s="507" t="str">
        <f>IFERROR(__xludf.DUMMYFUNCTION("""COMPUTED_VALUE"""),"https://wam.ae/tr/details/1395303201169")</f>
        <v>https://wam.ae/tr/details/1395303201169</v>
      </c>
      <c r="F461" s="368" t="str">
        <f>IFERROR(__xludf.DUMMYFUNCTION("""COMPUTED_VALUE"""),"Betterhomes")</f>
        <v>Betterhomes</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C18"/>
    <hyperlink r:id="rId16" ref="E18"/>
    <hyperlink r:id="rId17" ref="E19"/>
    <hyperlink r:id="rId18" ref="E20"/>
    <hyperlink r:id="rId19" ref="E21"/>
    <hyperlink r:id="rId20" ref="E24"/>
    <hyperlink r:id="rId21" ref="E25"/>
    <hyperlink r:id="rId22" ref="E26"/>
    <hyperlink r:id="rId23" ref="E30"/>
    <hyperlink r:id="rId24" ref="E31"/>
    <hyperlink r:id="rId25" ref="E32"/>
    <hyperlink r:id="rId26" ref="E33"/>
    <hyperlink r:id="rId27" ref="E34"/>
    <hyperlink r:id="rId28" ref="E35"/>
    <hyperlink r:id="rId29" ref="E36"/>
    <hyperlink r:id="rId30" ref="E37"/>
    <hyperlink r:id="rId31" ref="E38"/>
    <hyperlink r:id="rId32" ref="E39"/>
    <hyperlink r:id="rId33" ref="E40"/>
    <hyperlink r:id="rId34" ref="E41"/>
    <hyperlink r:id="rId35" ref="E42"/>
    <hyperlink r:id="rId36" ref="E43"/>
    <hyperlink r:id="rId37" ref="E44"/>
    <hyperlink r:id="rId38" ref="E45"/>
    <hyperlink r:id="rId39" ref="E46"/>
    <hyperlink r:id="rId40" ref="E47"/>
    <hyperlink r:id="rId41" ref="E48"/>
    <hyperlink r:id="rId42" ref="E50"/>
    <hyperlink r:id="rId43" ref="E51"/>
    <hyperlink r:id="rId44" ref="E52"/>
    <hyperlink r:id="rId45" ref="E53"/>
    <hyperlink r:id="rId46" ref="E54"/>
    <hyperlink r:id="rId47" ref="E55"/>
    <hyperlink r:id="rId48" ref="E56"/>
    <hyperlink r:id="rId49" ref="E57"/>
    <hyperlink r:id="rId50" ref="E58"/>
    <hyperlink r:id="rId51" ref="E59"/>
    <hyperlink r:id="rId52" ref="E60"/>
    <hyperlink r:id="rId53" ref="E61"/>
    <hyperlink r:id="rId54" ref="E62"/>
    <hyperlink r:id="rId55" ref="E63"/>
    <hyperlink r:id="rId56" ref="E64"/>
    <hyperlink r:id="rId57" ref="E65"/>
    <hyperlink r:id="rId58" ref="E66"/>
    <hyperlink r:id="rId59" ref="E67"/>
    <hyperlink r:id="rId60" ref="E68"/>
    <hyperlink r:id="rId61" ref="E69"/>
    <hyperlink r:id="rId62" ref="E70"/>
    <hyperlink r:id="rId63" ref="E71"/>
    <hyperlink r:id="rId64" ref="E72"/>
    <hyperlink r:id="rId65" ref="E73"/>
    <hyperlink r:id="rId66" ref="E74"/>
    <hyperlink r:id="rId67" ref="E75"/>
    <hyperlink r:id="rId68" ref="E76"/>
    <hyperlink r:id="rId69" ref="E77"/>
    <hyperlink r:id="rId70" ref="E78"/>
    <hyperlink r:id="rId71" ref="E79"/>
    <hyperlink r:id="rId72" ref="E80"/>
    <hyperlink r:id="rId73" ref="E81"/>
    <hyperlink r:id="rId74" ref="E82"/>
    <hyperlink r:id="rId75" ref="E83"/>
    <hyperlink r:id="rId76" ref="E84"/>
    <hyperlink r:id="rId77" ref="E85"/>
    <hyperlink r:id="rId78" ref="E86"/>
    <hyperlink r:id="rId79" ref="E87"/>
    <hyperlink r:id="rId80" ref="E88"/>
    <hyperlink r:id="rId81" ref="E89"/>
    <hyperlink r:id="rId82" ref="E90"/>
    <hyperlink r:id="rId83" ref="E91"/>
    <hyperlink r:id="rId84" ref="E92"/>
    <hyperlink r:id="rId85" ref="E93"/>
    <hyperlink r:id="rId86" ref="E94"/>
    <hyperlink r:id="rId87" ref="E95"/>
    <hyperlink r:id="rId88" ref="E96"/>
    <hyperlink r:id="rId89" ref="E97"/>
    <hyperlink r:id="rId90" ref="E98"/>
    <hyperlink r:id="rId91" ref="E99"/>
    <hyperlink r:id="rId92" ref="E100"/>
    <hyperlink r:id="rId93" ref="E101"/>
    <hyperlink r:id="rId94" ref="E102"/>
    <hyperlink r:id="rId95" ref="E103"/>
    <hyperlink r:id="rId96" ref="E104"/>
    <hyperlink r:id="rId97" ref="E105"/>
    <hyperlink r:id="rId98" ref="E106"/>
    <hyperlink r:id="rId99" ref="E107"/>
    <hyperlink r:id="rId100" ref="E108"/>
    <hyperlink r:id="rId101" ref="E109"/>
    <hyperlink r:id="rId102" ref="E110"/>
    <hyperlink r:id="rId103" ref="E111"/>
    <hyperlink r:id="rId104" ref="E112"/>
    <hyperlink r:id="rId105" ref="E113"/>
    <hyperlink r:id="rId106" ref="E114"/>
    <hyperlink r:id="rId107" ref="E115"/>
    <hyperlink r:id="rId108" ref="E116"/>
    <hyperlink r:id="rId109" ref="E117"/>
    <hyperlink r:id="rId110" ref="E118"/>
    <hyperlink r:id="rId111" ref="E119"/>
    <hyperlink r:id="rId112" ref="E120"/>
    <hyperlink r:id="rId113" ref="E121"/>
    <hyperlink r:id="rId114" ref="E122"/>
    <hyperlink r:id="rId115" ref="E123"/>
    <hyperlink r:id="rId116" ref="E124"/>
    <hyperlink r:id="rId117" ref="E125"/>
    <hyperlink r:id="rId118" ref="E126"/>
    <hyperlink r:id="rId119" ref="E127"/>
    <hyperlink r:id="rId120" ref="E128"/>
    <hyperlink r:id="rId121" ref="E130"/>
    <hyperlink r:id="rId122" ref="E131"/>
    <hyperlink r:id="rId123" ref="E132"/>
    <hyperlink r:id="rId124" ref="E133"/>
    <hyperlink r:id="rId125" ref="E134"/>
    <hyperlink r:id="rId126" ref="E135"/>
    <hyperlink r:id="rId127" ref="E136"/>
    <hyperlink r:id="rId128" ref="E137"/>
    <hyperlink r:id="rId129" ref="E138"/>
    <hyperlink r:id="rId130" ref="E139"/>
    <hyperlink r:id="rId131" ref="E140"/>
    <hyperlink r:id="rId132" ref="E141"/>
    <hyperlink r:id="rId133" ref="E142"/>
    <hyperlink r:id="rId134" ref="E143"/>
    <hyperlink r:id="rId135" ref="E144"/>
    <hyperlink r:id="rId136" ref="E145"/>
    <hyperlink r:id="rId137" ref="E146"/>
    <hyperlink r:id="rId138" ref="E147"/>
    <hyperlink r:id="rId139" ref="E148"/>
    <hyperlink r:id="rId140" ref="E149"/>
    <hyperlink r:id="rId141" ref="E150"/>
    <hyperlink r:id="rId142" ref="E151"/>
    <hyperlink r:id="rId143" ref="E152"/>
    <hyperlink r:id="rId144" ref="E153"/>
    <hyperlink r:id="rId145" ref="E154"/>
    <hyperlink r:id="rId146" ref="E155"/>
    <hyperlink r:id="rId147" ref="E156"/>
    <hyperlink r:id="rId148" ref="E157"/>
    <hyperlink r:id="rId149" ref="E158"/>
    <hyperlink r:id="rId150" ref="E159"/>
    <hyperlink r:id="rId151" ref="E160"/>
    <hyperlink r:id="rId152" ref="E161"/>
    <hyperlink r:id="rId153" ref="E162"/>
    <hyperlink r:id="rId154" ref="E163"/>
    <hyperlink r:id="rId155" ref="E164"/>
    <hyperlink r:id="rId156" ref="E165"/>
    <hyperlink r:id="rId157" ref="E166"/>
    <hyperlink r:id="rId158" ref="E167"/>
    <hyperlink r:id="rId159" ref="E168"/>
    <hyperlink r:id="rId160" ref="E169"/>
    <hyperlink r:id="rId161" ref="E170"/>
    <hyperlink r:id="rId162" ref="E171"/>
    <hyperlink r:id="rId163" ref="E172"/>
    <hyperlink r:id="rId164" ref="E173"/>
    <hyperlink r:id="rId165" ref="E174"/>
    <hyperlink r:id="rId166" ref="E175"/>
    <hyperlink r:id="rId167" ref="E176"/>
    <hyperlink r:id="rId168" ref="E177"/>
    <hyperlink r:id="rId169" ref="E178"/>
    <hyperlink r:id="rId170" ref="E179"/>
    <hyperlink r:id="rId171" ref="E180"/>
    <hyperlink r:id="rId172" ref="E181"/>
    <hyperlink r:id="rId173" ref="E182"/>
    <hyperlink r:id="rId174" ref="E183"/>
    <hyperlink r:id="rId175" ref="E184"/>
    <hyperlink r:id="rId176" ref="E185"/>
    <hyperlink r:id="rId177" ref="E186"/>
    <hyperlink r:id="rId178" ref="E187"/>
    <hyperlink r:id="rId179" ref="E188"/>
    <hyperlink r:id="rId180" ref="E189"/>
    <hyperlink r:id="rId181" ref="E190"/>
    <hyperlink r:id="rId182" ref="E191"/>
    <hyperlink r:id="rId183" ref="E192"/>
    <hyperlink r:id="rId184" ref="E193"/>
    <hyperlink r:id="rId185" ref="E194"/>
    <hyperlink r:id="rId186" ref="E195"/>
    <hyperlink r:id="rId187" ref="E196"/>
    <hyperlink r:id="rId188" ref="E197"/>
    <hyperlink r:id="rId189" ref="E198"/>
    <hyperlink r:id="rId190" ref="E199"/>
    <hyperlink r:id="rId191" ref="E200"/>
    <hyperlink r:id="rId192" ref="E201"/>
    <hyperlink r:id="rId193" ref="E202"/>
    <hyperlink r:id="rId194" ref="E203"/>
    <hyperlink r:id="rId195" ref="E204"/>
    <hyperlink r:id="rId196" ref="E205"/>
    <hyperlink r:id="rId197" ref="E206"/>
    <hyperlink r:id="rId198" ref="E207"/>
    <hyperlink r:id="rId199" ref="E208"/>
    <hyperlink r:id="rId200" ref="E209"/>
    <hyperlink r:id="rId201" ref="E210"/>
    <hyperlink r:id="rId202" ref="E211"/>
    <hyperlink r:id="rId203" ref="E212"/>
    <hyperlink r:id="rId204" ref="E213"/>
    <hyperlink r:id="rId205" ref="E214"/>
    <hyperlink r:id="rId206" ref="E215"/>
    <hyperlink r:id="rId207" ref="E216"/>
    <hyperlink r:id="rId208" ref="E217"/>
    <hyperlink r:id="rId209" ref="E218"/>
    <hyperlink r:id="rId210" ref="E219"/>
    <hyperlink r:id="rId211" ref="E220"/>
    <hyperlink r:id="rId212" ref="E221"/>
    <hyperlink r:id="rId213" ref="E222"/>
    <hyperlink r:id="rId214" ref="E223"/>
    <hyperlink r:id="rId215" ref="E224"/>
    <hyperlink r:id="rId216" ref="E225"/>
    <hyperlink r:id="rId217" ref="E226"/>
    <hyperlink r:id="rId218" ref="E227"/>
    <hyperlink r:id="rId219" ref="E228"/>
    <hyperlink r:id="rId220" ref="E229"/>
    <hyperlink r:id="rId221" ref="E230"/>
    <hyperlink r:id="rId222" ref="E231"/>
    <hyperlink r:id="rId223" ref="E232"/>
    <hyperlink r:id="rId224" ref="E233"/>
    <hyperlink r:id="rId225" ref="E234"/>
    <hyperlink r:id="rId226" ref="E235"/>
    <hyperlink r:id="rId227" ref="E236"/>
    <hyperlink r:id="rId228" ref="E237"/>
    <hyperlink r:id="rId229" ref="E238"/>
    <hyperlink r:id="rId230" ref="E239"/>
    <hyperlink r:id="rId231" ref="E240"/>
    <hyperlink r:id="rId232" ref="E241"/>
    <hyperlink r:id="rId233" ref="E242"/>
    <hyperlink r:id="rId234" ref="E243"/>
    <hyperlink r:id="rId235" ref="E244"/>
    <hyperlink r:id="rId236" ref="E245"/>
    <hyperlink r:id="rId237" ref="E246"/>
    <hyperlink r:id="rId238" ref="E247"/>
    <hyperlink r:id="rId239" ref="E248"/>
    <hyperlink r:id="rId240" ref="E249"/>
    <hyperlink r:id="rId241" ref="E250"/>
    <hyperlink r:id="rId242" ref="E251"/>
    <hyperlink r:id="rId243" ref="E252"/>
    <hyperlink r:id="rId244" ref="E253"/>
    <hyperlink r:id="rId245" ref="E254"/>
    <hyperlink r:id="rId246" ref="E255"/>
    <hyperlink r:id="rId247" ref="E256"/>
    <hyperlink r:id="rId248" ref="E257"/>
    <hyperlink r:id="rId249" ref="E258"/>
    <hyperlink r:id="rId250" ref="E259"/>
    <hyperlink r:id="rId251" ref="E260"/>
    <hyperlink r:id="rId252" ref="E261"/>
    <hyperlink r:id="rId253" ref="E262"/>
    <hyperlink r:id="rId254" ref="E263"/>
    <hyperlink r:id="rId255" ref="E264"/>
    <hyperlink r:id="rId256" ref="E265"/>
    <hyperlink r:id="rId257" ref="E266"/>
    <hyperlink r:id="rId258" ref="E267"/>
    <hyperlink r:id="rId259" ref="E268"/>
    <hyperlink r:id="rId260" ref="E269"/>
    <hyperlink r:id="rId261" ref="E270"/>
    <hyperlink r:id="rId262" ref="E271"/>
    <hyperlink r:id="rId263" ref="E272"/>
    <hyperlink r:id="rId264" ref="E273"/>
    <hyperlink r:id="rId265" ref="E274"/>
    <hyperlink r:id="rId266" ref="E275"/>
    <hyperlink r:id="rId267" ref="E276"/>
    <hyperlink r:id="rId268" ref="E277"/>
    <hyperlink r:id="rId269" ref="E278"/>
    <hyperlink r:id="rId270" ref="E279"/>
    <hyperlink r:id="rId271" ref="E280"/>
    <hyperlink r:id="rId272" ref="E281"/>
    <hyperlink r:id="rId273" ref="E282"/>
    <hyperlink r:id="rId274" ref="E283"/>
    <hyperlink r:id="rId275" location=".Y9j7OXZBy5c" ref="E284"/>
    <hyperlink r:id="rId276" ref="E285"/>
    <hyperlink r:id="rId277" ref="E286"/>
    <hyperlink r:id="rId278" ref="E287"/>
    <hyperlink r:id="rId279" ref="E288"/>
    <hyperlink r:id="rId280" ref="E289"/>
    <hyperlink r:id="rId281" ref="E290"/>
    <hyperlink r:id="rId282" ref="E291"/>
    <hyperlink r:id="rId283" ref="E292"/>
    <hyperlink r:id="rId284" ref="E293"/>
    <hyperlink r:id="rId285" ref="E294"/>
    <hyperlink r:id="rId286" ref="E295"/>
    <hyperlink r:id="rId287" ref="E296"/>
    <hyperlink r:id="rId288" ref="E297"/>
    <hyperlink r:id="rId289" ref="E298"/>
    <hyperlink r:id="rId290" ref="E299"/>
    <hyperlink r:id="rId291" ref="E300"/>
    <hyperlink r:id="rId292" ref="E301"/>
    <hyperlink r:id="rId293" ref="E302"/>
    <hyperlink r:id="rId294" ref="E303"/>
    <hyperlink r:id="rId295" ref="E304"/>
    <hyperlink r:id="rId296" ref="E305"/>
    <hyperlink r:id="rId297" ref="E306"/>
    <hyperlink r:id="rId298" ref="E307"/>
    <hyperlink r:id="rId299" ref="E308"/>
    <hyperlink r:id="rId300" ref="E309"/>
    <hyperlink r:id="rId301" ref="E310"/>
    <hyperlink r:id="rId302" ref="E311"/>
    <hyperlink r:id="rId303" ref="E312"/>
    <hyperlink r:id="rId304" ref="E313"/>
    <hyperlink r:id="rId305" ref="E314"/>
    <hyperlink r:id="rId306" ref="E315"/>
    <hyperlink r:id="rId307" ref="E316"/>
    <hyperlink r:id="rId308" ref="E317"/>
    <hyperlink r:id="rId309" ref="E318"/>
    <hyperlink r:id="rId310" ref="E319"/>
    <hyperlink r:id="rId311" ref="E320"/>
    <hyperlink r:id="rId312" ref="E321"/>
    <hyperlink r:id="rId313" ref="E322"/>
    <hyperlink r:id="rId314" ref="E323"/>
    <hyperlink r:id="rId315" ref="E324"/>
    <hyperlink r:id="rId316" ref="E325"/>
    <hyperlink r:id="rId317" ref="E326"/>
    <hyperlink r:id="rId318" ref="E327"/>
    <hyperlink r:id="rId319" ref="E328"/>
    <hyperlink r:id="rId320" ref="E329"/>
    <hyperlink r:id="rId321" ref="E330"/>
    <hyperlink r:id="rId322" ref="E331"/>
    <hyperlink r:id="rId323" ref="E332"/>
    <hyperlink r:id="rId324" ref="E333"/>
    <hyperlink r:id="rId325" ref="E334"/>
    <hyperlink r:id="rId326" ref="E335"/>
    <hyperlink r:id="rId327" ref="E336"/>
    <hyperlink r:id="rId328" ref="E337"/>
    <hyperlink r:id="rId329" ref="E338"/>
    <hyperlink r:id="rId330" ref="E339"/>
    <hyperlink r:id="rId331" ref="E340"/>
    <hyperlink r:id="rId332" ref="E341"/>
    <hyperlink r:id="rId333" ref="E342"/>
    <hyperlink r:id="rId334" ref="E343"/>
    <hyperlink r:id="rId335" ref="E344"/>
    <hyperlink r:id="rId336" ref="E345"/>
    <hyperlink r:id="rId337" location="xj4y7vzkg" ref="E346"/>
    <hyperlink r:id="rId338" ref="E347"/>
    <hyperlink r:id="rId339" ref="E348"/>
    <hyperlink r:id="rId340" ref="E349"/>
    <hyperlink r:id="rId341" ref="E350"/>
    <hyperlink r:id="rId342" ref="E351"/>
    <hyperlink r:id="rId343" ref="E352"/>
    <hyperlink r:id="rId344" ref="E353"/>
    <hyperlink r:id="rId345" ref="E354"/>
    <hyperlink r:id="rId346" ref="E355"/>
    <hyperlink r:id="rId347" ref="E356"/>
    <hyperlink r:id="rId348" ref="E357"/>
    <hyperlink r:id="rId349" ref="E358"/>
    <hyperlink r:id="rId350" ref="E359"/>
    <hyperlink r:id="rId351" ref="E360"/>
    <hyperlink r:id="rId352" ref="E361"/>
    <hyperlink r:id="rId353" ref="E362"/>
    <hyperlink r:id="rId354" ref="E363"/>
    <hyperlink r:id="rId355" ref="E364"/>
    <hyperlink r:id="rId356" ref="E365"/>
    <hyperlink r:id="rId357" ref="E366"/>
    <hyperlink r:id="rId358" ref="E367"/>
    <hyperlink r:id="rId359" ref="E368"/>
    <hyperlink r:id="rId360" ref="E369"/>
    <hyperlink r:id="rId361" ref="E370"/>
    <hyperlink r:id="rId362" ref="E371"/>
    <hyperlink r:id="rId363" ref="E372"/>
    <hyperlink r:id="rId364" ref="E373"/>
    <hyperlink r:id="rId365" ref="E374"/>
    <hyperlink r:id="rId366" ref="E375"/>
    <hyperlink r:id="rId367" ref="E376"/>
    <hyperlink r:id="rId368" ref="E377"/>
    <hyperlink r:id="rId369" ref="E378"/>
    <hyperlink r:id="rId370" ref="E379"/>
    <hyperlink r:id="rId371" ref="E380"/>
    <hyperlink r:id="rId372" ref="E381"/>
    <hyperlink r:id="rId373" ref="E382"/>
    <hyperlink r:id="rId374" ref="E383"/>
    <hyperlink r:id="rId375" ref="E384"/>
    <hyperlink r:id="rId376" ref="E385"/>
    <hyperlink r:id="rId377" ref="E386"/>
    <hyperlink r:id="rId378" ref="E387"/>
    <hyperlink r:id="rId379" ref="E388"/>
    <hyperlink r:id="rId380" ref="E389"/>
    <hyperlink r:id="rId381" ref="E390"/>
    <hyperlink r:id="rId382" ref="E391"/>
    <hyperlink r:id="rId383" ref="E392"/>
    <hyperlink r:id="rId384" ref="E393"/>
    <hyperlink r:id="rId385" location=":~:text=a%20broad%20basis.%E2%80%9D-,More%20Risk,to%20sell%20ahead%20of%20construction." ref="E394"/>
    <hyperlink r:id="rId386" ref="E395"/>
    <hyperlink r:id="rId387" ref="E396"/>
    <hyperlink r:id="rId388" ref="E397"/>
    <hyperlink r:id="rId389" ref="E398"/>
    <hyperlink r:id="rId390" ref="E399"/>
    <hyperlink r:id="rId391" ref="E400"/>
    <hyperlink r:id="rId392" ref="E401"/>
    <hyperlink r:id="rId393" ref="E402"/>
    <hyperlink r:id="rId394" ref="E403"/>
    <hyperlink r:id="rId395" ref="E404"/>
    <hyperlink r:id="rId396" ref="E405"/>
    <hyperlink r:id="rId397" ref="E406"/>
    <hyperlink r:id="rId398" ref="E407"/>
    <hyperlink r:id="rId399" ref="E408"/>
    <hyperlink r:id="rId400" ref="E409"/>
    <hyperlink r:id="rId401" ref="E410"/>
    <hyperlink r:id="rId402" ref="E411"/>
    <hyperlink r:id="rId403" ref="E412"/>
    <hyperlink r:id="rId404" ref="E413"/>
    <hyperlink r:id="rId405" ref="E414"/>
    <hyperlink r:id="rId406" ref="E415"/>
    <hyperlink r:id="rId407" ref="E416"/>
    <hyperlink r:id="rId408" ref="E417"/>
    <hyperlink r:id="rId409" ref="E418"/>
    <hyperlink r:id="rId410" ref="E419"/>
    <hyperlink r:id="rId411" ref="E420"/>
    <hyperlink r:id="rId412" ref="E421"/>
    <hyperlink r:id="rId413" ref="E422"/>
    <hyperlink r:id="rId414" ref="E423"/>
    <hyperlink r:id="rId415" ref="E424"/>
    <hyperlink r:id="rId416" ref="E425"/>
    <hyperlink r:id="rId417" ref="E426"/>
    <hyperlink r:id="rId418" ref="E427"/>
    <hyperlink r:id="rId419" ref="E428"/>
    <hyperlink r:id="rId420" ref="E429"/>
    <hyperlink r:id="rId421" ref="E430"/>
    <hyperlink r:id="rId422" ref="E431"/>
    <hyperlink r:id="rId423" ref="E432"/>
    <hyperlink r:id="rId424" ref="E433"/>
    <hyperlink r:id="rId425" ref="E434"/>
    <hyperlink r:id="rId426" ref="E435"/>
    <hyperlink r:id="rId427" ref="E436"/>
    <hyperlink r:id="rId428" ref="E437"/>
    <hyperlink r:id="rId429" ref="E438"/>
    <hyperlink r:id="rId430" ref="E439"/>
    <hyperlink r:id="rId431" location=":~:text=Unlike%20off%2Dplan%20investments%2C%20ready,in%20the%20completion%20of%20construction." ref="E440"/>
    <hyperlink r:id="rId432" ref="E441"/>
    <hyperlink r:id="rId433" ref="E442"/>
    <hyperlink r:id="rId434" ref="E443"/>
    <hyperlink r:id="rId435" ref="E444"/>
    <hyperlink r:id="rId436" ref="E445"/>
    <hyperlink r:id="rId437" ref="E446"/>
    <hyperlink r:id="rId438" ref="E447"/>
    <hyperlink r:id="rId439" ref="E448"/>
    <hyperlink r:id="rId440" ref="E449"/>
    <hyperlink r:id="rId441" ref="E450"/>
    <hyperlink r:id="rId442" ref="E451"/>
    <hyperlink r:id="rId443" ref="E452"/>
    <hyperlink r:id="rId444" ref="E453"/>
    <hyperlink r:id="rId445" ref="E454"/>
    <hyperlink r:id="rId446" ref="E455"/>
    <hyperlink r:id="rId447" ref="E456"/>
    <hyperlink r:id="rId448" ref="E457"/>
    <hyperlink r:id="rId449" ref="E458"/>
    <hyperlink r:id="rId450" ref="E459"/>
    <hyperlink r:id="rId451" ref="E460"/>
    <hyperlink r:id="rId452" ref="E461"/>
  </hyperlinks>
  <drawing r:id="rId45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3" width="25.0"/>
  </cols>
  <sheetData>
    <row r="1">
      <c r="B1" s="510" t="s">
        <v>51</v>
      </c>
      <c r="C1" s="511" t="s">
        <v>2768</v>
      </c>
    </row>
    <row r="2">
      <c r="B2" s="14" t="s">
        <v>2769</v>
      </c>
      <c r="C2" s="512" t="s">
        <v>2770</v>
      </c>
    </row>
    <row r="3">
      <c r="B3" s="14" t="s">
        <v>267</v>
      </c>
      <c r="C3" s="512" t="s">
        <v>2771</v>
      </c>
    </row>
    <row r="4">
      <c r="B4" s="14" t="s">
        <v>2772</v>
      </c>
      <c r="C4" s="512" t="s">
        <v>2773</v>
      </c>
    </row>
    <row r="5">
      <c r="B5" s="14" t="s">
        <v>2774</v>
      </c>
      <c r="C5" s="512" t="s">
        <v>2774</v>
      </c>
    </row>
    <row r="6">
      <c r="B6" s="14" t="s">
        <v>2775</v>
      </c>
      <c r="C6" s="512" t="s">
        <v>2775</v>
      </c>
    </row>
    <row r="7">
      <c r="B7" s="14" t="s">
        <v>292</v>
      </c>
      <c r="C7" s="513"/>
      <c r="D7" s="514" t="s">
        <v>2776</v>
      </c>
    </row>
    <row r="8">
      <c r="B8" s="14" t="s">
        <v>2777</v>
      </c>
      <c r="C8" s="515" t="s">
        <v>2778</v>
      </c>
    </row>
    <row r="9">
      <c r="B9" s="9"/>
      <c r="C9" s="513"/>
    </row>
    <row r="10">
      <c r="B10" s="9"/>
      <c r="C10" s="513"/>
    </row>
    <row r="11">
      <c r="B11" s="9"/>
      <c r="C11" s="513"/>
    </row>
    <row r="12">
      <c r="B12" s="9"/>
      <c r="C12" s="513"/>
    </row>
    <row r="13">
      <c r="B13" s="9"/>
      <c r="C13" s="513"/>
    </row>
    <row r="14">
      <c r="B14" s="9"/>
      <c r="C14" s="513"/>
    </row>
    <row r="15">
      <c r="B15" s="9"/>
      <c r="C15" s="513"/>
    </row>
    <row r="16">
      <c r="B16" s="14" t="s">
        <v>2779</v>
      </c>
      <c r="C16" s="512" t="s">
        <v>2780</v>
      </c>
    </row>
    <row r="17">
      <c r="B17" s="14" t="s">
        <v>2781</v>
      </c>
      <c r="C17" s="512" t="s">
        <v>2782</v>
      </c>
    </row>
    <row r="18">
      <c r="B18" s="9"/>
      <c r="C18" s="513"/>
    </row>
    <row r="19">
      <c r="B19" s="9"/>
      <c r="C19" s="513"/>
    </row>
    <row r="20">
      <c r="B20" s="9"/>
      <c r="C20" s="513"/>
    </row>
    <row r="21">
      <c r="B21" s="9"/>
      <c r="C21" s="513"/>
    </row>
    <row r="22">
      <c r="B22" s="9"/>
      <c r="C22" s="513"/>
    </row>
    <row r="23">
      <c r="B23" s="9"/>
      <c r="C23" s="513"/>
    </row>
    <row r="24">
      <c r="B24" s="9"/>
      <c r="C24" s="513"/>
    </row>
    <row r="25">
      <c r="B25" s="9"/>
      <c r="C25" s="513"/>
    </row>
    <row r="26">
      <c r="B26" s="9"/>
      <c r="C26" s="513"/>
    </row>
    <row r="27">
      <c r="B27" s="9"/>
      <c r="C27" s="513"/>
    </row>
    <row r="28">
      <c r="B28" s="9"/>
      <c r="C28" s="513"/>
    </row>
    <row r="29">
      <c r="B29" s="9"/>
      <c r="C29" s="513"/>
    </row>
    <row r="30">
      <c r="B30" s="9"/>
      <c r="C30" s="513"/>
    </row>
    <row r="31">
      <c r="B31" s="9"/>
      <c r="C31" s="513"/>
    </row>
    <row r="32">
      <c r="B32" s="9"/>
      <c r="C32" s="513"/>
    </row>
    <row r="33">
      <c r="C33" s="516"/>
    </row>
    <row r="34">
      <c r="C34" s="516"/>
    </row>
    <row r="35">
      <c r="C35" s="516"/>
    </row>
    <row r="36">
      <c r="C36" s="516"/>
    </row>
    <row r="37">
      <c r="C37" s="516"/>
    </row>
    <row r="38">
      <c r="C38" s="516"/>
    </row>
    <row r="39">
      <c r="C39" s="516"/>
    </row>
    <row r="40">
      <c r="C40" s="516"/>
    </row>
    <row r="41">
      <c r="C41" s="516"/>
    </row>
    <row r="42">
      <c r="C42" s="516"/>
    </row>
    <row r="43">
      <c r="C43" s="516"/>
    </row>
    <row r="44">
      <c r="C44" s="516"/>
    </row>
    <row r="45">
      <c r="C45" s="516"/>
    </row>
    <row r="46">
      <c r="C46" s="516"/>
    </row>
    <row r="47">
      <c r="C47" s="516"/>
    </row>
    <row r="48">
      <c r="C48" s="516"/>
    </row>
    <row r="49">
      <c r="C49" s="516"/>
    </row>
    <row r="50">
      <c r="C50" s="516"/>
    </row>
    <row r="51">
      <c r="C51" s="516"/>
    </row>
    <row r="52">
      <c r="C52" s="516"/>
    </row>
    <row r="53">
      <c r="C53" s="516"/>
    </row>
    <row r="54">
      <c r="C54" s="516"/>
    </row>
    <row r="55">
      <c r="C55" s="516"/>
    </row>
    <row r="56">
      <c r="C56" s="516"/>
    </row>
    <row r="57">
      <c r="C57" s="516"/>
    </row>
    <row r="58">
      <c r="C58" s="516"/>
    </row>
    <row r="59">
      <c r="C59" s="516"/>
    </row>
    <row r="60">
      <c r="C60" s="516"/>
    </row>
    <row r="61">
      <c r="C61" s="516"/>
    </row>
    <row r="62">
      <c r="C62" s="516"/>
    </row>
    <row r="63">
      <c r="C63" s="516"/>
    </row>
    <row r="64">
      <c r="C64" s="516"/>
    </row>
    <row r="65">
      <c r="C65" s="516"/>
    </row>
    <row r="66">
      <c r="C66" s="516"/>
    </row>
    <row r="67">
      <c r="C67" s="516"/>
    </row>
    <row r="68">
      <c r="C68" s="516"/>
    </row>
    <row r="69">
      <c r="C69" s="516"/>
    </row>
    <row r="70">
      <c r="C70" s="516"/>
    </row>
    <row r="71">
      <c r="C71" s="516"/>
    </row>
    <row r="72">
      <c r="C72" s="516"/>
    </row>
    <row r="73">
      <c r="C73" s="516"/>
    </row>
    <row r="74">
      <c r="C74" s="516"/>
    </row>
    <row r="75">
      <c r="C75" s="516"/>
    </row>
    <row r="76">
      <c r="C76" s="516"/>
    </row>
    <row r="77">
      <c r="C77" s="516"/>
    </row>
    <row r="78">
      <c r="C78" s="516"/>
    </row>
    <row r="79">
      <c r="C79" s="516"/>
    </row>
    <row r="80">
      <c r="C80" s="516"/>
    </row>
    <row r="81">
      <c r="C81" s="516"/>
    </row>
    <row r="82">
      <c r="C82" s="516"/>
    </row>
    <row r="83">
      <c r="C83" s="516"/>
    </row>
    <row r="84">
      <c r="C84" s="516"/>
    </row>
    <row r="85">
      <c r="C85" s="516"/>
    </row>
    <row r="86">
      <c r="C86" s="516"/>
    </row>
    <row r="87">
      <c r="C87" s="516"/>
    </row>
    <row r="88">
      <c r="C88" s="516"/>
    </row>
    <row r="89">
      <c r="C89" s="516"/>
    </row>
    <row r="90">
      <c r="C90" s="516"/>
    </row>
    <row r="91">
      <c r="C91" s="516"/>
    </row>
    <row r="92">
      <c r="C92" s="516"/>
    </row>
    <row r="93">
      <c r="C93" s="516"/>
    </row>
    <row r="94">
      <c r="C94" s="516"/>
    </row>
    <row r="95">
      <c r="C95" s="516"/>
    </row>
    <row r="96">
      <c r="C96" s="516"/>
    </row>
    <row r="97">
      <c r="C97" s="516"/>
    </row>
    <row r="98">
      <c r="C98" s="516"/>
    </row>
    <row r="99">
      <c r="C99" s="516"/>
    </row>
    <row r="100">
      <c r="C100" s="516"/>
    </row>
    <row r="101">
      <c r="C101" s="516"/>
    </row>
    <row r="102">
      <c r="C102" s="516"/>
    </row>
    <row r="103">
      <c r="C103" s="516"/>
    </row>
    <row r="104">
      <c r="C104" s="516"/>
    </row>
    <row r="105">
      <c r="C105" s="516"/>
    </row>
    <row r="106">
      <c r="C106" s="516"/>
    </row>
    <row r="107">
      <c r="C107" s="516"/>
    </row>
    <row r="108">
      <c r="C108" s="516"/>
    </row>
    <row r="109">
      <c r="C109" s="516"/>
    </row>
    <row r="110">
      <c r="C110" s="516"/>
    </row>
    <row r="111">
      <c r="C111" s="516"/>
    </row>
    <row r="112">
      <c r="C112" s="516"/>
    </row>
    <row r="113">
      <c r="C113" s="516"/>
    </row>
    <row r="114">
      <c r="C114" s="516"/>
    </row>
    <row r="115">
      <c r="C115" s="516"/>
    </row>
    <row r="116">
      <c r="C116" s="516"/>
    </row>
    <row r="117">
      <c r="C117" s="516"/>
    </row>
    <row r="118">
      <c r="C118" s="516"/>
    </row>
    <row r="119">
      <c r="C119" s="516"/>
    </row>
    <row r="120">
      <c r="C120" s="516"/>
    </row>
    <row r="121">
      <c r="C121" s="516"/>
    </row>
    <row r="122">
      <c r="C122" s="516"/>
    </row>
    <row r="123">
      <c r="C123" s="516"/>
    </row>
    <row r="124">
      <c r="C124" s="516"/>
    </row>
    <row r="125">
      <c r="C125" s="516"/>
    </row>
    <row r="126">
      <c r="C126" s="516"/>
    </row>
    <row r="127">
      <c r="C127" s="516"/>
    </row>
    <row r="128">
      <c r="C128" s="516"/>
    </row>
    <row r="129">
      <c r="C129" s="516"/>
    </row>
    <row r="130">
      <c r="C130" s="516"/>
    </row>
    <row r="131">
      <c r="C131" s="516"/>
    </row>
    <row r="132">
      <c r="C132" s="516"/>
    </row>
    <row r="133">
      <c r="C133" s="516"/>
    </row>
    <row r="134">
      <c r="C134" s="516"/>
    </row>
    <row r="135">
      <c r="C135" s="516"/>
    </row>
    <row r="136">
      <c r="C136" s="516"/>
    </row>
    <row r="137">
      <c r="C137" s="516"/>
    </row>
    <row r="138">
      <c r="C138" s="516"/>
    </row>
    <row r="139">
      <c r="C139" s="516"/>
    </row>
    <row r="140">
      <c r="C140" s="516"/>
    </row>
    <row r="141">
      <c r="C141" s="516"/>
    </row>
    <row r="142">
      <c r="C142" s="516"/>
    </row>
    <row r="143">
      <c r="C143" s="516"/>
    </row>
    <row r="144">
      <c r="C144" s="516"/>
    </row>
    <row r="145">
      <c r="C145" s="516"/>
    </row>
    <row r="146">
      <c r="C146" s="516"/>
    </row>
    <row r="147">
      <c r="C147" s="516"/>
    </row>
    <row r="148">
      <c r="C148" s="516"/>
    </row>
    <row r="149">
      <c r="C149" s="516"/>
    </row>
    <row r="150">
      <c r="C150" s="516"/>
    </row>
    <row r="151">
      <c r="C151" s="516"/>
    </row>
    <row r="152">
      <c r="C152" s="516"/>
    </row>
    <row r="153">
      <c r="C153" s="516"/>
    </row>
    <row r="154">
      <c r="C154" s="516"/>
    </row>
    <row r="155">
      <c r="C155" s="516"/>
    </row>
    <row r="156">
      <c r="C156" s="516"/>
    </row>
    <row r="157">
      <c r="C157" s="516"/>
    </row>
    <row r="158">
      <c r="C158" s="516"/>
    </row>
    <row r="159">
      <c r="C159" s="516"/>
    </row>
    <row r="160">
      <c r="C160" s="516"/>
    </row>
    <row r="161">
      <c r="C161" s="516"/>
    </row>
    <row r="162">
      <c r="C162" s="516"/>
    </row>
    <row r="163">
      <c r="C163" s="516"/>
    </row>
    <row r="164">
      <c r="C164" s="516"/>
    </row>
    <row r="165">
      <c r="C165" s="516"/>
    </row>
    <row r="166">
      <c r="C166" s="516"/>
    </row>
    <row r="167">
      <c r="C167" s="516"/>
    </row>
    <row r="168">
      <c r="C168" s="516"/>
    </row>
    <row r="169">
      <c r="C169" s="516"/>
    </row>
    <row r="170">
      <c r="C170" s="516"/>
    </row>
    <row r="171">
      <c r="C171" s="516"/>
    </row>
    <row r="172">
      <c r="C172" s="516"/>
    </row>
    <row r="173">
      <c r="C173" s="516"/>
    </row>
    <row r="174">
      <c r="C174" s="516"/>
    </row>
    <row r="175">
      <c r="C175" s="516"/>
    </row>
    <row r="176">
      <c r="C176" s="516"/>
    </row>
    <row r="177">
      <c r="C177" s="516"/>
    </row>
    <row r="178">
      <c r="C178" s="516"/>
    </row>
    <row r="179">
      <c r="C179" s="516"/>
    </row>
    <row r="180">
      <c r="C180" s="516"/>
    </row>
    <row r="181">
      <c r="C181" s="516"/>
    </row>
    <row r="182">
      <c r="C182" s="516"/>
    </row>
    <row r="183">
      <c r="C183" s="516"/>
    </row>
    <row r="184">
      <c r="C184" s="516"/>
    </row>
    <row r="185">
      <c r="C185" s="516"/>
    </row>
    <row r="186">
      <c r="C186" s="516"/>
    </row>
    <row r="187">
      <c r="C187" s="516"/>
    </row>
    <row r="188">
      <c r="C188" s="516"/>
    </row>
    <row r="189">
      <c r="C189" s="516"/>
    </row>
    <row r="190">
      <c r="C190" s="516"/>
    </row>
    <row r="191">
      <c r="C191" s="516"/>
    </row>
    <row r="192">
      <c r="C192" s="516"/>
    </row>
    <row r="193">
      <c r="C193" s="516"/>
    </row>
    <row r="194">
      <c r="C194" s="516"/>
    </row>
    <row r="195">
      <c r="C195" s="516"/>
    </row>
    <row r="196">
      <c r="C196" s="516"/>
    </row>
    <row r="197">
      <c r="C197" s="516"/>
    </row>
    <row r="198">
      <c r="C198" s="516"/>
    </row>
    <row r="199">
      <c r="C199" s="516"/>
    </row>
    <row r="200">
      <c r="C200" s="516"/>
    </row>
    <row r="201">
      <c r="C201" s="516"/>
    </row>
    <row r="202">
      <c r="C202" s="516"/>
    </row>
    <row r="203">
      <c r="C203" s="516"/>
    </row>
    <row r="204">
      <c r="C204" s="516"/>
    </row>
    <row r="205">
      <c r="C205" s="516"/>
    </row>
    <row r="206">
      <c r="C206" s="516"/>
    </row>
    <row r="207">
      <c r="C207" s="516"/>
    </row>
    <row r="208">
      <c r="C208" s="516"/>
    </row>
    <row r="209">
      <c r="C209" s="516"/>
    </row>
    <row r="210">
      <c r="C210" s="516"/>
    </row>
    <row r="211">
      <c r="C211" s="516"/>
    </row>
    <row r="212">
      <c r="C212" s="516"/>
    </row>
    <row r="213">
      <c r="C213" s="516"/>
    </row>
    <row r="214">
      <c r="C214" s="516"/>
    </row>
    <row r="215">
      <c r="C215" s="516"/>
    </row>
    <row r="216">
      <c r="C216" s="516"/>
    </row>
    <row r="217">
      <c r="C217" s="516"/>
    </row>
    <row r="218">
      <c r="C218" s="516"/>
    </row>
    <row r="219">
      <c r="C219" s="516"/>
    </row>
    <row r="220">
      <c r="C220" s="516"/>
    </row>
    <row r="221">
      <c r="C221" s="516"/>
    </row>
    <row r="222">
      <c r="C222" s="516"/>
    </row>
    <row r="223">
      <c r="C223" s="516"/>
    </row>
    <row r="224">
      <c r="C224" s="516"/>
    </row>
    <row r="225">
      <c r="C225" s="516"/>
    </row>
    <row r="226">
      <c r="C226" s="516"/>
    </row>
    <row r="227">
      <c r="C227" s="516"/>
    </row>
    <row r="228">
      <c r="C228" s="516"/>
    </row>
    <row r="229">
      <c r="C229" s="516"/>
    </row>
    <row r="230">
      <c r="C230" s="516"/>
    </row>
    <row r="231">
      <c r="C231" s="516"/>
    </row>
    <row r="232">
      <c r="C232" s="516"/>
    </row>
    <row r="233">
      <c r="C233" s="516"/>
    </row>
    <row r="234">
      <c r="C234" s="516"/>
    </row>
    <row r="235">
      <c r="C235" s="516"/>
    </row>
    <row r="236">
      <c r="C236" s="516"/>
    </row>
    <row r="237">
      <c r="C237" s="516"/>
    </row>
    <row r="238">
      <c r="C238" s="516"/>
    </row>
    <row r="239">
      <c r="C239" s="516"/>
    </row>
    <row r="240">
      <c r="C240" s="516"/>
    </row>
    <row r="241">
      <c r="C241" s="516"/>
    </row>
    <row r="242">
      <c r="C242" s="516"/>
    </row>
    <row r="243">
      <c r="C243" s="516"/>
    </row>
    <row r="244">
      <c r="C244" s="516"/>
    </row>
    <row r="245">
      <c r="C245" s="516"/>
    </row>
    <row r="246">
      <c r="C246" s="516"/>
    </row>
    <row r="247">
      <c r="C247" s="516"/>
    </row>
    <row r="248">
      <c r="C248" s="516"/>
    </row>
    <row r="249">
      <c r="C249" s="516"/>
    </row>
    <row r="250">
      <c r="C250" s="516"/>
    </row>
    <row r="251">
      <c r="C251" s="516"/>
    </row>
    <row r="252">
      <c r="C252" s="516"/>
    </row>
    <row r="253">
      <c r="C253" s="516"/>
    </row>
    <row r="254">
      <c r="C254" s="516"/>
    </row>
    <row r="255">
      <c r="C255" s="516"/>
    </row>
    <row r="256">
      <c r="C256" s="516"/>
    </row>
    <row r="257">
      <c r="C257" s="516"/>
    </row>
    <row r="258">
      <c r="C258" s="516"/>
    </row>
    <row r="259">
      <c r="C259" s="516"/>
    </row>
    <row r="260">
      <c r="C260" s="516"/>
    </row>
    <row r="261">
      <c r="C261" s="516"/>
    </row>
    <row r="262">
      <c r="C262" s="516"/>
    </row>
    <row r="263">
      <c r="C263" s="516"/>
    </row>
    <row r="264">
      <c r="C264" s="516"/>
    </row>
    <row r="265">
      <c r="C265" s="516"/>
    </row>
    <row r="266">
      <c r="C266" s="516"/>
    </row>
    <row r="267">
      <c r="C267" s="516"/>
    </row>
    <row r="268">
      <c r="C268" s="516"/>
    </row>
    <row r="269">
      <c r="C269" s="516"/>
    </row>
    <row r="270">
      <c r="C270" s="516"/>
    </row>
    <row r="271">
      <c r="C271" s="516"/>
    </row>
    <row r="272">
      <c r="C272" s="516"/>
    </row>
    <row r="273">
      <c r="C273" s="516"/>
    </row>
    <row r="274">
      <c r="C274" s="516"/>
    </row>
    <row r="275">
      <c r="C275" s="516"/>
    </row>
    <row r="276">
      <c r="C276" s="516"/>
    </row>
    <row r="277">
      <c r="C277" s="516"/>
    </row>
    <row r="278">
      <c r="C278" s="516"/>
    </row>
    <row r="279">
      <c r="C279" s="516"/>
    </row>
    <row r="280">
      <c r="C280" s="516"/>
    </row>
    <row r="281">
      <c r="C281" s="516"/>
    </row>
    <row r="282">
      <c r="C282" s="516"/>
    </row>
    <row r="283">
      <c r="C283" s="516"/>
    </row>
    <row r="284">
      <c r="C284" s="516"/>
    </row>
    <row r="285">
      <c r="C285" s="516"/>
    </row>
    <row r="286">
      <c r="C286" s="516"/>
    </row>
    <row r="287">
      <c r="C287" s="516"/>
    </row>
    <row r="288">
      <c r="C288" s="516"/>
    </row>
    <row r="289">
      <c r="C289" s="516"/>
    </row>
    <row r="290">
      <c r="C290" s="516"/>
    </row>
    <row r="291">
      <c r="C291" s="516"/>
    </row>
    <row r="292">
      <c r="C292" s="516"/>
    </row>
    <row r="293">
      <c r="C293" s="516"/>
    </row>
    <row r="294">
      <c r="C294" s="516"/>
    </row>
    <row r="295">
      <c r="C295" s="516"/>
    </row>
    <row r="296">
      <c r="C296" s="516"/>
    </row>
    <row r="297">
      <c r="C297" s="516"/>
    </row>
    <row r="298">
      <c r="C298" s="516"/>
    </row>
    <row r="299">
      <c r="C299" s="516"/>
    </row>
    <row r="300">
      <c r="C300" s="516"/>
    </row>
    <row r="301">
      <c r="C301" s="516"/>
    </row>
    <row r="302">
      <c r="C302" s="516"/>
    </row>
    <row r="303">
      <c r="C303" s="516"/>
    </row>
    <row r="304">
      <c r="C304" s="516"/>
    </row>
    <row r="305">
      <c r="C305" s="516"/>
    </row>
    <row r="306">
      <c r="C306" s="516"/>
    </row>
    <row r="307">
      <c r="C307" s="516"/>
    </row>
    <row r="308">
      <c r="C308" s="516"/>
    </row>
    <row r="309">
      <c r="C309" s="516"/>
    </row>
    <row r="310">
      <c r="C310" s="516"/>
    </row>
    <row r="311">
      <c r="C311" s="516"/>
    </row>
    <row r="312">
      <c r="C312" s="516"/>
    </row>
    <row r="313">
      <c r="C313" s="516"/>
    </row>
    <row r="314">
      <c r="C314" s="516"/>
    </row>
    <row r="315">
      <c r="C315" s="516"/>
    </row>
    <row r="316">
      <c r="C316" s="516"/>
    </row>
    <row r="317">
      <c r="C317" s="516"/>
    </row>
    <row r="318">
      <c r="C318" s="516"/>
    </row>
    <row r="319">
      <c r="C319" s="516"/>
    </row>
    <row r="320">
      <c r="C320" s="516"/>
    </row>
    <row r="321">
      <c r="C321" s="516"/>
    </row>
    <row r="322">
      <c r="C322" s="516"/>
    </row>
    <row r="323">
      <c r="C323" s="516"/>
    </row>
    <row r="324">
      <c r="C324" s="516"/>
    </row>
    <row r="325">
      <c r="C325" s="516"/>
    </row>
    <row r="326">
      <c r="C326" s="516"/>
    </row>
    <row r="327">
      <c r="C327" s="516"/>
    </row>
    <row r="328">
      <c r="C328" s="516"/>
    </row>
    <row r="329">
      <c r="C329" s="516"/>
    </row>
    <row r="330">
      <c r="C330" s="516"/>
    </row>
    <row r="331">
      <c r="C331" s="516"/>
    </row>
    <row r="332">
      <c r="C332" s="516"/>
    </row>
    <row r="333">
      <c r="C333" s="516"/>
    </row>
    <row r="334">
      <c r="C334" s="516"/>
    </row>
    <row r="335">
      <c r="C335" s="516"/>
    </row>
    <row r="336">
      <c r="C336" s="516"/>
    </row>
    <row r="337">
      <c r="C337" s="516"/>
    </row>
    <row r="338">
      <c r="C338" s="516"/>
    </row>
    <row r="339">
      <c r="C339" s="516"/>
    </row>
    <row r="340">
      <c r="C340" s="516"/>
    </row>
    <row r="341">
      <c r="C341" s="516"/>
    </row>
    <row r="342">
      <c r="C342" s="516"/>
    </row>
    <row r="343">
      <c r="C343" s="516"/>
    </row>
    <row r="344">
      <c r="C344" s="516"/>
    </row>
    <row r="345">
      <c r="C345" s="516"/>
    </row>
    <row r="346">
      <c r="C346" s="516"/>
    </row>
    <row r="347">
      <c r="C347" s="516"/>
    </row>
    <row r="348">
      <c r="C348" s="516"/>
    </row>
    <row r="349">
      <c r="C349" s="516"/>
    </row>
    <row r="350">
      <c r="C350" s="516"/>
    </row>
    <row r="351">
      <c r="C351" s="516"/>
    </row>
    <row r="352">
      <c r="C352" s="516"/>
    </row>
    <row r="353">
      <c r="C353" s="516"/>
    </row>
    <row r="354">
      <c r="C354" s="516"/>
    </row>
    <row r="355">
      <c r="C355" s="516"/>
    </row>
    <row r="356">
      <c r="C356" s="516"/>
    </row>
    <row r="357">
      <c r="C357" s="516"/>
    </row>
    <row r="358">
      <c r="C358" s="516"/>
    </row>
    <row r="359">
      <c r="C359" s="516"/>
    </row>
    <row r="360">
      <c r="C360" s="516"/>
    </row>
    <row r="361">
      <c r="C361" s="516"/>
    </row>
    <row r="362">
      <c r="C362" s="516"/>
    </row>
    <row r="363">
      <c r="C363" s="516"/>
    </row>
    <row r="364">
      <c r="C364" s="516"/>
    </row>
    <row r="365">
      <c r="C365" s="516"/>
    </row>
    <row r="366">
      <c r="C366" s="516"/>
    </row>
    <row r="367">
      <c r="C367" s="516"/>
    </row>
    <row r="368">
      <c r="C368" s="516"/>
    </row>
    <row r="369">
      <c r="C369" s="516"/>
    </row>
    <row r="370">
      <c r="C370" s="516"/>
    </row>
    <row r="371">
      <c r="C371" s="516"/>
    </row>
    <row r="372">
      <c r="C372" s="516"/>
    </row>
    <row r="373">
      <c r="C373" s="516"/>
    </row>
    <row r="374">
      <c r="C374" s="516"/>
    </row>
    <row r="375">
      <c r="C375" s="516"/>
    </row>
    <row r="376">
      <c r="C376" s="516"/>
    </row>
    <row r="377">
      <c r="C377" s="516"/>
    </row>
    <row r="378">
      <c r="C378" s="516"/>
    </row>
    <row r="379">
      <c r="C379" s="516"/>
    </row>
    <row r="380">
      <c r="C380" s="516"/>
    </row>
    <row r="381">
      <c r="C381" s="516"/>
    </row>
    <row r="382">
      <c r="C382" s="516"/>
    </row>
    <row r="383">
      <c r="C383" s="516"/>
    </row>
    <row r="384">
      <c r="C384" s="516"/>
    </row>
    <row r="385">
      <c r="C385" s="516"/>
    </row>
    <row r="386">
      <c r="C386" s="516"/>
    </row>
    <row r="387">
      <c r="C387" s="516"/>
    </row>
    <row r="388">
      <c r="C388" s="516"/>
    </row>
    <row r="389">
      <c r="C389" s="516"/>
    </row>
    <row r="390">
      <c r="C390" s="516"/>
    </row>
    <row r="391">
      <c r="C391" s="516"/>
    </row>
    <row r="392">
      <c r="C392" s="516"/>
    </row>
    <row r="393">
      <c r="C393" s="516"/>
    </row>
    <row r="394">
      <c r="C394" s="516"/>
    </row>
    <row r="395">
      <c r="C395" s="516"/>
    </row>
    <row r="396">
      <c r="C396" s="516"/>
    </row>
    <row r="397">
      <c r="C397" s="516"/>
    </row>
    <row r="398">
      <c r="C398" s="516"/>
    </row>
    <row r="399">
      <c r="C399" s="516"/>
    </row>
    <row r="400">
      <c r="C400" s="516"/>
    </row>
    <row r="401">
      <c r="C401" s="516"/>
    </row>
    <row r="402">
      <c r="C402" s="516"/>
    </row>
    <row r="403">
      <c r="C403" s="516"/>
    </row>
    <row r="404">
      <c r="C404" s="516"/>
    </row>
    <row r="405">
      <c r="C405" s="516"/>
    </row>
    <row r="406">
      <c r="C406" s="516"/>
    </row>
    <row r="407">
      <c r="C407" s="516"/>
    </row>
    <row r="408">
      <c r="C408" s="516"/>
    </row>
    <row r="409">
      <c r="C409" s="516"/>
    </row>
    <row r="410">
      <c r="C410" s="516"/>
    </row>
    <row r="411">
      <c r="C411" s="516"/>
    </row>
    <row r="412">
      <c r="C412" s="516"/>
    </row>
    <row r="413">
      <c r="C413" s="516"/>
    </row>
    <row r="414">
      <c r="C414" s="516"/>
    </row>
    <row r="415">
      <c r="C415" s="516"/>
    </row>
    <row r="416">
      <c r="C416" s="516"/>
    </row>
    <row r="417">
      <c r="C417" s="516"/>
    </row>
    <row r="418">
      <c r="C418" s="516"/>
    </row>
    <row r="419">
      <c r="C419" s="516"/>
    </row>
    <row r="420">
      <c r="C420" s="516"/>
    </row>
    <row r="421">
      <c r="C421" s="516"/>
    </row>
    <row r="422">
      <c r="C422" s="516"/>
    </row>
    <row r="423">
      <c r="C423" s="516"/>
    </row>
    <row r="424">
      <c r="C424" s="516"/>
    </row>
    <row r="425">
      <c r="C425" s="516"/>
    </row>
    <row r="426">
      <c r="C426" s="516"/>
    </row>
    <row r="427">
      <c r="C427" s="516"/>
    </row>
    <row r="428">
      <c r="C428" s="516"/>
    </row>
    <row r="429">
      <c r="C429" s="516"/>
    </row>
    <row r="430">
      <c r="C430" s="516"/>
    </row>
    <row r="431">
      <c r="C431" s="516"/>
    </row>
    <row r="432">
      <c r="C432" s="516"/>
    </row>
    <row r="433">
      <c r="C433" s="516"/>
    </row>
    <row r="434">
      <c r="C434" s="516"/>
    </row>
    <row r="435">
      <c r="C435" s="516"/>
    </row>
    <row r="436">
      <c r="C436" s="516"/>
    </row>
    <row r="437">
      <c r="C437" s="516"/>
    </row>
    <row r="438">
      <c r="C438" s="516"/>
    </row>
    <row r="439">
      <c r="C439" s="516"/>
    </row>
    <row r="440">
      <c r="C440" s="516"/>
    </row>
    <row r="441">
      <c r="C441" s="516"/>
    </row>
    <row r="442">
      <c r="C442" s="516"/>
    </row>
    <row r="443">
      <c r="C443" s="516"/>
    </row>
    <row r="444">
      <c r="C444" s="516"/>
    </row>
    <row r="445">
      <c r="C445" s="516"/>
    </row>
    <row r="446">
      <c r="C446" s="516"/>
    </row>
    <row r="447">
      <c r="C447" s="516"/>
    </row>
    <row r="448">
      <c r="C448" s="516"/>
    </row>
    <row r="449">
      <c r="C449" s="516"/>
    </row>
    <row r="450">
      <c r="C450" s="516"/>
    </row>
    <row r="451">
      <c r="C451" s="516"/>
    </row>
    <row r="452">
      <c r="C452" s="516"/>
    </row>
    <row r="453">
      <c r="C453" s="516"/>
    </row>
    <row r="454">
      <c r="C454" s="516"/>
    </row>
    <row r="455">
      <c r="C455" s="516"/>
    </row>
    <row r="456">
      <c r="C456" s="516"/>
    </row>
    <row r="457">
      <c r="C457" s="516"/>
    </row>
    <row r="458">
      <c r="C458" s="516"/>
    </row>
    <row r="459">
      <c r="C459" s="516"/>
    </row>
    <row r="460">
      <c r="C460" s="516"/>
    </row>
    <row r="461">
      <c r="C461" s="516"/>
    </row>
    <row r="462">
      <c r="C462" s="516"/>
    </row>
    <row r="463">
      <c r="C463" s="516"/>
    </row>
    <row r="464">
      <c r="C464" s="516"/>
    </row>
    <row r="465">
      <c r="C465" s="516"/>
    </row>
    <row r="466">
      <c r="C466" s="516"/>
    </row>
    <row r="467">
      <c r="C467" s="516"/>
    </row>
    <row r="468">
      <c r="C468" s="516"/>
    </row>
    <row r="469">
      <c r="C469" s="516"/>
    </row>
    <row r="470">
      <c r="C470" s="516"/>
    </row>
    <row r="471">
      <c r="C471" s="516"/>
    </row>
    <row r="472">
      <c r="C472" s="516"/>
    </row>
    <row r="473">
      <c r="C473" s="516"/>
    </row>
    <row r="474">
      <c r="C474" s="516"/>
    </row>
    <row r="475">
      <c r="C475" s="516"/>
    </row>
    <row r="476">
      <c r="C476" s="516"/>
    </row>
    <row r="477">
      <c r="C477" s="516"/>
    </row>
    <row r="478">
      <c r="C478" s="516"/>
    </row>
    <row r="479">
      <c r="C479" s="516"/>
    </row>
    <row r="480">
      <c r="C480" s="516"/>
    </row>
    <row r="481">
      <c r="C481" s="516"/>
    </row>
    <row r="482">
      <c r="C482" s="516"/>
    </row>
    <row r="483">
      <c r="C483" s="516"/>
    </row>
    <row r="484">
      <c r="C484" s="516"/>
    </row>
    <row r="485">
      <c r="C485" s="516"/>
    </row>
    <row r="486">
      <c r="C486" s="516"/>
    </row>
    <row r="487">
      <c r="C487" s="516"/>
    </row>
    <row r="488">
      <c r="C488" s="516"/>
    </row>
    <row r="489">
      <c r="C489" s="516"/>
    </row>
    <row r="490">
      <c r="C490" s="516"/>
    </row>
    <row r="491">
      <c r="C491" s="516"/>
    </row>
    <row r="492">
      <c r="C492" s="516"/>
    </row>
    <row r="493">
      <c r="C493" s="516"/>
    </row>
    <row r="494">
      <c r="C494" s="516"/>
    </row>
    <row r="495">
      <c r="C495" s="516"/>
    </row>
    <row r="496">
      <c r="C496" s="516"/>
    </row>
    <row r="497">
      <c r="C497" s="516"/>
    </row>
    <row r="498">
      <c r="C498" s="516"/>
    </row>
    <row r="499">
      <c r="C499" s="516"/>
    </row>
    <row r="500">
      <c r="C500" s="516"/>
    </row>
    <row r="501">
      <c r="C501" s="516"/>
    </row>
    <row r="502">
      <c r="C502" s="516"/>
    </row>
    <row r="503">
      <c r="C503" s="516"/>
    </row>
    <row r="504">
      <c r="C504" s="516"/>
    </row>
    <row r="505">
      <c r="C505" s="516"/>
    </row>
    <row r="506">
      <c r="C506" s="516"/>
    </row>
    <row r="507">
      <c r="C507" s="516"/>
    </row>
    <row r="508">
      <c r="C508" s="516"/>
    </row>
    <row r="509">
      <c r="C509" s="516"/>
    </row>
    <row r="510">
      <c r="C510" s="516"/>
    </row>
    <row r="511">
      <c r="C511" s="516"/>
    </row>
    <row r="512">
      <c r="C512" s="516"/>
    </row>
    <row r="513">
      <c r="C513" s="516"/>
    </row>
    <row r="514">
      <c r="C514" s="516"/>
    </row>
    <row r="515">
      <c r="C515" s="516"/>
    </row>
    <row r="516">
      <c r="C516" s="516"/>
    </row>
    <row r="517">
      <c r="C517" s="516"/>
    </row>
    <row r="518">
      <c r="C518" s="516"/>
    </row>
    <row r="519">
      <c r="C519" s="516"/>
    </row>
    <row r="520">
      <c r="C520" s="516"/>
    </row>
    <row r="521">
      <c r="C521" s="516"/>
    </row>
    <row r="522">
      <c r="C522" s="516"/>
    </row>
    <row r="523">
      <c r="C523" s="516"/>
    </row>
    <row r="524">
      <c r="C524" s="516"/>
    </row>
    <row r="525">
      <c r="C525" s="516"/>
    </row>
    <row r="526">
      <c r="C526" s="516"/>
    </row>
    <row r="527">
      <c r="C527" s="516"/>
    </row>
    <row r="528">
      <c r="C528" s="516"/>
    </row>
    <row r="529">
      <c r="C529" s="516"/>
    </row>
    <row r="530">
      <c r="C530" s="516"/>
    </row>
    <row r="531">
      <c r="C531" s="516"/>
    </row>
    <row r="532">
      <c r="C532" s="516"/>
    </row>
    <row r="533">
      <c r="C533" s="516"/>
    </row>
    <row r="534">
      <c r="C534" s="516"/>
    </row>
    <row r="535">
      <c r="C535" s="516"/>
    </row>
    <row r="536">
      <c r="C536" s="516"/>
    </row>
    <row r="537">
      <c r="C537" s="516"/>
    </row>
    <row r="538">
      <c r="C538" s="516"/>
    </row>
    <row r="539">
      <c r="C539" s="516"/>
    </row>
    <row r="540">
      <c r="C540" s="516"/>
    </row>
    <row r="541">
      <c r="C541" s="516"/>
    </row>
    <row r="542">
      <c r="C542" s="516"/>
    </row>
    <row r="543">
      <c r="C543" s="516"/>
    </row>
    <row r="544">
      <c r="C544" s="516"/>
    </row>
    <row r="545">
      <c r="C545" s="516"/>
    </row>
    <row r="546">
      <c r="C546" s="516"/>
    </row>
    <row r="547">
      <c r="C547" s="516"/>
    </row>
    <row r="548">
      <c r="C548" s="516"/>
    </row>
    <row r="549">
      <c r="C549" s="516"/>
    </row>
    <row r="550">
      <c r="C550" s="516"/>
    </row>
    <row r="551">
      <c r="C551" s="516"/>
    </row>
    <row r="552">
      <c r="C552" s="516"/>
    </row>
    <row r="553">
      <c r="C553" s="516"/>
    </row>
    <row r="554">
      <c r="C554" s="516"/>
    </row>
    <row r="555">
      <c r="C555" s="516"/>
    </row>
    <row r="556">
      <c r="C556" s="516"/>
    </row>
    <row r="557">
      <c r="C557" s="516"/>
    </row>
    <row r="558">
      <c r="C558" s="516"/>
    </row>
    <row r="559">
      <c r="C559" s="516"/>
    </row>
    <row r="560">
      <c r="C560" s="516"/>
    </row>
    <row r="561">
      <c r="C561" s="516"/>
    </row>
    <row r="562">
      <c r="C562" s="516"/>
    </row>
    <row r="563">
      <c r="C563" s="516"/>
    </row>
    <row r="564">
      <c r="C564" s="516"/>
    </row>
    <row r="565">
      <c r="C565" s="516"/>
    </row>
    <row r="566">
      <c r="C566" s="516"/>
    </row>
    <row r="567">
      <c r="C567" s="516"/>
    </row>
    <row r="568">
      <c r="C568" s="516"/>
    </row>
    <row r="569">
      <c r="C569" s="516"/>
    </row>
    <row r="570">
      <c r="C570" s="516"/>
    </row>
    <row r="571">
      <c r="C571" s="516"/>
    </row>
    <row r="572">
      <c r="C572" s="516"/>
    </row>
    <row r="573">
      <c r="C573" s="516"/>
    </row>
    <row r="574">
      <c r="C574" s="516"/>
    </row>
    <row r="575">
      <c r="C575" s="516"/>
    </row>
    <row r="576">
      <c r="C576" s="516"/>
    </row>
    <row r="577">
      <c r="C577" s="516"/>
    </row>
    <row r="578">
      <c r="C578" s="516"/>
    </row>
    <row r="579">
      <c r="C579" s="516"/>
    </row>
    <row r="580">
      <c r="C580" s="516"/>
    </row>
    <row r="581">
      <c r="C581" s="516"/>
    </row>
    <row r="582">
      <c r="C582" s="516"/>
    </row>
    <row r="583">
      <c r="C583" s="516"/>
    </row>
    <row r="584">
      <c r="C584" s="516"/>
    </row>
    <row r="585">
      <c r="C585" s="516"/>
    </row>
    <row r="586">
      <c r="C586" s="516"/>
    </row>
    <row r="587">
      <c r="C587" s="516"/>
    </row>
    <row r="588">
      <c r="C588" s="516"/>
    </row>
    <row r="589">
      <c r="C589" s="516"/>
    </row>
    <row r="590">
      <c r="C590" s="516"/>
    </row>
    <row r="591">
      <c r="C591" s="516"/>
    </row>
    <row r="592">
      <c r="C592" s="516"/>
    </row>
    <row r="593">
      <c r="C593" s="516"/>
    </row>
    <row r="594">
      <c r="C594" s="516"/>
    </row>
    <row r="595">
      <c r="C595" s="516"/>
    </row>
    <row r="596">
      <c r="C596" s="516"/>
    </row>
    <row r="597">
      <c r="C597" s="516"/>
    </row>
    <row r="598">
      <c r="C598" s="516"/>
    </row>
    <row r="599">
      <c r="C599" s="516"/>
    </row>
    <row r="600">
      <c r="C600" s="516"/>
    </row>
    <row r="601">
      <c r="C601" s="516"/>
    </row>
    <row r="602">
      <c r="C602" s="516"/>
    </row>
    <row r="603">
      <c r="C603" s="516"/>
    </row>
    <row r="604">
      <c r="C604" s="516"/>
    </row>
    <row r="605">
      <c r="C605" s="516"/>
    </row>
    <row r="606">
      <c r="C606" s="516"/>
    </row>
    <row r="607">
      <c r="C607" s="516"/>
    </row>
    <row r="608">
      <c r="C608" s="516"/>
    </row>
    <row r="609">
      <c r="C609" s="516"/>
    </row>
    <row r="610">
      <c r="C610" s="516"/>
    </row>
    <row r="611">
      <c r="C611" s="516"/>
    </row>
    <row r="612">
      <c r="C612" s="516"/>
    </row>
    <row r="613">
      <c r="C613" s="516"/>
    </row>
    <row r="614">
      <c r="C614" s="516"/>
    </row>
    <row r="615">
      <c r="C615" s="516"/>
    </row>
    <row r="616">
      <c r="C616" s="516"/>
    </row>
    <row r="617">
      <c r="C617" s="516"/>
    </row>
    <row r="618">
      <c r="C618" s="516"/>
    </row>
    <row r="619">
      <c r="C619" s="516"/>
    </row>
    <row r="620">
      <c r="C620" s="516"/>
    </row>
    <row r="621">
      <c r="C621" s="516"/>
    </row>
    <row r="622">
      <c r="C622" s="516"/>
    </row>
    <row r="623">
      <c r="C623" s="516"/>
    </row>
    <row r="624">
      <c r="C624" s="516"/>
    </row>
    <row r="625">
      <c r="C625" s="516"/>
    </row>
    <row r="626">
      <c r="C626" s="516"/>
    </row>
    <row r="627">
      <c r="C627" s="516"/>
    </row>
    <row r="628">
      <c r="C628" s="516"/>
    </row>
    <row r="629">
      <c r="C629" s="516"/>
    </row>
    <row r="630">
      <c r="C630" s="516"/>
    </row>
    <row r="631">
      <c r="C631" s="516"/>
    </row>
    <row r="632">
      <c r="C632" s="516"/>
    </row>
    <row r="633">
      <c r="C633" s="516"/>
    </row>
    <row r="634">
      <c r="C634" s="516"/>
    </row>
    <row r="635">
      <c r="C635" s="516"/>
    </row>
    <row r="636">
      <c r="C636" s="516"/>
    </row>
    <row r="637">
      <c r="C637" s="516"/>
    </row>
    <row r="638">
      <c r="C638" s="516"/>
    </row>
    <row r="639">
      <c r="C639" s="516"/>
    </row>
    <row r="640">
      <c r="C640" s="516"/>
    </row>
    <row r="641">
      <c r="C641" s="516"/>
    </row>
    <row r="642">
      <c r="C642" s="516"/>
    </row>
    <row r="643">
      <c r="C643" s="516"/>
    </row>
    <row r="644">
      <c r="C644" s="516"/>
    </row>
    <row r="645">
      <c r="C645" s="516"/>
    </row>
    <row r="646">
      <c r="C646" s="516"/>
    </row>
    <row r="647">
      <c r="C647" s="516"/>
    </row>
    <row r="648">
      <c r="C648" s="516"/>
    </row>
    <row r="649">
      <c r="C649" s="516"/>
    </row>
    <row r="650">
      <c r="C650" s="516"/>
    </row>
    <row r="651">
      <c r="C651" s="516"/>
    </row>
    <row r="652">
      <c r="C652" s="516"/>
    </row>
    <row r="653">
      <c r="C653" s="516"/>
    </row>
    <row r="654">
      <c r="C654" s="516"/>
    </row>
    <row r="655">
      <c r="C655" s="516"/>
    </row>
    <row r="656">
      <c r="C656" s="516"/>
    </row>
    <row r="657">
      <c r="C657" s="516"/>
    </row>
    <row r="658">
      <c r="C658" s="516"/>
    </row>
    <row r="659">
      <c r="C659" s="516"/>
    </row>
    <row r="660">
      <c r="C660" s="516"/>
    </row>
    <row r="661">
      <c r="C661" s="516"/>
    </row>
    <row r="662">
      <c r="C662" s="516"/>
    </row>
    <row r="663">
      <c r="C663" s="516"/>
    </row>
    <row r="664">
      <c r="C664" s="516"/>
    </row>
    <row r="665">
      <c r="C665" s="516"/>
    </row>
    <row r="666">
      <c r="C666" s="516"/>
    </row>
    <row r="667">
      <c r="C667" s="516"/>
    </row>
    <row r="668">
      <c r="C668" s="516"/>
    </row>
    <row r="669">
      <c r="C669" s="516"/>
    </row>
    <row r="670">
      <c r="C670" s="516"/>
    </row>
    <row r="671">
      <c r="C671" s="516"/>
    </row>
    <row r="672">
      <c r="C672" s="516"/>
    </row>
    <row r="673">
      <c r="C673" s="516"/>
    </row>
    <row r="674">
      <c r="C674" s="516"/>
    </row>
    <row r="675">
      <c r="C675" s="516"/>
    </row>
    <row r="676">
      <c r="C676" s="516"/>
    </row>
    <row r="677">
      <c r="C677" s="516"/>
    </row>
    <row r="678">
      <c r="C678" s="516"/>
    </row>
    <row r="679">
      <c r="C679" s="516"/>
    </row>
    <row r="680">
      <c r="C680" s="516"/>
    </row>
    <row r="681">
      <c r="C681" s="516"/>
    </row>
    <row r="682">
      <c r="C682" s="516"/>
    </row>
    <row r="683">
      <c r="C683" s="516"/>
    </row>
    <row r="684">
      <c r="C684" s="516"/>
    </row>
    <row r="685">
      <c r="C685" s="516"/>
    </row>
    <row r="686">
      <c r="C686" s="516"/>
    </row>
    <row r="687">
      <c r="C687" s="516"/>
    </row>
    <row r="688">
      <c r="C688" s="516"/>
    </row>
    <row r="689">
      <c r="C689" s="516"/>
    </row>
    <row r="690">
      <c r="C690" s="516"/>
    </row>
    <row r="691">
      <c r="C691" s="516"/>
    </row>
    <row r="692">
      <c r="C692" s="516"/>
    </row>
    <row r="693">
      <c r="C693" s="516"/>
    </row>
    <row r="694">
      <c r="C694" s="516"/>
    </row>
    <row r="695">
      <c r="C695" s="516"/>
    </row>
    <row r="696">
      <c r="C696" s="516"/>
    </row>
    <row r="697">
      <c r="C697" s="516"/>
    </row>
    <row r="698">
      <c r="C698" s="516"/>
    </row>
    <row r="699">
      <c r="C699" s="516"/>
    </row>
    <row r="700">
      <c r="C700" s="516"/>
    </row>
    <row r="701">
      <c r="C701" s="516"/>
    </row>
    <row r="702">
      <c r="C702" s="516"/>
    </row>
    <row r="703">
      <c r="C703" s="516"/>
    </row>
    <row r="704">
      <c r="C704" s="516"/>
    </row>
    <row r="705">
      <c r="C705" s="516"/>
    </row>
    <row r="706">
      <c r="C706" s="516"/>
    </row>
    <row r="707">
      <c r="C707" s="516"/>
    </row>
    <row r="708">
      <c r="C708" s="516"/>
    </row>
    <row r="709">
      <c r="C709" s="516"/>
    </row>
    <row r="710">
      <c r="C710" s="516"/>
    </row>
    <row r="711">
      <c r="C711" s="516"/>
    </row>
    <row r="712">
      <c r="C712" s="516"/>
    </row>
    <row r="713">
      <c r="C713" s="516"/>
    </row>
    <row r="714">
      <c r="C714" s="516"/>
    </row>
    <row r="715">
      <c r="C715" s="516"/>
    </row>
    <row r="716">
      <c r="C716" s="516"/>
    </row>
    <row r="717">
      <c r="C717" s="516"/>
    </row>
    <row r="718">
      <c r="C718" s="516"/>
    </row>
    <row r="719">
      <c r="C719" s="516"/>
    </row>
    <row r="720">
      <c r="C720" s="516"/>
    </row>
    <row r="721">
      <c r="C721" s="516"/>
    </row>
    <row r="722">
      <c r="C722" s="516"/>
    </row>
    <row r="723">
      <c r="C723" s="516"/>
    </row>
    <row r="724">
      <c r="C724" s="516"/>
    </row>
    <row r="725">
      <c r="C725" s="516"/>
    </row>
    <row r="726">
      <c r="C726" s="516"/>
    </row>
    <row r="727">
      <c r="C727" s="516"/>
    </row>
    <row r="728">
      <c r="C728" s="516"/>
    </row>
    <row r="729">
      <c r="C729" s="516"/>
    </row>
    <row r="730">
      <c r="C730" s="516"/>
    </row>
    <row r="731">
      <c r="C731" s="516"/>
    </row>
    <row r="732">
      <c r="C732" s="516"/>
    </row>
    <row r="733">
      <c r="C733" s="516"/>
    </row>
    <row r="734">
      <c r="C734" s="516"/>
    </row>
    <row r="735">
      <c r="C735" s="516"/>
    </row>
    <row r="736">
      <c r="C736" s="516"/>
    </row>
    <row r="737">
      <c r="C737" s="516"/>
    </row>
    <row r="738">
      <c r="C738" s="516"/>
    </row>
    <row r="739">
      <c r="C739" s="516"/>
    </row>
    <row r="740">
      <c r="C740" s="516"/>
    </row>
    <row r="741">
      <c r="C741" s="516"/>
    </row>
    <row r="742">
      <c r="C742" s="516"/>
    </row>
    <row r="743">
      <c r="C743" s="516"/>
    </row>
    <row r="744">
      <c r="C744" s="516"/>
    </row>
    <row r="745">
      <c r="C745" s="516"/>
    </row>
    <row r="746">
      <c r="C746" s="516"/>
    </row>
    <row r="747">
      <c r="C747" s="516"/>
    </row>
    <row r="748">
      <c r="C748" s="516"/>
    </row>
    <row r="749">
      <c r="C749" s="516"/>
    </row>
    <row r="750">
      <c r="C750" s="516"/>
    </row>
    <row r="751">
      <c r="C751" s="516"/>
    </row>
    <row r="752">
      <c r="C752" s="516"/>
    </row>
    <row r="753">
      <c r="C753" s="516"/>
    </row>
    <row r="754">
      <c r="C754" s="516"/>
    </row>
    <row r="755">
      <c r="C755" s="516"/>
    </row>
    <row r="756">
      <c r="C756" s="516"/>
    </row>
    <row r="757">
      <c r="C757" s="516"/>
    </row>
    <row r="758">
      <c r="C758" s="516"/>
    </row>
    <row r="759">
      <c r="C759" s="516"/>
    </row>
    <row r="760">
      <c r="C760" s="516"/>
    </row>
    <row r="761">
      <c r="C761" s="516"/>
    </row>
    <row r="762">
      <c r="C762" s="516"/>
    </row>
    <row r="763">
      <c r="C763" s="516"/>
    </row>
    <row r="764">
      <c r="C764" s="516"/>
    </row>
    <row r="765">
      <c r="C765" s="516"/>
    </row>
    <row r="766">
      <c r="C766" s="516"/>
    </row>
    <row r="767">
      <c r="C767" s="516"/>
    </row>
    <row r="768">
      <c r="C768" s="516"/>
    </row>
    <row r="769">
      <c r="C769" s="516"/>
    </row>
    <row r="770">
      <c r="C770" s="516"/>
    </row>
    <row r="771">
      <c r="C771" s="516"/>
    </row>
    <row r="772">
      <c r="C772" s="516"/>
    </row>
    <row r="773">
      <c r="C773" s="516"/>
    </row>
    <row r="774">
      <c r="C774" s="516"/>
    </row>
    <row r="775">
      <c r="C775" s="516"/>
    </row>
    <row r="776">
      <c r="C776" s="516"/>
    </row>
    <row r="777">
      <c r="C777" s="516"/>
    </row>
    <row r="778">
      <c r="C778" s="516"/>
    </row>
    <row r="779">
      <c r="C779" s="516"/>
    </row>
    <row r="780">
      <c r="C780" s="516"/>
    </row>
    <row r="781">
      <c r="C781" s="516"/>
    </row>
    <row r="782">
      <c r="C782" s="516"/>
    </row>
    <row r="783">
      <c r="C783" s="516"/>
    </row>
    <row r="784">
      <c r="C784" s="516"/>
    </row>
    <row r="785">
      <c r="C785" s="516"/>
    </row>
    <row r="786">
      <c r="C786" s="516"/>
    </row>
    <row r="787">
      <c r="C787" s="516"/>
    </row>
    <row r="788">
      <c r="C788" s="516"/>
    </row>
    <row r="789">
      <c r="C789" s="516"/>
    </row>
    <row r="790">
      <c r="C790" s="516"/>
    </row>
    <row r="791">
      <c r="C791" s="516"/>
    </row>
    <row r="792">
      <c r="C792" s="516"/>
    </row>
    <row r="793">
      <c r="C793" s="516"/>
    </row>
    <row r="794">
      <c r="C794" s="516"/>
    </row>
    <row r="795">
      <c r="C795" s="516"/>
    </row>
    <row r="796">
      <c r="C796" s="516"/>
    </row>
    <row r="797">
      <c r="C797" s="516"/>
    </row>
    <row r="798">
      <c r="C798" s="516"/>
    </row>
    <row r="799">
      <c r="C799" s="516"/>
    </row>
    <row r="800">
      <c r="C800" s="516"/>
    </row>
    <row r="801">
      <c r="C801" s="516"/>
    </row>
    <row r="802">
      <c r="C802" s="516"/>
    </row>
    <row r="803">
      <c r="C803" s="516"/>
    </row>
    <row r="804">
      <c r="C804" s="516"/>
    </row>
    <row r="805">
      <c r="C805" s="516"/>
    </row>
    <row r="806">
      <c r="C806" s="516"/>
    </row>
    <row r="807">
      <c r="C807" s="516"/>
    </row>
    <row r="808">
      <c r="C808" s="516"/>
    </row>
    <row r="809">
      <c r="C809" s="516"/>
    </row>
    <row r="810">
      <c r="C810" s="516"/>
    </row>
    <row r="811">
      <c r="C811" s="516"/>
    </row>
    <row r="812">
      <c r="C812" s="516"/>
    </row>
    <row r="813">
      <c r="C813" s="516"/>
    </row>
    <row r="814">
      <c r="C814" s="516"/>
    </row>
    <row r="815">
      <c r="C815" s="516"/>
    </row>
    <row r="816">
      <c r="C816" s="516"/>
    </row>
    <row r="817">
      <c r="C817" s="516"/>
    </row>
    <row r="818">
      <c r="C818" s="516"/>
    </row>
    <row r="819">
      <c r="C819" s="516"/>
    </row>
    <row r="820">
      <c r="C820" s="516"/>
    </row>
    <row r="821">
      <c r="C821" s="516"/>
    </row>
    <row r="822">
      <c r="C822" s="516"/>
    </row>
    <row r="823">
      <c r="C823" s="516"/>
    </row>
    <row r="824">
      <c r="C824" s="516"/>
    </row>
    <row r="825">
      <c r="C825" s="516"/>
    </row>
    <row r="826">
      <c r="C826" s="516"/>
    </row>
    <row r="827">
      <c r="C827" s="516"/>
    </row>
    <row r="828">
      <c r="C828" s="516"/>
    </row>
    <row r="829">
      <c r="C829" s="516"/>
    </row>
    <row r="830">
      <c r="C830" s="516"/>
    </row>
    <row r="831">
      <c r="C831" s="516"/>
    </row>
    <row r="832">
      <c r="C832" s="516"/>
    </row>
    <row r="833">
      <c r="C833" s="516"/>
    </row>
    <row r="834">
      <c r="C834" s="516"/>
    </row>
    <row r="835">
      <c r="C835" s="516"/>
    </row>
    <row r="836">
      <c r="C836" s="516"/>
    </row>
    <row r="837">
      <c r="C837" s="516"/>
    </row>
    <row r="838">
      <c r="C838" s="516"/>
    </row>
    <row r="839">
      <c r="C839" s="516"/>
    </row>
    <row r="840">
      <c r="C840" s="516"/>
    </row>
    <row r="841">
      <c r="C841" s="516"/>
    </row>
    <row r="842">
      <c r="C842" s="516"/>
    </row>
    <row r="843">
      <c r="C843" s="516"/>
    </row>
    <row r="844">
      <c r="C844" s="516"/>
    </row>
    <row r="845">
      <c r="C845" s="516"/>
    </row>
    <row r="846">
      <c r="C846" s="516"/>
    </row>
    <row r="847">
      <c r="C847" s="516"/>
    </row>
    <row r="848">
      <c r="C848" s="516"/>
    </row>
    <row r="849">
      <c r="C849" s="516"/>
    </row>
    <row r="850">
      <c r="C850" s="516"/>
    </row>
    <row r="851">
      <c r="C851" s="516"/>
    </row>
    <row r="852">
      <c r="C852" s="516"/>
    </row>
    <row r="853">
      <c r="C853" s="516"/>
    </row>
    <row r="854">
      <c r="C854" s="516"/>
    </row>
    <row r="855">
      <c r="C855" s="516"/>
    </row>
    <row r="856">
      <c r="C856" s="516"/>
    </row>
    <row r="857">
      <c r="C857" s="516"/>
    </row>
    <row r="858">
      <c r="C858" s="516"/>
    </row>
    <row r="859">
      <c r="C859" s="516"/>
    </row>
    <row r="860">
      <c r="C860" s="516"/>
    </row>
    <row r="861">
      <c r="C861" s="516"/>
    </row>
    <row r="862">
      <c r="C862" s="516"/>
    </row>
    <row r="863">
      <c r="C863" s="516"/>
    </row>
    <row r="864">
      <c r="C864" s="516"/>
    </row>
    <row r="865">
      <c r="C865" s="516"/>
    </row>
    <row r="866">
      <c r="C866" s="516"/>
    </row>
    <row r="867">
      <c r="C867" s="516"/>
    </row>
    <row r="868">
      <c r="C868" s="516"/>
    </row>
    <row r="869">
      <c r="C869" s="516"/>
    </row>
    <row r="870">
      <c r="C870" s="516"/>
    </row>
    <row r="871">
      <c r="C871" s="516"/>
    </row>
    <row r="872">
      <c r="C872" s="516"/>
    </row>
    <row r="873">
      <c r="C873" s="516"/>
    </row>
    <row r="874">
      <c r="C874" s="516"/>
    </row>
    <row r="875">
      <c r="C875" s="516"/>
    </row>
    <row r="876">
      <c r="C876" s="516"/>
    </row>
    <row r="877">
      <c r="C877" s="516"/>
    </row>
    <row r="878">
      <c r="C878" s="516"/>
    </row>
    <row r="879">
      <c r="C879" s="516"/>
    </row>
    <row r="880">
      <c r="C880" s="516"/>
    </row>
    <row r="881">
      <c r="C881" s="516"/>
    </row>
    <row r="882">
      <c r="C882" s="516"/>
    </row>
    <row r="883">
      <c r="C883" s="516"/>
    </row>
    <row r="884">
      <c r="C884" s="516"/>
    </row>
    <row r="885">
      <c r="C885" s="516"/>
    </row>
    <row r="886">
      <c r="C886" s="516"/>
    </row>
    <row r="887">
      <c r="C887" s="516"/>
    </row>
    <row r="888">
      <c r="C888" s="516"/>
    </row>
    <row r="889">
      <c r="C889" s="516"/>
    </row>
    <row r="890">
      <c r="C890" s="516"/>
    </row>
    <row r="891">
      <c r="C891" s="516"/>
    </row>
    <row r="892">
      <c r="C892" s="516"/>
    </row>
    <row r="893">
      <c r="C893" s="516"/>
    </row>
    <row r="894">
      <c r="C894" s="516"/>
    </row>
    <row r="895">
      <c r="C895" s="516"/>
    </row>
    <row r="896">
      <c r="C896" s="516"/>
    </row>
    <row r="897">
      <c r="C897" s="516"/>
    </row>
    <row r="898">
      <c r="C898" s="516"/>
    </row>
    <row r="899">
      <c r="C899" s="516"/>
    </row>
    <row r="900">
      <c r="C900" s="516"/>
    </row>
    <row r="901">
      <c r="C901" s="516"/>
    </row>
    <row r="902">
      <c r="C902" s="516"/>
    </row>
    <row r="903">
      <c r="C903" s="516"/>
    </row>
    <row r="904">
      <c r="C904" s="516"/>
    </row>
    <row r="905">
      <c r="C905" s="516"/>
    </row>
    <row r="906">
      <c r="C906" s="516"/>
    </row>
    <row r="907">
      <c r="C907" s="516"/>
    </row>
    <row r="908">
      <c r="C908" s="516"/>
    </row>
    <row r="909">
      <c r="C909" s="516"/>
    </row>
    <row r="910">
      <c r="C910" s="516"/>
    </row>
    <row r="911">
      <c r="C911" s="516"/>
    </row>
    <row r="912">
      <c r="C912" s="516"/>
    </row>
    <row r="913">
      <c r="C913" s="516"/>
    </row>
    <row r="914">
      <c r="C914" s="516"/>
    </row>
    <row r="915">
      <c r="C915" s="516"/>
    </row>
    <row r="916">
      <c r="C916" s="516"/>
    </row>
    <row r="917">
      <c r="C917" s="516"/>
    </row>
    <row r="918">
      <c r="C918" s="516"/>
    </row>
    <row r="919">
      <c r="C919" s="516"/>
    </row>
    <row r="920">
      <c r="C920" s="516"/>
    </row>
    <row r="921">
      <c r="C921" s="516"/>
    </row>
    <row r="922">
      <c r="C922" s="516"/>
    </row>
    <row r="923">
      <c r="C923" s="516"/>
    </row>
    <row r="924">
      <c r="C924" s="516"/>
    </row>
    <row r="925">
      <c r="C925" s="516"/>
    </row>
    <row r="926">
      <c r="C926" s="516"/>
    </row>
    <row r="927">
      <c r="C927" s="516"/>
    </row>
    <row r="928">
      <c r="C928" s="516"/>
    </row>
    <row r="929">
      <c r="C929" s="516"/>
    </row>
    <row r="930">
      <c r="C930" s="516"/>
    </row>
    <row r="931">
      <c r="C931" s="516"/>
    </row>
    <row r="932">
      <c r="C932" s="516"/>
    </row>
    <row r="933">
      <c r="C933" s="516"/>
    </row>
    <row r="934">
      <c r="C934" s="516"/>
    </row>
    <row r="935">
      <c r="C935" s="516"/>
    </row>
    <row r="936">
      <c r="C936" s="516"/>
    </row>
    <row r="937">
      <c r="C937" s="516"/>
    </row>
    <row r="938">
      <c r="C938" s="516"/>
    </row>
    <row r="939">
      <c r="C939" s="516"/>
    </row>
    <row r="940">
      <c r="C940" s="516"/>
    </row>
    <row r="941">
      <c r="C941" s="516"/>
    </row>
    <row r="942">
      <c r="C942" s="516"/>
    </row>
    <row r="943">
      <c r="C943" s="516"/>
    </row>
    <row r="944">
      <c r="C944" s="516"/>
    </row>
    <row r="945">
      <c r="C945" s="516"/>
    </row>
    <row r="946">
      <c r="C946" s="516"/>
    </row>
    <row r="947">
      <c r="C947" s="516"/>
    </row>
    <row r="948">
      <c r="C948" s="516"/>
    </row>
    <row r="949">
      <c r="C949" s="516"/>
    </row>
    <row r="950">
      <c r="C950" s="516"/>
    </row>
    <row r="951">
      <c r="C951" s="516"/>
    </row>
    <row r="952">
      <c r="C952" s="516"/>
    </row>
    <row r="953">
      <c r="C953" s="516"/>
    </row>
    <row r="954">
      <c r="C954" s="516"/>
    </row>
    <row r="955">
      <c r="C955" s="516"/>
    </row>
    <row r="956">
      <c r="C956" s="516"/>
    </row>
    <row r="957">
      <c r="C957" s="516"/>
    </row>
    <row r="958">
      <c r="C958" s="516"/>
    </row>
    <row r="959">
      <c r="C959" s="516"/>
    </row>
    <row r="960">
      <c r="C960" s="516"/>
    </row>
    <row r="961">
      <c r="C961" s="516"/>
    </row>
    <row r="962">
      <c r="C962" s="516"/>
    </row>
    <row r="963">
      <c r="C963" s="516"/>
    </row>
    <row r="964">
      <c r="C964" s="516"/>
    </row>
    <row r="965">
      <c r="C965" s="516"/>
    </row>
    <row r="966">
      <c r="C966" s="516"/>
    </row>
    <row r="967">
      <c r="C967" s="516"/>
    </row>
    <row r="968">
      <c r="C968" s="516"/>
    </row>
    <row r="969">
      <c r="C969" s="516"/>
    </row>
    <row r="970">
      <c r="C970" s="516"/>
    </row>
    <row r="971">
      <c r="C971" s="516"/>
    </row>
    <row r="972">
      <c r="C972" s="516"/>
    </row>
    <row r="973">
      <c r="C973" s="516"/>
    </row>
    <row r="974">
      <c r="C974" s="516"/>
    </row>
    <row r="975">
      <c r="C975" s="516"/>
    </row>
    <row r="976">
      <c r="C976" s="516"/>
    </row>
    <row r="977">
      <c r="C977" s="516"/>
    </row>
    <row r="978">
      <c r="C978" s="516"/>
    </row>
    <row r="979">
      <c r="C979" s="516"/>
    </row>
    <row r="980">
      <c r="C980" s="516"/>
    </row>
    <row r="981">
      <c r="C981" s="516"/>
    </row>
    <row r="982">
      <c r="C982" s="516"/>
    </row>
    <row r="983">
      <c r="C983" s="516"/>
    </row>
    <row r="984">
      <c r="C984" s="516"/>
    </row>
    <row r="985">
      <c r="C985" s="516"/>
    </row>
    <row r="986">
      <c r="C986" s="516"/>
    </row>
    <row r="987">
      <c r="C987" s="516"/>
    </row>
    <row r="988">
      <c r="C988" s="516"/>
    </row>
    <row r="989">
      <c r="C989" s="516"/>
    </row>
    <row r="990">
      <c r="C990" s="516"/>
    </row>
    <row r="991">
      <c r="C991" s="516"/>
    </row>
    <row r="992">
      <c r="C992" s="516"/>
    </row>
    <row r="993">
      <c r="C993" s="516"/>
    </row>
    <row r="994">
      <c r="C994" s="516"/>
    </row>
    <row r="995">
      <c r="C995" s="516"/>
    </row>
    <row r="996">
      <c r="C996" s="516"/>
    </row>
    <row r="997">
      <c r="C997" s="516"/>
    </row>
    <row r="998">
      <c r="C998" s="516"/>
    </row>
    <row r="999">
      <c r="C999" s="516"/>
    </row>
  </sheetData>
  <hyperlinks>
    <hyperlink r:id="rId1" ref="C2"/>
    <hyperlink r:id="rId2" ref="C3"/>
    <hyperlink r:id="rId3" ref="C4"/>
    <hyperlink r:id="rId4" ref="C5"/>
    <hyperlink r:id="rId5" ref="C6"/>
    <hyperlink r:id="rId6" ref="C16"/>
    <hyperlink r:id="rId7" ref="C17"/>
  </hyperlinks>
  <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13"/>
    <col customWidth="1" min="4" max="4" width="77.63"/>
    <col customWidth="1" min="5" max="5" width="23.75"/>
  </cols>
  <sheetData>
    <row r="1">
      <c r="A1" s="38">
        <v>45120.0</v>
      </c>
      <c r="B1" s="45" t="s">
        <v>11</v>
      </c>
      <c r="C1" s="40" t="s">
        <v>58</v>
      </c>
      <c r="D1" s="54" t="s">
        <v>1438</v>
      </c>
      <c r="E1" s="411" t="s">
        <v>1439</v>
      </c>
      <c r="F1" s="112" t="s">
        <v>339</v>
      </c>
    </row>
    <row r="2">
      <c r="A2" s="68">
        <v>45140.0</v>
      </c>
      <c r="B2" s="45" t="s">
        <v>11</v>
      </c>
      <c r="C2" s="40" t="s">
        <v>58</v>
      </c>
      <c r="D2" s="107" t="s">
        <v>1494</v>
      </c>
      <c r="E2" s="409" t="s">
        <v>1495</v>
      </c>
      <c r="F2" s="152" t="s">
        <v>339</v>
      </c>
    </row>
    <row r="3">
      <c r="A3" s="323">
        <v>45201.0</v>
      </c>
      <c r="B3" s="305" t="s">
        <v>11</v>
      </c>
      <c r="C3" s="14" t="s">
        <v>1277</v>
      </c>
      <c r="D3" s="393" t="s">
        <v>1549</v>
      </c>
      <c r="E3" s="104" t="s">
        <v>1550</v>
      </c>
      <c r="F3" s="112" t="s">
        <v>339</v>
      </c>
    </row>
    <row r="4">
      <c r="A4" s="327">
        <v>45206.0</v>
      </c>
      <c r="B4" s="45" t="s">
        <v>11</v>
      </c>
      <c r="C4" s="14" t="s">
        <v>374</v>
      </c>
      <c r="D4" s="393" t="s">
        <v>1565</v>
      </c>
      <c r="E4" s="104" t="s">
        <v>1566</v>
      </c>
      <c r="F4" s="45" t="s">
        <v>339</v>
      </c>
    </row>
    <row r="5">
      <c r="A5" s="38">
        <v>45242.0</v>
      </c>
      <c r="B5" s="305" t="s">
        <v>11</v>
      </c>
      <c r="C5" s="40" t="s">
        <v>58</v>
      </c>
      <c r="D5" s="107" t="s">
        <v>1618</v>
      </c>
      <c r="E5" s="107" t="s">
        <v>1619</v>
      </c>
      <c r="F5" s="152" t="s">
        <v>339</v>
      </c>
    </row>
    <row r="6">
      <c r="A6" s="38">
        <v>45247.0</v>
      </c>
      <c r="B6" s="305" t="s">
        <v>11</v>
      </c>
      <c r="C6" s="40" t="s">
        <v>374</v>
      </c>
      <c r="D6" s="107" t="s">
        <v>1643</v>
      </c>
      <c r="E6" s="107" t="s">
        <v>1644</v>
      </c>
      <c r="F6" s="152" t="s">
        <v>339</v>
      </c>
    </row>
    <row r="7">
      <c r="A7" s="38">
        <v>45271.0</v>
      </c>
      <c r="B7" s="45" t="s">
        <v>11</v>
      </c>
      <c r="C7" s="40" t="s">
        <v>58</v>
      </c>
      <c r="D7" s="40" t="s">
        <v>1682</v>
      </c>
      <c r="E7" s="151" t="s">
        <v>1683</v>
      </c>
      <c r="F7" s="152" t="s">
        <v>339</v>
      </c>
    </row>
    <row r="8">
      <c r="A8" s="38">
        <v>45271.0</v>
      </c>
      <c r="B8" s="45" t="s">
        <v>11</v>
      </c>
      <c r="C8" s="40" t="s">
        <v>77</v>
      </c>
      <c r="D8" s="40" t="s">
        <v>1690</v>
      </c>
      <c r="E8" s="151" t="s">
        <v>1691</v>
      </c>
      <c r="F8" s="152" t="s">
        <v>339</v>
      </c>
    </row>
    <row r="9">
      <c r="A9" s="38">
        <v>45272.0</v>
      </c>
      <c r="B9" s="45" t="s">
        <v>11</v>
      </c>
      <c r="C9" s="40" t="s">
        <v>58</v>
      </c>
      <c r="D9" s="40" t="s">
        <v>1692</v>
      </c>
      <c r="E9" s="107" t="s">
        <v>1693</v>
      </c>
      <c r="F9" s="152" t="s">
        <v>339</v>
      </c>
    </row>
    <row r="10">
      <c r="A10" s="38">
        <v>45313.0</v>
      </c>
      <c r="B10" s="45" t="s">
        <v>11</v>
      </c>
      <c r="C10" s="40" t="s">
        <v>137</v>
      </c>
      <c r="D10" s="362" t="s">
        <v>2283</v>
      </c>
      <c r="E10" s="50" t="s">
        <v>2284</v>
      </c>
      <c r="F10" s="152" t="s">
        <v>339</v>
      </c>
    </row>
    <row r="11">
      <c r="A11" s="204">
        <v>45324.0</v>
      </c>
      <c r="B11" s="39" t="s">
        <v>11</v>
      </c>
      <c r="C11" s="170" t="s">
        <v>137</v>
      </c>
      <c r="D11" s="169" t="s">
        <v>2317</v>
      </c>
      <c r="E11" s="196" t="s">
        <v>2318</v>
      </c>
      <c r="F11" s="112" t="s">
        <v>339</v>
      </c>
    </row>
    <row r="12">
      <c r="A12" s="38">
        <v>45327.0</v>
      </c>
      <c r="B12" s="45" t="s">
        <v>11</v>
      </c>
      <c r="C12" s="40" t="s">
        <v>58</v>
      </c>
      <c r="D12" s="43" t="s">
        <v>2319</v>
      </c>
      <c r="E12" s="44" t="s">
        <v>2320</v>
      </c>
      <c r="F12" s="152" t="s">
        <v>339</v>
      </c>
    </row>
    <row r="13">
      <c r="A13" s="204">
        <v>45357.0</v>
      </c>
      <c r="B13" s="45" t="s">
        <v>11</v>
      </c>
      <c r="C13" s="170" t="s">
        <v>58</v>
      </c>
      <c r="D13" s="169" t="s">
        <v>2349</v>
      </c>
      <c r="E13" s="478" t="s">
        <v>2350</v>
      </c>
      <c r="F13" s="112" t="s">
        <v>339</v>
      </c>
    </row>
    <row r="14">
      <c r="A14" s="38">
        <v>45357.0</v>
      </c>
      <c r="B14" s="45" t="s">
        <v>11</v>
      </c>
      <c r="C14" s="40" t="s">
        <v>71</v>
      </c>
      <c r="D14" s="43" t="s">
        <v>2351</v>
      </c>
      <c r="E14" s="479" t="s">
        <v>2352</v>
      </c>
      <c r="F14" s="112" t="s">
        <v>339</v>
      </c>
    </row>
    <row r="15">
      <c r="A15" s="38">
        <v>45357.0</v>
      </c>
      <c r="B15" s="45" t="s">
        <v>17</v>
      </c>
      <c r="C15" s="40" t="s">
        <v>478</v>
      </c>
      <c r="D15" s="43" t="s">
        <v>2353</v>
      </c>
      <c r="E15" s="44" t="s">
        <v>2354</v>
      </c>
      <c r="F15" s="112" t="s">
        <v>339</v>
      </c>
    </row>
    <row r="16">
      <c r="A16" s="38">
        <v>45357.0</v>
      </c>
      <c r="B16" s="45" t="s">
        <v>11</v>
      </c>
      <c r="C16" s="40" t="s">
        <v>2355</v>
      </c>
      <c r="D16" s="43" t="s">
        <v>2356</v>
      </c>
      <c r="E16" s="140" t="s">
        <v>2357</v>
      </c>
      <c r="F16" s="112" t="s">
        <v>339</v>
      </c>
    </row>
    <row r="17">
      <c r="A17" s="38">
        <v>45357.0</v>
      </c>
      <c r="B17" s="45" t="s">
        <v>17</v>
      </c>
      <c r="C17" s="40" t="s">
        <v>145</v>
      </c>
      <c r="D17" s="43" t="s">
        <v>2351</v>
      </c>
      <c r="E17" s="67" t="s">
        <v>2358</v>
      </c>
      <c r="F17" s="112" t="s">
        <v>339</v>
      </c>
    </row>
    <row r="18">
      <c r="A18" s="38">
        <v>45358.0</v>
      </c>
      <c r="B18" s="45" t="s">
        <v>17</v>
      </c>
      <c r="C18" s="107" t="s">
        <v>2359</v>
      </c>
      <c r="D18" s="43" t="s">
        <v>2360</v>
      </c>
      <c r="E18" s="44" t="s">
        <v>2361</v>
      </c>
      <c r="F18" s="112" t="s">
        <v>339</v>
      </c>
    </row>
    <row r="19">
      <c r="A19" s="38">
        <v>45360.0</v>
      </c>
      <c r="B19" s="39" t="s">
        <v>11</v>
      </c>
      <c r="C19" s="40" t="s">
        <v>137</v>
      </c>
      <c r="D19" s="43" t="s">
        <v>2362</v>
      </c>
      <c r="E19" s="174" t="s">
        <v>2363</v>
      </c>
      <c r="F19" s="112" t="s">
        <v>339</v>
      </c>
    </row>
    <row r="20">
      <c r="A20" s="38">
        <v>45375.0</v>
      </c>
      <c r="B20" s="39" t="s">
        <v>11</v>
      </c>
      <c r="C20" s="14" t="s">
        <v>58</v>
      </c>
      <c r="D20" s="43" t="s">
        <v>2394</v>
      </c>
      <c r="E20" s="44" t="s">
        <v>2395</v>
      </c>
      <c r="F20" s="152" t="s">
        <v>339</v>
      </c>
    </row>
    <row r="21">
      <c r="A21" s="204">
        <v>45410.0</v>
      </c>
      <c r="B21" s="39" t="s">
        <v>17</v>
      </c>
      <c r="C21" s="14" t="s">
        <v>71</v>
      </c>
      <c r="D21" s="43" t="s">
        <v>2432</v>
      </c>
      <c r="E21" s="174" t="s">
        <v>2433</v>
      </c>
      <c r="F21" s="152" t="s">
        <v>339</v>
      </c>
    </row>
    <row r="22">
      <c r="A22" s="204">
        <v>45410.0</v>
      </c>
      <c r="B22" s="39" t="s">
        <v>11</v>
      </c>
      <c r="C22" s="14" t="s">
        <v>58</v>
      </c>
      <c r="D22" s="116" t="s">
        <v>2432</v>
      </c>
      <c r="E22" s="174" t="s">
        <v>2434</v>
      </c>
      <c r="F22" s="152" t="s">
        <v>339</v>
      </c>
    </row>
    <row r="23">
      <c r="A23" s="204">
        <v>45411.0</v>
      </c>
      <c r="B23" s="45" t="s">
        <v>17</v>
      </c>
      <c r="C23" s="40" t="s">
        <v>134</v>
      </c>
      <c r="D23" s="176" t="s">
        <v>2435</v>
      </c>
      <c r="E23" s="485" t="s">
        <v>2436</v>
      </c>
      <c r="F23" s="152" t="s">
        <v>339</v>
      </c>
    </row>
    <row r="24">
      <c r="A24" s="204">
        <v>45411.0</v>
      </c>
      <c r="B24" s="39" t="s">
        <v>11</v>
      </c>
      <c r="C24" s="14" t="s">
        <v>58</v>
      </c>
      <c r="D24" s="176" t="s">
        <v>2435</v>
      </c>
      <c r="E24" s="44" t="s">
        <v>2437</v>
      </c>
      <c r="F24" s="152" t="s">
        <v>339</v>
      </c>
    </row>
    <row r="25" ht="15.75" customHeight="1">
      <c r="A25" s="204">
        <v>45411.0</v>
      </c>
      <c r="B25" s="39" t="s">
        <v>11</v>
      </c>
      <c r="C25" s="14" t="s">
        <v>58</v>
      </c>
      <c r="D25" s="43" t="s">
        <v>2438</v>
      </c>
      <c r="E25" s="44" t="s">
        <v>2439</v>
      </c>
      <c r="F25" s="152" t="s">
        <v>339</v>
      </c>
    </row>
    <row r="26">
      <c r="A26" s="204">
        <v>45411.0</v>
      </c>
      <c r="B26" s="45" t="s">
        <v>17</v>
      </c>
      <c r="C26" s="172" t="s">
        <v>71</v>
      </c>
      <c r="D26" s="43" t="s">
        <v>2438</v>
      </c>
      <c r="E26" s="186" t="s">
        <v>2440</v>
      </c>
      <c r="F26" s="152" t="s">
        <v>339</v>
      </c>
    </row>
    <row r="27">
      <c r="A27" s="80">
        <v>45411.0</v>
      </c>
      <c r="B27" s="486" t="s">
        <v>17</v>
      </c>
      <c r="C27" s="40" t="s">
        <v>71</v>
      </c>
      <c r="D27" s="176" t="s">
        <v>2435</v>
      </c>
      <c r="E27" s="44" t="s">
        <v>2441</v>
      </c>
      <c r="F27" s="304" t="s">
        <v>339</v>
      </c>
    </row>
    <row r="28">
      <c r="A28" s="38">
        <v>45431.0</v>
      </c>
      <c r="B28" s="45" t="s">
        <v>11</v>
      </c>
      <c r="C28" s="40" t="s">
        <v>58</v>
      </c>
      <c r="D28" s="200" t="s">
        <v>2468</v>
      </c>
      <c r="E28" s="44" t="s">
        <v>2469</v>
      </c>
      <c r="F28" s="152" t="s">
        <v>339</v>
      </c>
    </row>
    <row r="29">
      <c r="A29" s="38">
        <v>45431.0</v>
      </c>
      <c r="B29" s="45" t="s">
        <v>11</v>
      </c>
      <c r="C29" s="40" t="s">
        <v>71</v>
      </c>
      <c r="D29" s="200" t="s">
        <v>2468</v>
      </c>
      <c r="E29" s="150" t="s">
        <v>2470</v>
      </c>
      <c r="F29" s="152" t="s">
        <v>339</v>
      </c>
    </row>
    <row r="30">
      <c r="A30" s="38">
        <v>45431.0</v>
      </c>
      <c r="B30" s="45" t="s">
        <v>17</v>
      </c>
      <c r="C30" s="40" t="s">
        <v>134</v>
      </c>
      <c r="D30" s="200" t="s">
        <v>2471</v>
      </c>
      <c r="E30" s="150" t="s">
        <v>2472</v>
      </c>
      <c r="F30" s="152" t="s">
        <v>339</v>
      </c>
    </row>
    <row r="31">
      <c r="A31" s="38">
        <v>45432.0</v>
      </c>
      <c r="B31" s="45" t="s">
        <v>17</v>
      </c>
      <c r="C31" s="40" t="s">
        <v>134</v>
      </c>
      <c r="D31" s="200" t="s">
        <v>2473</v>
      </c>
      <c r="E31" s="150" t="s">
        <v>2474</v>
      </c>
      <c r="F31" s="152" t="s">
        <v>339</v>
      </c>
    </row>
    <row r="32">
      <c r="A32" s="38">
        <v>45433.0</v>
      </c>
      <c r="B32" s="45" t="s">
        <v>17</v>
      </c>
      <c r="C32" s="151" t="s">
        <v>2475</v>
      </c>
      <c r="D32" s="200" t="s">
        <v>2476</v>
      </c>
      <c r="E32" s="150" t="s">
        <v>2477</v>
      </c>
      <c r="F32" s="152" t="s">
        <v>339</v>
      </c>
    </row>
    <row r="33">
      <c r="A33" s="38">
        <v>45434.0</v>
      </c>
      <c r="B33" s="45" t="s">
        <v>11</v>
      </c>
      <c r="C33" s="40" t="s">
        <v>71</v>
      </c>
      <c r="D33" s="200" t="s">
        <v>2480</v>
      </c>
      <c r="E33" s="44" t="s">
        <v>2481</v>
      </c>
      <c r="F33" s="152" t="s">
        <v>339</v>
      </c>
    </row>
    <row r="34">
      <c r="A34" s="38">
        <v>45436.0</v>
      </c>
      <c r="B34" s="489" t="s">
        <v>11</v>
      </c>
      <c r="C34" s="490" t="s">
        <v>374</v>
      </c>
      <c r="D34" s="491" t="s">
        <v>2484</v>
      </c>
      <c r="E34" s="396" t="s">
        <v>2485</v>
      </c>
      <c r="F34" s="187" t="s">
        <v>339</v>
      </c>
    </row>
    <row r="35">
      <c r="A35" s="38">
        <v>45436.0</v>
      </c>
      <c r="B35" s="45" t="s">
        <v>17</v>
      </c>
      <c r="C35" s="490" t="s">
        <v>2486</v>
      </c>
      <c r="D35" s="491" t="s">
        <v>2487</v>
      </c>
      <c r="E35" s="396" t="s">
        <v>2488</v>
      </c>
      <c r="F35" s="187" t="s">
        <v>339</v>
      </c>
    </row>
    <row r="36">
      <c r="A36" s="38">
        <v>45439.0</v>
      </c>
      <c r="B36" s="426" t="s">
        <v>17</v>
      </c>
      <c r="C36" s="172" t="s">
        <v>134</v>
      </c>
      <c r="D36" s="200" t="s">
        <v>2489</v>
      </c>
      <c r="E36" s="150" t="s">
        <v>2490</v>
      </c>
      <c r="F36" s="187" t="s">
        <v>339</v>
      </c>
    </row>
    <row r="37">
      <c r="A37" s="38">
        <v>45440.0</v>
      </c>
      <c r="B37" s="45" t="s">
        <v>11</v>
      </c>
      <c r="C37" s="40" t="s">
        <v>374</v>
      </c>
      <c r="D37" s="200" t="s">
        <v>2495</v>
      </c>
      <c r="E37" s="44" t="s">
        <v>2496</v>
      </c>
      <c r="F37" s="152" t="s">
        <v>339</v>
      </c>
    </row>
    <row r="38">
      <c r="A38" s="38">
        <v>45464.0</v>
      </c>
      <c r="B38" s="45" t="s">
        <v>11</v>
      </c>
      <c r="C38" s="40" t="s">
        <v>374</v>
      </c>
      <c r="D38" s="62" t="s">
        <v>2511</v>
      </c>
      <c r="E38" s="44" t="s">
        <v>2512</v>
      </c>
      <c r="F38" s="45" t="s">
        <v>339</v>
      </c>
    </row>
    <row r="39">
      <c r="A39" s="38">
        <v>45465.0</v>
      </c>
      <c r="B39" s="45" t="s">
        <v>17</v>
      </c>
      <c r="C39" s="40" t="s">
        <v>2515</v>
      </c>
      <c r="D39" s="62" t="s">
        <v>2516</v>
      </c>
      <c r="E39" s="44" t="s">
        <v>2517</v>
      </c>
      <c r="F39" s="45" t="s">
        <v>2000</v>
      </c>
    </row>
    <row r="40">
      <c r="A40" s="38">
        <v>45501.0</v>
      </c>
      <c r="B40" s="39" t="s">
        <v>17</v>
      </c>
      <c r="C40" s="170" t="s">
        <v>134</v>
      </c>
      <c r="D40" s="62" t="s">
        <v>2559</v>
      </c>
      <c r="E40" s="150" t="s">
        <v>2560</v>
      </c>
      <c r="F40" s="45" t="s">
        <v>339</v>
      </c>
    </row>
    <row r="41">
      <c r="A41" s="38">
        <v>45502.0</v>
      </c>
      <c r="B41" s="39" t="s">
        <v>11</v>
      </c>
      <c r="C41" s="170" t="s">
        <v>58</v>
      </c>
      <c r="D41" s="62" t="s">
        <v>2561</v>
      </c>
      <c r="E41" s="150" t="s">
        <v>2562</v>
      </c>
      <c r="F41" s="45" t="s">
        <v>339</v>
      </c>
    </row>
    <row r="42">
      <c r="A42" s="218">
        <v>45503.0</v>
      </c>
      <c r="B42" s="517" t="s">
        <v>17</v>
      </c>
      <c r="C42" s="518" t="s">
        <v>58</v>
      </c>
      <c r="D42" s="519" t="s">
        <v>2563</v>
      </c>
      <c r="E42" s="520" t="s">
        <v>2564</v>
      </c>
      <c r="F42" s="178" t="s">
        <v>339</v>
      </c>
    </row>
  </sheetData>
  <hyperlinks>
    <hyperlink r:id="rId1" ref="E1"/>
    <hyperlink r:id="rId2" ref="D2"/>
    <hyperlink r:id="rId3" ref="E2"/>
    <hyperlink r:id="rId4" ref="D3"/>
    <hyperlink r:id="rId5" ref="E3"/>
    <hyperlink r:id="rId6" ref="D4"/>
    <hyperlink r:id="rId7" ref="E4"/>
    <hyperlink r:id="rId8" ref="D5"/>
    <hyperlink r:id="rId9" ref="E5"/>
    <hyperlink r:id="rId10" ref="D6"/>
    <hyperlink r:id="rId11" ref="E6"/>
    <hyperlink r:id="rId12" ref="E7"/>
    <hyperlink r:id="rId13" ref="E8"/>
    <hyperlink r:id="rId14" ref="E9"/>
    <hyperlink r:id="rId15" ref="E10"/>
    <hyperlink r:id="rId16" ref="E11"/>
    <hyperlink r:id="rId17" ref="E12"/>
    <hyperlink r:id="rId18" ref="E13"/>
    <hyperlink r:id="rId19" ref="E14"/>
    <hyperlink r:id="rId20" ref="E15"/>
    <hyperlink r:id="rId21" ref="E16"/>
    <hyperlink r:id="rId22" ref="E17"/>
    <hyperlink r:id="rId23" ref="C18"/>
    <hyperlink r:id="rId24" ref="E18"/>
    <hyperlink r:id="rId25" ref="E19"/>
    <hyperlink r:id="rId26" ref="E20"/>
    <hyperlink r:id="rId27" ref="E21"/>
    <hyperlink r:id="rId28" ref="E22"/>
    <hyperlink r:id="rId29" ref="E23"/>
    <hyperlink r:id="rId30" ref="E24"/>
    <hyperlink r:id="rId31" ref="E25"/>
    <hyperlink r:id="rId32" ref="E26"/>
    <hyperlink r:id="rId33" ref="E27"/>
    <hyperlink r:id="rId34" ref="E28"/>
    <hyperlink r:id="rId35" ref="E29"/>
    <hyperlink r:id="rId36" ref="E30"/>
    <hyperlink r:id="rId37" ref="E31"/>
    <hyperlink r:id="rId38" ref="C32"/>
    <hyperlink r:id="rId39" ref="E32"/>
    <hyperlink r:id="rId40" ref="E33"/>
    <hyperlink r:id="rId41" ref="E34"/>
    <hyperlink r:id="rId42" ref="E35"/>
    <hyperlink r:id="rId43" ref="E36"/>
    <hyperlink r:id="rId44" ref="E37"/>
    <hyperlink r:id="rId45" ref="E38"/>
    <hyperlink r:id="rId46" ref="E39"/>
    <hyperlink r:id="rId47" ref="E40"/>
    <hyperlink r:id="rId48" ref="E41"/>
    <hyperlink r:id="rId49" ref="E42"/>
  </hyperlinks>
  <drawing r:id="rId5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75"/>
  </cols>
  <sheetData>
    <row r="1">
      <c r="A1" s="3" t="s">
        <v>2783</v>
      </c>
    </row>
    <row r="3">
      <c r="A3" s="3" t="s">
        <v>2784</v>
      </c>
    </row>
    <row r="5">
      <c r="A5" s="3" t="s">
        <v>2785</v>
      </c>
      <c r="B5" s="67" t="s">
        <v>2786</v>
      </c>
    </row>
  </sheetData>
  <hyperlinks>
    <hyperlink r:id="rId1" ref="B5"/>
  </hyperlinks>
  <drawing r:id="rId2"/>
</worksheet>
</file>